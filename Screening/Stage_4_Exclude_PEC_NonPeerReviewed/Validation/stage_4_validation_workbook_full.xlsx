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4_Exclude_PEC_NonPeerReviewed/validation_data/"/>
    </mc:Choice>
  </mc:AlternateContent>
  <xr:revisionPtr revIDLastSave="0" documentId="8_{66FAE294-26A2-48C8-BAED-E6DA486111A0}" xr6:coauthVersionLast="47" xr6:coauthVersionMax="47" xr10:uidLastSave="{00000000-0000-0000-0000-000000000000}"/>
  <bookViews>
    <workbookView xWindow="-110" yWindow="-110" windowWidth="19420" windowHeight="10300" activeTab="4" xr2:uid="{66513E08-89B8-4D61-A86D-819C01466699}"/>
  </bookViews>
  <sheets>
    <sheet name="Stage_4_API_full" sheetId="1" r:id="rId1"/>
    <sheet name="ID_Lookup" sheetId="5" r:id="rId2"/>
    <sheet name="Stage_4_FF_full" sheetId="2" r:id="rId3"/>
    <sheet name="Merged results table" sheetId="3" r:id="rId4"/>
    <sheet name="Evaluating Results" sheetId="4" r:id="rId5"/>
  </sheets>
  <definedNames>
    <definedName name="_xlnm._FilterDatabase" localSheetId="3" hidden="1">'Merged results table'!$A$1:$K$154</definedName>
    <definedName name="_xlnm._FilterDatabase" localSheetId="2" hidden="1">Stage_4_FF_full!$A$1:$H$362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2" i="2" l="1"/>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C4" i="4"/>
  <c r="C3" i="4"/>
  <c r="B4" i="4"/>
  <c r="B3" i="4"/>
  <c r="H2" i="2"/>
  <c r="G2" i="2"/>
  <c r="B8" i="4" l="1"/>
  <c r="B7" i="4"/>
  <c r="B9" i="4"/>
  <c r="B12" i="4" l="1"/>
  <c r="B6" i="4"/>
  <c r="B11" i="4"/>
</calcChain>
</file>

<file path=xl/sharedStrings.xml><?xml version="1.0" encoding="utf-8"?>
<sst xmlns="http://schemas.openxmlformats.org/spreadsheetml/2006/main" count="5328" uniqueCount="1483">
  <si>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</si>
  <si>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</si>
  <si>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</si>
  <si>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</si>
  <si>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</si>
  <si>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</si>
  <si>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</si>
  <si>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</si>
  <si>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</si>
  <si>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</si>
  <si>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</si>
  <si>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</si>
  <si>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</si>
  <si>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</si>
  <si>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</si>
  <si>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</si>
  <si>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</si>
  <si>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</si>
  <si>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</si>
  <si>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</si>
  <si>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</si>
  <si>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</si>
  <si>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</si>
  <si>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</si>
  <si>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</si>
  <si>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</si>
  <si>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</si>
  <si>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</si>
  <si>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</si>
  <si>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</si>
  <si>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</si>
  <si>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</si>
  <si>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</si>
  <si>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</si>
  <si>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</si>
  <si>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</si>
  <si>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</si>
  <si>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</si>
  <si>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</si>
  <si>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</si>
  <si>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</si>
  <si>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</si>
  <si>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</si>
  <si>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</si>
  <si>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</si>
  <si>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</si>
  <si>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</si>
  <si>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</si>
  <si>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</si>
  <si>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</si>
  <si>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</si>
  <si>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</si>
  <si>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</si>
  <si>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</si>
  <si>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</si>
  <si>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</si>
  <si>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</si>
  <si>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</si>
  <si>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</si>
  <si>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</si>
  <si>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</si>
  <si>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</si>
  <si>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</si>
  <si>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</si>
  <si>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</si>
  <si>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</si>
  <si>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</si>
  <si>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</si>
  <si>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</si>
  <si>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</si>
  <si>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</si>
  <si>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</si>
  <si>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</si>
  <si>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</si>
  <si>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</si>
  <si>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</si>
  <si>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</si>
  <si>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</si>
  <si>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</si>
  <si>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</si>
  <si>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</si>
  <si>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</si>
  <si>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</si>
  <si>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</si>
  <si>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</si>
  <si>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</si>
  <si>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</si>
  <si>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</si>
  <si>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</si>
  <si>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</si>
  <si>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</si>
  <si>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</si>
  <si>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</si>
  <si>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</si>
  <si>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</si>
  <si>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</si>
  <si>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</si>
  <si>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</si>
  <si>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</si>
  <si>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</si>
  <si>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</si>
  <si>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</si>
  <si>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</si>
  <si>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</si>
  <si>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</si>
  <si>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</si>
  <si>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</si>
  <si>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</si>
  <si>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</si>
  <si>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</si>
  <si>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</si>
  <si>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</si>
  <si>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</si>
  <si>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</si>
  <si>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</si>
  <si>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</si>
  <si>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</si>
  <si>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</si>
  <si>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</si>
  <si>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</si>
  <si>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</si>
  <si>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</si>
  <si>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</si>
  <si>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</si>
  <si>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</si>
  <si>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</si>
  <si>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</si>
  <si>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</si>
  <si>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</si>
  <si>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</si>
  <si>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</si>
  <si>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</si>
  <si>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</si>
  <si>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</si>
  <si>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</si>
  <si>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</si>
  <si>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</si>
  <si>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</si>
  <si>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</si>
  <si>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</si>
  <si>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</si>
  <si>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</si>
  <si>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</si>
  <si>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</si>
  <si>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</si>
  <si>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</si>
  <si>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</si>
  <si>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</si>
  <si>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</si>
  <si>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</si>
  <si>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</si>
  <si>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</si>
  <si>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</si>
  <si>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</si>
  <si>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</si>
  <si>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</si>
  <si>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</si>
  <si>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</si>
  <si>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</si>
  <si>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</si>
  <si>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</si>
  <si>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</si>
  <si>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</si>
  <si>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</si>
  <si>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</si>
  <si>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</si>
  <si>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</si>
  <si>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</si>
  <si>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</si>
  <si>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</si>
  <si>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</si>
  <si>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</si>
  <si>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</si>
  <si>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</si>
  <si>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</si>
  <si>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FF_include_stage2</t>
  </si>
  <si>
    <t>include_stage4</t>
  </si>
  <si>
    <t>reason_stage4</t>
  </si>
  <si>
    <t>publication_type</t>
  </si>
  <si>
    <t>confidence_stage4</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</si>
  <si>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</si>
  <si>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Peer-reviewed</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</si>
  <si>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</si>
  <si>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</si>
  <si>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</si>
  <si>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</si>
  <si>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</si>
  <si>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</si>
  <si>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</si>
  <si>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</si>
  <si>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Editorial/Commentary</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</si>
  <si>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Ãƒâ€šÃ‚Â© 2019 Author(s).</t>
  </si>
  <si>
    <t>Protocol</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</si>
  <si>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</si>
  <si>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</si>
  <si>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Ãƒâ€šÃ‚Â© Ãƒâ€šÃ‚Â© Author(s) (or their employer(s)) 2019. Re-use permitted under CC BY. Published by BMJ.</t>
  </si>
  <si>
    <t>Study protocol identified in title and abstract.</t>
  </si>
  <si>
    <t>Peer-reviewed article on cost-effectiveness of public health interventions.</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</si>
  <si>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Ãƒâ€šÃ‚Â© 2019 BMJ Publishing Group Limited.</t>
  </si>
  <si>
    <t>Correct study type</t>
  </si>
  <si>
    <t>think this is essentially a Protocol</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</si>
  <si>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</si>
  <si>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</si>
  <si>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Peer-reviewed article with research findings.</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</si>
  <si>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ChildbirthÃƒÂ¢Ã¢â€šÂ¬Ã¢â€žÂ¢s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TVUÃƒÂ¢Ã¢â€šÂ¬Ã‚Âmeasured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TVUÃƒÂ¢Ã¢â€šÂ¬Ã‚Âmeasured cervical length of singletons with symptoms of PTL versus no knowledge. We are uncertain of the effects because of inconclusive results and very lowÃƒÂ¢Ã¢â€šÂ¬Ã‚Âquality evidence for: preterm births at less than 37 weeks (average RR 0.59, 95% CI 0.26 to 1.32; 2 studies, 242 participants; IÃƒâ€šÃ‚Â² = 66%; TauÃƒâ€šÃ‚Â²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IÃƒâ€šÃ‚Â²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ultrasoundÃƒÂ¢Ã¢â€šÂ¬Ã‚Âmeasured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costÃƒÂ¢Ã¢â€šÂ¬Ã‚Âeffectiveness analyses. Most importantly, future studies should include a clear protocol for management of women based on TVUÃƒÂ¢Ã¢â€šÂ¬Ã‚Âmeasured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lowÃƒÂ¢Ã¢â€šÂ¬Ã‚Âquality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costÃƒÂ¢Ã¢â€šÂ¬Ã‚Âeffectiveness analyses.</t>
  </si>
  <si>
    <t>Unknown</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</si>
  <si>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</si>
  <si>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</si>
  <si>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OnceÃƒÂ¢Ã¢â€šÂ¬Ã‚Âdaily versus multipleÃƒÂ¢Ã¢â€šÂ¬Ã‚Âdaily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</si>
  <si>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onceÃƒÂ¢Ã¢â€šÂ¬Ã‚Âdaily versus multipleÃƒÂ¢Ã¢â€šÂ¬Ã‚Âdaily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onceÃƒÂ¢Ã¢â€šÂ¬Ã‚Âdaily dosing of aminoglycosides has been compared with multipleÃƒÂ¢Ã¢â€šÂ¬Ã‚Âdaily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onceÃƒÂ¢Ã¢â€šÂ¬Ã‚Âdaily dosing with thriceÃƒÂ¢Ã¢â€šÂ¬Ã‚Âdaily dosing. One crossÃƒÂ¢Ã¢â€šÂ¬Ã‚Âover trial had 26 participants who received the firstÃƒÂ¢Ã¢â€šÂ¬Ã‚Âarm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ÃƒÂ¢Ã¢â€šÂ¬Ã‚Â2.81 to 3.48, moderateÃƒÂ¢Ã¢â€šÂ¬Ã‚Âquality evidence); forced vital capacity, MD 0.29 (95% CI ÃƒÂ¢Ã¢â€šÂ¬Ã‚Â6.58 to 7.16, lowÃƒÂ¢Ã¢â€šÂ¬Ã‚Âquality evidence); % weight for height, MD ÃƒÂ¢Ã¢â€šÂ¬Ã‚Â0.82 (95% CI ÃƒÂ¢Ã¢â€šÂ¬Ã‚Â3.77 to 2.13, lowÃƒÂ¢Ã¢â€šÂ¬Ã‚Âquality evidence); body mass index, MD 0.00 (95% CI ÃƒÂ¢Ã¢â€šÂ¬Ã‚Â0.42 to 0.42, lowÃƒÂ¢Ã¢â€šÂ¬Ã‚Âquality evidence); or in the incidence of ototoxicity, relative risk 0.56 (95% CI 0.04 to 7.96, moderateÃƒÂ¢Ã¢â€šÂ¬Ã‚Âquality evidence). OnceÃƒÂ¢Ã¢â€šÂ¬Ã‚Âdaily treatment in children probably improved the percentage change in creatinine, MD ÃƒÂ¢Ã¢â€šÂ¬Ã‚Â8.20 (95% CI ÃƒÂ¢Ã¢â€šÂ¬Ã‚Â15.32 to ÃƒÂ¢Ã¢â€šÂ¬Ã‚Â1.08, moderateÃƒÂ¢Ã¢â€šÂ¬Ã‚Âquality evidence), but showed no difference in adults, MD 3.25 (95% CI ÃƒÂ¢Ã¢â€šÂ¬Ã‚Â1.82 to 8.33, moderateÃƒÂ¢Ã¢â€šÂ¬Ã‚Âquality evidence). The included trials did not report antibiotic resistance patterns or quality of life. Authors' conclusions OnceÃƒÂ¢Ã¢â€šÂ¬Ã‚Â and threeÃƒÂ¢Ã¢â€šÂ¬Ã‚Âtimes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onceÃƒÂ¢Ã¢â€šÂ¬Ã‚ÂaÃƒÂ¢Ã¢â€šÂ¬Ã‚Âday dosing with three timesÃƒÂ¢Ã¢â€šÂ¬Ã‚ÂaÃƒÂ¢Ã¢â€šÂ¬Ã‚Âday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onceÃƒÂ¢Ã¢â€šÂ¬Ã‚Âdaily treatment can be just as effective and more convenient than threeÃƒÂ¢Ã¢â€šÂ¬Ã‚Âtimes daily treatment, we recommend further studies to look at the longÃƒÂ¢Ã¢â€šÂ¬Ã‚Âterm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</si>
  <si>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</si>
  <si>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</si>
  <si>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</si>
  <si>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</si>
  <si>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</si>
  <si>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</si>
  <si>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</si>
  <si>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</si>
  <si>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</si>
  <si>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Study protocol for a randomised controlled trial</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</si>
  <si>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Ãƒâ€šÃ‚Â© 2019 Elsevier Ltd. All rights reserved.</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</si>
  <si>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</si>
  <si>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</si>
  <si>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</si>
  <si>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J552</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</si>
  <si>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</si>
  <si>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</si>
  <si>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</si>
  <si>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</si>
  <si>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</si>
  <si>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</si>
  <si>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</si>
  <si>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</si>
  <si>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</si>
  <si>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</si>
  <si>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</si>
  <si>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</si>
  <si>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</si>
  <si>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</si>
  <si>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</si>
  <si>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</si>
  <si>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</si>
  <si>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</si>
  <si>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</si>
  <si>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</si>
  <si>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</si>
  <si>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</si>
  <si>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</si>
  <si>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</si>
  <si>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</si>
  <si>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</si>
  <si>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</si>
  <si>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</si>
  <si>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</si>
  <si>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</si>
  <si>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</si>
  <si>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</si>
  <si>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</si>
  <si>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</si>
  <si>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</si>
  <si>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</si>
  <si>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</si>
  <si>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</si>
  <si>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</si>
  <si>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</si>
  <si>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</si>
  <si>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</si>
  <si>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</si>
  <si>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</si>
  <si>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J567</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</si>
  <si>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</si>
  <si>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</si>
  <si>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</si>
  <si>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</si>
  <si>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</si>
  <si>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</si>
  <si>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</si>
  <si>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</si>
  <si>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J570</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</si>
  <si>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</si>
  <si>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</si>
  <si>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</si>
  <si>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</si>
  <si>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</si>
  <si>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</si>
  <si>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</si>
  <si>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</si>
  <si>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</si>
  <si>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</si>
  <si>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</si>
  <si>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</si>
  <si>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</si>
  <si>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</si>
  <si>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</si>
  <si>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</si>
  <si>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</si>
  <si>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</si>
  <si>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</si>
  <si>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</si>
  <si>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</si>
  <si>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</si>
  <si>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</si>
  <si>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</si>
  <si>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</si>
  <si>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</si>
  <si>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</si>
  <si>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</si>
  <si>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</si>
  <si>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</si>
  <si>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</si>
  <si>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</si>
  <si>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</si>
  <si>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</si>
  <si>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</si>
  <si>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</si>
  <si>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</si>
  <si>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</si>
  <si>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</si>
  <si>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</si>
  <si>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</si>
  <si>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</si>
  <si>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</si>
  <si>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</si>
  <si>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</si>
  <si>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</si>
  <si>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</si>
  <si>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</si>
  <si>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</si>
  <si>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</si>
  <si>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</si>
  <si>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</si>
  <si>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</si>
  <si>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</si>
  <si>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</si>
  <si>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</si>
  <si>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</si>
  <si>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</si>
  <si>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</si>
  <si>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</si>
  <si>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</si>
  <si>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</si>
  <si>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</si>
  <si>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</si>
  <si>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</si>
  <si>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</si>
  <si>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</si>
  <si>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</si>
  <si>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</si>
  <si>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</si>
  <si>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</si>
  <si>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</si>
  <si>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</si>
  <si>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</si>
  <si>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</si>
  <si>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</si>
  <si>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</si>
  <si>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</si>
  <si>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</si>
  <si>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</si>
  <si>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</si>
  <si>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</si>
  <si>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</si>
  <si>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</si>
  <si>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</si>
  <si>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</si>
  <si>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</si>
  <si>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</si>
  <si>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</si>
  <si>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</si>
  <si>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</si>
  <si>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</si>
  <si>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</si>
  <si>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</si>
  <si>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</si>
  <si>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</si>
  <si>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</si>
  <si>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</si>
  <si>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J2833</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</si>
  <si>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</si>
  <si>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</si>
  <si>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</si>
  <si>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</si>
  <si>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</si>
  <si>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J2835</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</si>
  <si>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</si>
  <si>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</si>
  <si>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</si>
  <si>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</si>
  <si>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</si>
  <si>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</si>
  <si>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</si>
  <si>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</si>
  <si>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</si>
  <si>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</si>
  <si>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</si>
  <si>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</si>
  <si>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</si>
  <si>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</si>
  <si>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</si>
  <si>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</si>
  <si>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</si>
  <si>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</si>
  <si>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</si>
  <si>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</si>
  <si>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</si>
  <si>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</si>
  <si>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</si>
  <si>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</si>
  <si>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</si>
  <si>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</si>
  <si>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</si>
  <si>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</si>
  <si>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</si>
  <si>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</si>
  <si>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</si>
  <si>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</si>
  <si>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</si>
  <si>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</si>
  <si>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</si>
  <si>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</si>
  <si>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</si>
  <si>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</si>
  <si>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</si>
  <si>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</si>
  <si>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</si>
  <si>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</si>
  <si>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</si>
  <si>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</si>
  <si>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</si>
  <si>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</si>
  <si>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</si>
  <si>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</si>
  <si>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</si>
  <si>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</si>
  <si>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</si>
  <si>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</si>
  <si>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</si>
  <si>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</si>
  <si>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</si>
  <si>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</si>
  <si>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</si>
  <si>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</si>
  <si>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</si>
  <si>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</si>
  <si>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</si>
  <si>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</si>
  <si>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</si>
  <si>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</si>
  <si>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</si>
  <si>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</si>
  <si>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</si>
  <si>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</si>
  <si>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J2858</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</si>
  <si>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</si>
  <si>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</si>
  <si>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</si>
  <si>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</si>
  <si>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</si>
  <si>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</si>
  <si>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</si>
  <si>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</si>
  <si>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J2861</t>
  </si>
  <si>
    <t>Integrated disease management interventions for patients with chronic obstructive pulmonary disease</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</si>
  <si>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</si>
  <si>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</si>
  <si>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</si>
  <si>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</si>
  <si>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</si>
  <si>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</si>
  <si>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</si>
  <si>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</si>
  <si>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</si>
  <si>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</si>
  <si>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J2865</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</si>
  <si>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</si>
  <si>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</si>
  <si>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</si>
  <si>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</si>
  <si>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</si>
  <si>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</si>
  <si>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</si>
  <si>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</si>
  <si>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</si>
  <si>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</si>
  <si>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</si>
  <si>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</si>
  <si>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</si>
  <si>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</si>
  <si>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</si>
  <si>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</si>
  <si>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</si>
  <si>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</si>
  <si>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</si>
  <si>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</si>
  <si>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</si>
  <si>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</si>
  <si>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</si>
  <si>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</si>
  <si>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</si>
  <si>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</si>
  <si>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</si>
  <si>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</si>
  <si>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</si>
  <si>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</si>
  <si>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</si>
  <si>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</si>
  <si>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</si>
  <si>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</si>
  <si>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</si>
  <si>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</si>
  <si>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</si>
  <si>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</si>
  <si>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J2878</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</si>
  <si>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</si>
  <si>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</si>
  <si>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</si>
  <si>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</si>
  <si>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</si>
  <si>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J2880</t>
  </si>
  <si>
    <t>Status of primary and secondary mental healthcare of people with severe mental illness: An epidemiological study from the UK PARTNERS2 programme</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</si>
  <si>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</si>
  <si>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</si>
  <si>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</si>
  <si>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</si>
  <si>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</si>
  <si>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</si>
  <si>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</si>
  <si>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</si>
  <si>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</si>
  <si>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</si>
  <si>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</si>
  <si>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</si>
  <si>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</si>
  <si>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</si>
  <si>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</si>
  <si>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</si>
  <si>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</si>
  <si>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</si>
  <si>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J2887</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</si>
  <si>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</si>
  <si>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</si>
  <si>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</si>
  <si>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</si>
  <si>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</si>
  <si>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</si>
  <si>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</si>
  <si>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</si>
  <si>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</si>
  <si>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</si>
  <si>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</si>
  <si>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</si>
  <si>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</si>
  <si>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</si>
  <si>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</si>
  <si>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</si>
  <si>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</si>
  <si>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</si>
  <si>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</si>
  <si>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</si>
  <si>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</si>
  <si>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</si>
  <si>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</si>
  <si>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</si>
  <si>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</si>
  <si>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</si>
  <si>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J2896</t>
  </si>
  <si>
    <t>Dietetics and community pharmacy working together; improving nutritional care for patients prescribed oral nutritional supplements (ONS)</t>
  </si>
  <si>
    <t>A pilot to support ‘New Ways of Working’ for</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</si>
  <si>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</si>
  <si>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</si>
  <si>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</si>
  <si>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</si>
  <si>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</si>
  <si>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</si>
  <si>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J2899</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</si>
  <si>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</si>
  <si>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</si>
  <si>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</si>
  <si>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</si>
  <si>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</si>
  <si>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</si>
  <si>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</si>
  <si>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</si>
  <si>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</si>
  <si>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</si>
  <si>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</si>
  <si>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</si>
  <si>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</si>
  <si>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</si>
  <si>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</si>
  <si>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</si>
  <si>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J2905</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</si>
  <si>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</si>
  <si>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</si>
  <si>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</si>
  <si>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</si>
  <si>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</si>
  <si>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</si>
  <si>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</si>
  <si>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</si>
  <si>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</si>
  <si>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</si>
  <si>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</si>
  <si>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</si>
  <si>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</si>
  <si>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</si>
  <si>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</si>
  <si>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</si>
  <si>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</si>
  <si>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</si>
  <si>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</si>
  <si>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</si>
  <si>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</si>
  <si>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</si>
  <si>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</si>
  <si>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</si>
  <si>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</si>
  <si>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</si>
  <si>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</si>
  <si>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</si>
  <si>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</si>
  <si>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</si>
  <si>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</si>
  <si>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</si>
  <si>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</si>
  <si>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J6206</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</si>
  <si>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</si>
  <si>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</si>
  <si>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</si>
  <si>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</si>
  <si>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</si>
  <si>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</si>
  <si>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</si>
  <si>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</si>
  <si>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J6209</t>
  </si>
  <si>
    <t>Tranexamic acid for preventing postpartum haemorrhage after vaginal birth</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</si>
  <si>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</si>
  <si>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</si>
  <si>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</si>
  <si>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</si>
  <si>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</si>
  <si>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</si>
  <si>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</si>
  <si>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</si>
  <si>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</si>
  <si>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</si>
  <si>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</si>
  <si>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</si>
  <si>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</si>
  <si>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</si>
  <si>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</si>
  <si>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</si>
  <si>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</si>
  <si>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</si>
  <si>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</si>
  <si>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</si>
  <si>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</si>
  <si>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</si>
  <si>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</si>
  <si>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</si>
  <si>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</si>
  <si>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</si>
  <si>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</si>
  <si>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</si>
  <si>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could exclude as guideline</t>
  </si>
  <si>
    <t>could exclude, think this a presentation</t>
  </si>
  <si>
    <t>could exclude as recommendations</t>
  </si>
  <si>
    <t>comment</t>
  </si>
  <si>
    <t>more grey lit?</t>
  </si>
  <si>
    <t>might be more grey lit?</t>
  </si>
  <si>
    <t>Correct study type - but might be commentary</t>
  </si>
  <si>
    <t>PharmacyÃƒÂ¢Ã¢â€šÂ¬Ã‚Âbased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</si>
  <si>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pharmacistÃƒÂ¢Ã¢â€šÂ¬Ã‚Âbased interventions is not yet well understood. The degree to which a pharmacyÃƒÂ¢Ã¢â€šÂ¬Ã‚Âbased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pharmacyÃƒÂ¢Ã¢â€šÂ¬Ã‚Âbased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(selfÃƒÂ¢Ã¢â€šÂ¬Ã‚Â)monitoring of medication adherence offered by a healthcare professional outside the pharmacy team) at improving depression outcomes in adults. Search methods We searched the Cochrane Common Mental Disorders Controlled Trials Register (CCMDÃƒÂ¢Ã¢â€šÂ¬Ã‚ÂCTR)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clusterÃƒÂ¢Ã¢â€šÂ¬Ã‚ÂRCTs where a pharmacyÃƒÂ¢Ã¢â€šÂ¬Ã‚Âbased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nonÃƒÂ¢Ã¢â€šÂ¬Ã‚Âadherence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metaÃƒÂ¢Ã¢â€šÂ¬Ã‚Âanalyses, we synthesised results narratively. Main results Twelve studies (2215 participants) met the inclusion criteria and compared pharmacyÃƒÂ¢Ã¢â€šÂ¬Ã‚Âbased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pharmacyÃƒÂ¢Ã¢â€šÂ¬Ã‚Âbased management and the other better acceptability of the active control. One study reported that participants in the pharmacyÃƒÂ¢Ã¢â€šÂ¬Ã‚Âbased management group had better medication adherence than the control participants. One study reported adverse events with no difference between groups. The studies reported no other outcomes. MetaÃƒÂ¢Ã¢â€šÂ¬Ã‚Âanalyses comparing pharmacyÃƒÂ¢Ã¢â€šÂ¬Ã‚Âbased management with treatment as usual showed no evidence of a difference in the effect of the intervention on depression symptom change (dichotomous data; improvement in symptoms yes/no: risk ratio (RR), 0.95, 95% confidence interval (CI) 0.86 to 1.05; 4 RCTs, 475 participants; moderateÃƒÂ¢Ã¢â€šÂ¬Ã‚Âquality evidence; continuous data: standard mean difference (SMD) ÃƒÂ¢Ã¢â€šÂ¬Ã‚Â0.04, 95%</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</si>
  <si>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Ãƒâ€šÃ‚Â© 2019 Rila Publications Ltd."</t>
  </si>
  <si>
    <t>Grey literature</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</si>
  <si>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Ãƒâ€šÃ‚Â© 2019</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</si>
  <si>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childÃƒÂ¢Ã¢â€šÂ¬Ã¢â€žÂ¢s wellÃƒÂ¢Ã¢â€šÂ¬Ã‚Âbeing,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InÃƒÂ¢Ã¢â€šÂ¬Ã‚ÂProcess,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quasiÃƒÂ¢Ã¢â€šÂ¬Ã‚Ârandomised, multiÃƒÂ¢Ã¢â€šÂ¬Ã‚Âarm studies, crossÃƒÂ¢Ã¢â€šÂ¬Ã‚Âover studies and clusterÃƒÂ¢Ã¢â€šÂ¬Ã‚Ârandomised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metaÃƒÂ¢Ã¢â€šÂ¬Ã‚Âanalysis was possible, we applied randomÃƒÂ¢Ã¢â€šÂ¬Ã‚Âeffects metaÃƒÂ¢Ã¢â€šÂ¬Ã‚Âanalysis using the MantelÃƒÂ¢Ã¢â€šÂ¬Ã‚ÂHaenszel method for dichotomous outcomes. Main results The review included 27 RCTs involving 1803 children. Of these, six were multiÃƒÂ¢Ã¢â€šÂ¬Ã‚Âarm and one was also a crossÃƒÂ¢Ã¢â€šÂ¬Ã‚Âover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lowÃƒÂ¢Ã¢â€šÂ¬Ã‚Âcertainty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lowÃƒÂ¢Ã¢â€šÂ¬Ã‚Âcertainty evidence). Voiding education with uroflowmetry feedback and urotherapy versus urotherapy alone. Slightly more children receiving voiding education with uroflow feedback and urotherapy may achieve continence (RR 1.13, 95% CI 0.87 to 1.45; 3 studies; n = 151; lowÃƒÂ¢Ã¢â€šÂ¬Ã‚Âcertainty evidence). Urotherapy with timer watch versus urotherapy alone. We are uncertain whether urotherapy plus timer watch increases the number of children achieving continence compared to urotherapy alone (RR 1.42, 95% CI 1.12 to 1.80; 1 study; n = 58; very lowÃƒÂ¢Ã¢â€šÂ¬Ã‚Âcertainty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lowÃƒÂ¢Ã¢â€šÂ¬Ã‚Âcertainty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lowÃƒÂ¢Ã¢â€šÂ¬Ã‚Âcertainty evidence). Individual conservative interventions versus nonÃƒÂ¢Ã¢â€šÂ¬Ã‚Âconservative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lowÃƒÂ¢Ã¢â€šÂ¬Ã‚Âcertainty evidence). TENS versus anticholinergics. We are uncertain whether there was any evidence of a difference between treatment groups in the proportions of children achieving continence (RR 0.81, 95% CI 0.05 to 12.50; 2 studies; n = 72; very lowÃƒÂ¢Ã¢â€šÂ¬Ã‚Âcertainty evidence). Combined conservative interventions versus nonÃƒÂ¢Ã¢â€šÂ¬Ã‚Âconservative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lowÃƒÂ¢Ã¢â€šÂ¬Ã‚Âcertainty evidence). Authors' conclusions The review found little reliable evidence that can help affected children, their carers and the clinicians working with them to make evidenceÃƒÂ¢Ã¢â€šÂ¬Ã‚Âbased treatment decisions. In this scenario, the clinical experience of individual clinicians and the support of carers may be the most valuable resources. More wellÃƒÂ¢Ã¢â€šÂ¬Ã‚Âdesigned research, with wellÃƒÂ¢Ã¢â€šÂ¬Ã‚Âdefined interventions and consistent outcome measurement, is needed. Plain language summary Conservative (nonÃƒÂ¢Ã¢â€šÂ¬Ã‚Âpharmaceutical and nonÃƒÂ¢Ã¢â€šÂ¬Ã‚Âsurgical)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upÃƒÂ¢Ã¢â€šÂ¬Ã‚ÂtoÃƒÂ¢Ã¢â€šÂ¬Ã‚Âdate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ÃƒÂ¢Ã¢â€šÂ¬Ã‚Â and sometimes carers ÃƒÂ¢Ã¢â€šÂ¬Ã‚Â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nonÃƒÂ¢Ã¢â€šÂ¬Ã‚Âserious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goodÃƒÂ¢Ã¢â€šÂ¬Ã‚Âquality research evidence that can help children, their carers and doctors and nurses to make decisions about treatments. More wellÃƒÂ¢Ã¢â€šÂ¬Ã‚Âdesigned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</si>
  <si>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Peer-reviewed article from Cochrane Review.</t>
  </si>
  <si>
    <t>Appears to be a peer-reviewed research article.</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</si>
  <si>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healthÃƒÂ¢Ã¢â€šÂ¬Ã‚Ârelated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webÃƒÂ¢Ã¢â€šÂ¬Ã‚Âbased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fullÃƒÂ¢Ã¢â€šÂ¬Ã‚Âtext articles, extracted data, and assessed risk of bias. For analysis, we used a randomÃƒÂ¢Ã¢â€šÂ¬Ã‚Âeffects statistical model for all metaÃƒÂ¢Ã¢â€šÂ¬Ã‚Âanalyses,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lowÃƒÂ¢Ã¢â€šÂ¬Ã‚Âcertainty evidence). For secondary malignancies, dietary interventions versus control trials reported little or no difference (risk ratio (RR) 0.99, 95% CI 0.84 to 1.15; 1 study; 3107 participants; lowÃƒÂ¢Ã¢â€šÂ¬Ã‚Âcertainty evidence). CoÃƒÂ¢Ã¢â€šÂ¬Ã‚Âmorbidities were not measured in any included trials. Subsequent outcomes reported after 12 months found that dietary interventions versus control probably make little or no difference in energy intake at 12 months (mean difference (MD) ÃƒÂ¢Ã¢â€šÂ¬Ã‚Â59.13 kcal, 95% CI ÃƒÂ¢Ã¢â€šÂ¬Ã‚Â159.05 to 37.79; 5 studies; 3283 participants; moderateÃƒÂ¢Ã¢â€šÂ¬Ã‚Âcertainty evidence). Dietary interventions versus control probably led to slight increases in fruit and vegetable servings (MD 0.41 servings, 95% CI 0.10 to 0.71; 5 studies; 834 participants; moderateÃƒÂ¢Ã¢â€šÂ¬Ã‚Âcertainty evidence); mixed results for fibre intake overall (MD 5.12 g, 95% CI 0.66 to 10.9; 2 studies; 3127 participants; very lowÃƒÂ¢Ã¢â€šÂ¬Ã‚Âcertainty evidence); and likely improvement in Diet Quality Index (MD 3.46, 95% CI 1.54 to 5.38; 747 participants; moderateÃƒÂ¢Ã¢â€šÂ¬Ã‚Âcertainty evidence). For anthropometry, dietary intervention versus control probably led to a slightly decreased body mass index (BMI) (MD ÃƒÂ¢Ã¢â€šÂ¬Ã‚Â0.79 kg/mÃƒâ€šÃ‚Â², 95% CI ÃƒÂ¢Ã¢â€šÂ¬Ã‚Â1.50 to ÃƒÂ¢Ã¢â€šÂ¬Ã‚Â0.07; 4 studies; 777 participants; moderateÃƒÂ¢Ã¢â€šÂ¬Ã‚Âcertainty evidence). Dietary interventions versus control probably had little or no effect on waistÃƒÂ¢Ã¢â€šÂ¬Ã‚ÂtoÃƒÂ¢Ã¢â€šÂ¬Ã‚Âhip ratio (MD ÃƒÂ¢Ã¢â€šÂ¬Ã‚Â0.01, 95% CI ÃƒÂ¢Ã¢â€šÂ¬Ã‚Â0.04 to 0.02; 2 studies; 106 participants; lowÃƒÂ¢Ã¢â€šÂ¬Ã‚Âcertainty evidence). For QoL, there were mixed results; several different quality assessment tools were used and evidence was of low to very lowÃƒÂ¢Ã¢â€šÂ¬Ã‚Âcertainty.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waistÃƒÂ¢Ã¢â€šÂ¬Ã‚ÂtoÃƒÂ¢Ã¢â€šÂ¬Ã‚Âhip ratio. For QoL, results were highly varied. Additional highÃƒÂ¢Ã¢â€šÂ¬Ã‚Âquality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ÃƒÂ¢Ã¢â€šÂ¬Ã‚Â¨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ÃƒÂ¢Ã¢â€šÂ¬Ã‚Â¨ This review evaluates evidence on dietary interventions for people after cancer. Quality of evidence ÃƒÂ¢Ã¢â€šÂ¬Ã‚Â¨ The quality of evidence is generally low to very low. Most studies did not evaluate dietary interventions for key review outcomes, particularly mortality and morbidity. However, a few study outcomes with moderateÃƒÂ¢Ã¢â€šÂ¬Ã‚Âcertainty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ÃƒÂ¢Ã¢â€šÂ¬Ã‚Â¨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(moderateÃƒÂ¢Ã¢â€šÂ¬Ã‚Âcertainty evidence ) . Evidence on dietary fibre was mixed for different advice on weight reducing or healthy eating. Dietary interventions compared to control probably improved the Diet Quality Index (moderateÃƒÂ¢Ã¢â€šÂ¬Ã‚Âcertainty evidence ) . For physical measurements, we found a probable reduction in body mass index (BMI) with dietary interventions compared to controls (moderateÃƒÂ¢Ã¢â€šÂ¬Ã‚Âcertainty evidence) but little evidence showing any change in waistÃƒÂ¢Ã¢â€šÂ¬Ã‚ÂtoÃƒÂ¢Ã¢â€šÂ¬Ã‚Âhip ratio (lowÃƒÂ¢Ã¢â€šÂ¬Ã‚Âcertainty evidence ) . For quality of life (QoL), results were mixed due to the wide variety of tools used. No adverse events were reported. Conclusion ÃƒÂ¢Ã¢â€šÂ¬Ã‚Â¨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</si>
  <si>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Ãƒâ€šÃ‚Â© 2019 Author(s) (or their employer(s)). Re-use permitted under CC BY-NC.</t>
  </si>
  <si>
    <t>- Background Although delirium is typically an acute reversible cognitive impairment, its presence is associated with devastating impact on both shortÃƒÂ¢Ã¢â€šÂ¬Ã‚Âterm and longÃƒÂ¢Ã¢â€šÂ¬Ã‚Âterm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deliriumÃƒÂ¢Ã¢â€šÂ¬Ã‚Âfree and comaÃƒÂ¢Ã¢â€šÂ¬Ã‚Âfree days; days with coma; delirium relapse; duration of mechanical ventilation; intensive care unit (ICU) and hospital length of stay; mortality; and longÃƒÂ¢Ã¢â€šÂ¬Ã‚Âterm outcomes (e.g. cognitive; discharge disposition; healthÃƒÂ¢Ã¢â€šÂ¬Ã‚Ârelated quality of life); and 2. the safety of such treatments for critically ill adult patients. Search methods We searched the following databases from their inception date to 21 March 2019: Ovid MEDLINEÃƒâ€šÃ‚Â®, Ovid MEDLINEÃƒâ€šÃ‚Â® InÃƒÂ¢Ã¢â€šÂ¬Ã‚ÂProcess &amp; Other NonÃƒÂ¢Ã¢â€šÂ¬Ã‚ÂIndexed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quasiÃƒÂ¢Ã¢â€šÂ¬Ã‚ÂRCTs, of any pharmacological (drug) for treatment of delirium in critically ill adults. The drug intervention was to be compared to another active drug treatment, placebo, or a nonÃƒÂ¢Ã¢â€šÂ¬Ã‚Âpharmacological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highÃƒÂ¢Ã¢â€šÂ¬Ã‚Âdependency unit. Data collection and analysis Two review authors independently identified studies from the search results; four review authors (in pairs) performed data extraction and assessed risk of bias independently. We performed data synthesis through pairwise metaÃƒÂ¢Ã¢â€šÂ¬Ã‚Âanalysis and network metaÃƒÂ¢Ã¢â€šÂ¬Ã‚Âanalysis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placeboÃƒÂ¢Ã¢â€šÂ¬Ã‚Âcontrolled,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nonÃƒÂ¢Ã¢â€šÂ¬Ã‚Âpharmacological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moderateÃƒÂ¢Ã¢â€šÂ¬Ã‚Âquality evidence). In order of descending SUCRA values (best to worst), the next best interventions were atypical antipsychotics (RoM 0.80, 95% CrI 0.50 to 1.11; SUCRA 0.738; moderateÃƒÂ¢Ã¢â€šÂ¬Ã‚Âquality evidence), opioids (RoM 0.88, 95% CrI 0.37 to 2.01; SUCRA 0.578; veryÃƒÂ¢Ã¢â€šÂ¬Ã‚Âlow quality evidence), and typical antipsychotics (RoM 0.96, 95% CrI 0.64 to1.36; SUCRA 0.468; highÃƒÂ¢Ã¢â€šÂ¬Ã‚Âquality evidence). The NMAs of multiple secondary outcomes revealed that only the alpha 2 agonist dexmedetomidine was associated with a shorter duration of mechanical ventilation (RoM 0.55, 95% CrI 0.34 to 0.89; moderateÃƒÂ¢Ã¢â€šÂ¬Ã‚Âquality evidence), and the CHE inhibitor rivastigmine was associated with a longer ICU stay (RoM 2.19, 95% CrI 1.47 to 3.27; moderateÃƒÂ¢Ã¢â€šÂ¬Ã‚Âquality evidence). Adverse events often were not reported in these trials or, when reported, were rare; pairÃƒÂ¢Ã¢â€šÂ¬Ã‚Âwise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deliriumÃƒÂ¢Ã¢â€šÂ¬Ã‚Âfree and comaÃƒÂ¢Ã¢â€šÂ¬Ã‚Âfree days, days with coma, physical restraint use, length of stay, longÃƒÂ¢Ã¢â€šÂ¬Ã‚Âterm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newÃƒÂ¢Ã¢â€šÂ¬Ã‚Âonset, generally shortÃƒÂ¢Ã¢â€šÂ¬Ã‚Âterm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longerÃƒÂ¢Ã¢â€šÂ¬Ã‚Âterm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ÃƒÂ¢Ã¢â€šÂ¬Ã‚Â an inactive medicine also known as a sugar pill; four studies compared different drugs. Eleven studies with 1153 participants reported on the main outcome of this review ÃƒÂ¢Ã¢â€šÂ¬Ã‚Â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metaÃƒÂ¢Ã¢â€šÂ¬Ã‚Âanalysis to compare the six different drug classes. Dexmedetomidine was ranked most effective in reducing delirium duration, followed by atypical antipsychotics. However, network metaÃƒÂ¢Ã¢â€šÂ¬Ã‚Âanalysis of delirium duration failed to rule out the possibility of no difference for all six drug classes compared to placebo. Using this method, we did not find that any drug improved the duration of coma, length of stay, longÃƒÂ¢Ã¢â€šÂ¬Ã‚Âterm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</si>
  <si>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nurseÃƒÂ¢Ã¢â€šÂ¬Ã‚Âstaffing models and patientÃƒÂ¢Ã¢â€šÂ¬Ã‚Â and staffÃƒÂ¢Ã¢â€šÂ¬Ã‚Ârelated outcomes</t>
  </si>
  <si>
    <t>- Background Nurses comprise the largest component of the health workforce worldwide and numerous models of workforce allocation and profile have been implemented. These include changes in skill mix, grade mix or qualification mix, staffÃƒÆ’Ã‚Â¢ÃƒÂ¢Ã¢â‚¬Å¡Ã‚Â¬Ãƒâ€šÃ‚Âallocation models, staffing levels, nursing shifts, or nursesÃƒÆ’Ã‚Â¢ÃƒÂ¢Ã¢â‚¬Å¡Ã‚Â¬ÃƒÂ¢Ã¢â‚¬Å¾Ã‚Â¢ work patterns. This is the first update of our review published in 2011. Objectives The purpose of this review was to explore the effect of hospital nurseÃƒÆ’Ã‚Â¢ÃƒÂ¢Ã¢â‚¬Å¡Ã‚Â¬Ãƒâ€šÃ‚Âstaffing models on patient and staffÃƒÆ’Ã‚Â¢ÃƒÂ¢Ã¢â‚¬Å¡Ã‚Â¬Ãƒâ€šÃ‚Ârelated outcomes in the hospital setting, specifically to identify which staffing model(s) are associated with: 1) better outcomes for patients, 2) better staffÃƒÆ’Ã‚Â¢ÃƒÂ¢Ã¢â‚¬Å¡Ã‚Â¬Ãƒâ€šÃ‚Ârelated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nonÃƒÆ’Ã‚Â¢ÃƒÂ¢Ã¢â‚¬Å¡Ã‚Â¬Ãƒâ€šÃ‚Ârandomised trials, controlled beforeÃƒÆ’Ã‚Â¢ÃƒÂ¢Ã¢â‚¬Å¡Ã‚Â¬Ãƒâ€šÃ‚Âafter studies and interruptedÃƒÆ’Ã‚Â¢ÃƒÂ¢Ã¢â‚¬Å¡Ã‚Â¬Ãƒâ€šÃ‚ÂtimeÃƒÆ’Ã‚Â¢ÃƒÂ¢Ã¢â‚¬Å¡Ã‚Â¬Ãƒâ€šÃ‚Âseries or repeatedÃƒÆ’Ã‚Â¢ÃƒÂ¢Ã¢â‚¬Å¡Ã‚Â¬Ãƒâ€šÃ‚Âmeasures studies of interventions relating to hospital nurseÃƒÆ’Ã‚Â¢ÃƒÂ¢Ã¢â‚¬Å¡Ã‚Â¬Ãƒâ€šÃ‚Âstaffing models. Participants were patients and nursing staff working in hospital settings. We included any objective reported measure of patientÃƒÆ’Ã‚Â¢ÃƒÂ¢Ã¢â‚¬Å¡Ã‚Â¬Ãƒâ€šÃ‚Â, staffÃƒÆ’Ã‚Â¢ÃƒÂ¢Ã¢â‚¬Å¡Ã‚Â¬Ãƒâ€šÃ‚Ârelated, or economic outcome. The most important outcomes included in this review were: nursingÃƒÆ’Ã‚Â¢ÃƒÂ¢Ã¢â‚¬Å¡Ã‚Â¬Ãƒâ€šÃ‚Âstaff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nurseÃƒÆ’Ã‚Â¢ÃƒÂ¢Ã¢â‚¬Å¡Ã‚Â¬Ãƒâ€šÃ‚Âstaffing models: ÃƒÆ’Ã‚Â¢ÃƒÂ¢Ã¢â‚¬Å¡Ã‚Â¬Ãƒâ€šÃ‚Â introduction of advanced or specialist nurses to the nursing workforce; ÃƒÆ’Ã‚Â¢ÃƒÂ¢Ã¢â‚¬Å¡Ã‚Â¬Ãƒâ€šÃ‚Â introduction of nursing assistive personnel to the hospital workforce; ÃƒÆ’Ã‚Â¢ÃƒÂ¢Ã¢â‚¬Å¡Ã‚Â¬Ãƒâ€šÃ‚Â primary nursing; and ÃƒÆ’Ã‚Â¢ÃƒÂ¢Ã¢â‚¬Å¡Ã‚Â¬Ãƒâ€šÃ‚Â staffing models. The studies were conducted in the USA, the Netherlands, UK, Australia, and Canada and included patients with cancer, asthma, diabetes and chronic illness, on medical, acute care, intensive care and longÃƒÆ’Ã‚Â¢ÃƒÂ¢Ã¢â‚¬Å¡Ã‚Â¬Ãƒâ€šÃ‚Âstay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nursingÃƒÆ’Ã‚Â¢ÃƒÂ¢Ã¢â‚¬Å¡Ã‚Â¬Ãƒâ€šÃ‚Âstaff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nurseÃƒÆ’Ã‚Â¢ÃƒÂ¢Ã¢â‚¬Å¡Ã‚Â¬Ãƒâ€šÃ‚Âstaffing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lessÃƒÆ’Ã‚Â¢ÃƒÂ¢Ã¢â‚¬Å¡Ã‚Â¬Ãƒâ€šÃ‚Âqualified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nursingÃƒÆ’Ã‚Â¢ÃƒÂ¢Ã¢â‚¬Å¡Ã‚Â¬Ãƒâ€šÃ‚Âstaff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nursingÃƒÆ’Ã‚Â¢ÃƒÂ¢Ã¢â‚¬Å¡Ã‚Â¬Ãƒâ€šÃ‚Âstaff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nurseÃƒÆ’Ã‚Â¢ÃƒÂ¢Ã¢â‚¬Å¡Ã‚Â¬Ãƒâ€šÃ‚Âstaffing models. One nurseÃƒÆ’Ã‚Â¢ÃƒÂ¢Ã¢â‚¬Å¡Ã‚Â¬Ãƒâ€šÃ‚Âstaffing model study tested hospital units scheduling their own nursing shifts (selfÃƒÆ’Ã‚Â¢ÃƒÂ¢Ã¢â‚¬Å¡Ã‚Â¬Ãƒâ€šÃ‚Âstaffing), and the other study compared different ways to schedule nursing shifts. We cannot be sure about the impact of primary nursing or nurseÃƒÆ’Ã‚Â¢ÃƒÂ¢Ã¢â‚¬Å¡Ã‚Â¬Ãƒâ€šÃ‚Âstaffing models on nurse resignations or costs because the research is very limited. How upÃƒÆ’Ã‚Â¢ Ãƒâ€šÃ‚ÂtoÃƒÆ’Ã‚Â¢ÃƒÂ¢Ã¢â‚¬Å¡Ã‚Â¬Ãƒâ€šÃ‚Âdate is this review? The review authors searched for studies that had been published up to March 2018.</t>
  </si>
  <si>
    <t>Interventions for involving older patients with multiÃƒÂ¢Ã¢â€šÂ¬Ã‚Âmorbidity in decisionÃƒÂ¢Ã¢â€šÂ¬Ã‚Âmaking during primary care consultations</t>
  </si>
  <si>
    <t>- Background Older patients with multiple health problems (multiÃƒÂ¢Ã¢â€šÂ¬Ã‚Âmorbidity) value being involved in decisionÃƒÂ¢Ã¢â€šÂ¬Ã‚Âmaking about their health care. However, they are less frequently involved than younger patients. To maximise quality of life, dayÃƒÂ¢Ã¢â€šÂ¬Ã‚ÂtoÃƒÂ¢Ã¢â€šÂ¬Ã‚Âday function, and patient safety, older patients require support to identify unmet healthcare needs and to prioritise treatment options. Objectives To assess the effects of interventions for older patients with multiÃƒÂ¢Ã¢â€šÂ¬Ã‚Âmorbidity aiming to involve them in decisionÃƒÂ¢Ã¢â€šÂ¬Ã‚Âmaking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clusterÃƒÂ¢Ã¢â€šÂ¬Ã‚ÂRCTs, and quasiÃƒÂ¢Ã¢â€šÂ¬Ã‚ÂRCTs of interventions to involve patients in decisionÃƒÂ¢Ã¢â€šÂ¬Ã‚Âmaking about their health care versus usual care/control/another intervention, for patients aged 65 years and older with multiÃƒÂ¢Ã¢â€šÂ¬Ã‚Âmorbidity in primary care. Data collection and analysis We used standard Cochrane methodological procedures. MetaÃƒÂ¢Ã¢â€šÂ¬Ã‚Âanalysis was not possible; therefore we prepared a narrative synthesis. Main results We included three studies involving 1879 participants: two RCTs and one clusterÃƒÂ¢Ã¢â€šÂ¬Ã‚ÂRCT. Interventions consisted of: Ãƒâ€šÃ‚Â· patient workshop and individual coaching using behaviour change techniques; Ãƒâ€šÃ‚Â· individual patient coaching utilising cognitiveÃƒÂ¢Ã¢â€šÂ¬Ã‚Âbehavioural therapy and motivational interviewing; and Ãƒâ€šÃ‚Â· holistic patient review, multiÃƒÂ¢Ã¢â€šÂ¬Ã‚Âdisciplinary practitioner training, and organisational change. No studies reported the primary outcome ÃƒÂ¢Ã¢â€šÂ¬Ã‹Å“patient involvement in decisionÃƒÂ¢Ã¢â€šÂ¬Ã‚ÂmakingÃƒÂ¢Ã¢â€šÂ¬Ã¢â€žÂ¢ or the primary adverse outcome ÃƒÂ¢Ã¢â€šÂ¬Ã‹Å“less patient involvement as a result of the interventionÃƒÂ¢Ã¢â€šÂ¬Ã¢â€žÂ¢. Comparing interventions (patient workshop and individual coaching, holistic patient review plus practitioner training, and organisational change) to usual care: we are uncertain whether interventions had any effect on patient reports of high selfÃƒÂ¢Ã¢â€šÂ¬Ã‚Ârated health (risk ratio (RR) 1.40, 95% confidence interval (CI) 0.36 to 5.49; very lowÃƒÂ¢Ã¢â€šÂ¬Ã‚Âcertainty evidence) or on patient enablement (mean difference (MD) 0.60, 95% CI ÃƒÂ¢Ã¢â€šÂ¬Ã‚Â9.23 to 10.43; very lowÃƒÂ¢Ã¢â€šÂ¬Ã‚Âcertainty evidence) compared with usual care. Interventions probably had no effect on healthÃƒÂ¢Ã¢â€šÂ¬Ã‚Ârelated quality of life (adjusted difference in means 0.00, 95% CI ÃƒÂ¢Ã¢â€šÂ¬Ã‚Â0.02 to 0.02; moderateÃƒÂ¢Ã¢â€šÂ¬Ã‚Âcertainty evidence) or on medication adherence (MD 0.06, 95% CI ÃƒÂ¢Ã¢â€šÂ¬Ã‚Â0.05 to 0.17; moderateÃƒÂ¢Ã¢â€šÂ¬Ã‚Âcertainty evidence) but probably improved the number of patients discussing their priorities (adjusted odds ratio 1.85, 95% CI 1.44 to 2.38; moderateÃƒÂ¢Ã¢â€šÂ¬Ã‚Âcertainty evidence) and probably increased the number of nurse consultations (incident rate ratio from adjusted multiÃƒÂ¢Ã¢â€šÂ¬Ã‚Âlevel Poisson model 1.37, 95% CI 1.17 to 1.61; moderateÃƒÂ¢Ã¢â€šÂ¬Ã‚Âcertainty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attentionÃƒÂ¢Ã¢â€šÂ¬Ã‚Âcontrol conditions: we are uncertain whether interventions affect patientÃƒÂ¢Ã¢â€šÂ¬Ã‚Âreported high selfÃƒÂ¢Ã¢â€šÂ¬Ã‚Ârated health (RR 0.38, 95% CI 0.15 to 1.00, favouring attention control, with very lowÃƒÂ¢Ã¢â€šÂ¬Ã‚Âcertainty evidence; RR 2.17, 95% CI 0.85 to 5.52, favouring the intervention, with very lowÃƒÂ¢Ã¢â€šÂ¬Ã‚Âcertain y evidence). We are uncertain whether interventions affect patient enablement and engagement by increasing either patient activation (MD 1.20, 95% CI ÃƒÂ¢Ã¢â€šÂ¬Ã‚Â8.21 to 10.61; very lowÃƒÂ¢Ã¢â€šÂ¬Ã‚Âcertainty evidence) or selfÃƒÂ¢Ã¢â€šÂ¬Ã‚Âefficacy (MD 0.29, 95% CI ÃƒÂ¢Ã¢â€šÂ¬Ã‚Â0.21 to 0.79; very lowÃƒÂ¢Ã¢â€šÂ¬Ã‚Âcertainty evidence); or whether interventions affect the number of general practice visits (MD 0.51, 95% CI ÃƒÂ¢Ã¢â€šÂ¬Ã‚Â0.34 to 1.36; very lowÃƒÂ¢Ã¢â€šÂ¬Ã‚Âcertainty evidence), compared to attentionÃƒÂ¢Ã¢â€šÂ¬Ã‚Âcontrol conditions. The intervention may however lead to more patientÃƒÂ¢Ã¢â€šÂ¬Ã‚Âreported changes in management of their health conditions (RR 1.82, 95% CI 1.35 to 2.44; lowÃƒÂ¢Ã¢â€šÂ¬Ã‚Âcertainty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decisionÃƒÂ¢Ã¢â€šÂ¬Ã‚Âmaking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longÃƒÂ¢Ã¢â€šÂ¬Ã‚Âterm health problem in decisionÃƒÂ¢Ã¢â€šÂ¬Ã‚Âmaking during primary care consultations Background The number of older people with more than one longÃƒÂ¢Ã¢â€šÂ¬Ã‚Âterm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longÃƒÂ¢Ã¢â€šÂ¬Ã‚Âterm health problem in decisionÃƒÂ¢Ã¢â€šÂ¬Ã‚Âmaking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longÃƒÂ¢Ã¢â€šÂ¬Ã‚Âterm health problems on average. Interventions investigated included: Ãƒâ€šÃ‚Â· patient workshops and individual patient coaching; Ãƒâ€šÃ‚Â· patient coaching including cognitiveÃƒÂ¢Ã¢â€šÂ¬Ã‚Âbehavioural therapy; and Ãƒâ€šÃ‚Â· wholeÃƒÂ¢Ã¢â€šÂ¬Ã‚Âperson patient review, practitioner training, and organisational changes. All studies were funded by national research bodies. Key results None of the studies reported the main outcome ÃƒÂ¢Ã¢â€šÂ¬Ã‹Å“patient involvement in decisionÃƒÂ¢Ã¢â€šÂ¬Ã‚Âmaking about their health careÃƒÂ¢Ã¢â€šÂ¬Ã¢â€žÂ¢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longÃƒÂ¢Ã¢â€šÂ¬Ã‚Âterm health problem in decisionÃƒÂ¢Ã¢â€šÂ¬Ã‚Âmaking about their health care can improve their selfÃƒÂ¢Ã¢â€šÂ¬Ã‚Ârated health or healthcare engagement, or make any difference in selfÃƒÂ¢Ã¢â€šÂ¬Ã‚Âefficacy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patientÃƒÂ¢Ã¢â€šÂ¬Ã¢â€žÂ¢s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</si>
  <si>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Identified as a study protocol</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</si>
  <si>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Ãƒâ€šÃ‚Â© 2019 Callender et al. This is an open access article distributed under the terms of the Creative Commons Attribution License, which permits unrestricted use, distribution, and reproduction in any medium, provided the original author and source are credited.</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</si>
  <si>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Ãƒâ€šÃ‚Â© Author(s) (or their employer(s)) 2019. Re-use permitted under CC BY. Published by BMJ.</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</si>
  <si>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metaÃƒÂ¢Ã¢â€šÂ¬Ã‚Âanalysis using a MantelÃƒÂ¢Ã¢â€šÂ¬Ã‚ÂHaenszel randomÃƒÂ¢Ã¢â€šÂ¬Ã‚Âeffects model to generate risk ratios (RRs) and 95% confidence intervals (CIs). Main results We identified seven studies including 1774 participants. We judged three studies to be at high risk of bias and four to be at unclear risk. Each study provided faceÃƒÂ¢Ã¢â€šÂ¬Ã‚ÂtoÃƒÂ¢Ã¢â€šÂ¬Ã‚Âface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oneÃƒÂ¢Ã¢â€šÂ¬Ã‚Âoff advice on how to quit. Participants in both intervention and control arms received equivalent smoking cessation pharmacotherapy in all but one study. All studies took place in highÃƒÂ¢Ã¢â€šÂ¬Ã‚Âincome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followÃƒÂ¢Ã¢â€šÂ¬Ã‚Âup (RR 2.30, 95% CI 1.33 to 3.97; I 2 = 54%; lowÃƒÂ¢Ã¢â€šÂ¬Ã‚Âcertainty evidence). Authors' conclusions Community pharmacists can provide effective behavioural support to people trying to stop smoking. However, this conclusion is based on lowÃƒÂ¢Ã¢â€šÂ¬Ã‚Âcertainty evidence, limited by risk of bias and imprecision. Further research could change this conclusion. Plain language summary Does quitÃƒÂ¢Ã¢â€šÂ¬Ã‚Âsmoking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faceÃƒÂ¢Ã¢â€šÂ¬Ã‚ÂtoÃƒÂ¢Ã¢â€šÂ¬Ã‚Âface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lowÃƒÂ¢Ã¢â€šÂ¬Ã‚Âquality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</si>
  <si>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quasiÃƒÂ¢Ã¢â€šÂ¬Ã‚ÂRCTs examining the medical treatment of any of the four major types of botulism (infant intestinal botulism, foodÃƒÂ¢Ã¢â€šÂ¬Ã‚Âborne botulism, wound botulism, and adult intestinal toxemia). Potential medical treatments included equine serum trivalent botulism antitoxin, humanÃƒÂ¢Ã¢â€šÂ¬Ã‚Âderived botulinum immune globulin intravenous (BIGÃƒÂ¢Ã¢â€šÂ¬Ã‚ÂIV), plasma exchange, 3,4ÃƒÂ¢Ã¢â€šÂ¬Ã‚Âdiaminopyridine, and guanidine. Data collection and analysis We followed standard Cochrane methodology. Our primary outcome was inÃƒÂ¢Ã¢â€šÂ¬Ã‚Âhospital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BIGÃƒÂ¢Ã¢â€šÂ¬Ã‚ÂIV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intentionÃƒÂ¢Ã¢â€šÂ¬Ã‚ÂtoÃƒÂ¢Ã¢â€šÂ¬Ã‚Âtreat principles, and possibly some betweenÃƒÂ¢Ã¢â€šÂ¬Ã‚Âtreatment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(BIGÃƒÂ¢Ã¢â€šÂ¬Ã‚ÂIV: 2.60 weeks, 95% confidence interval (CI) 1.95 to 3.25; control: 5.70 weeks, 95% CI 4.40 to 7.00; mean difference (MD) ÃƒÂ¢Ã¢â€šÂ¬Ã‚Â3.10 weeks, 95% CI ÃƒÂ¢Ã¢â€šÂ¬Ã‚Â4.52 to ÃƒÂ¢Ã¢â€šÂ¬Ã‚Â1.68; moderateÃƒÂ¢Ã¢â€šÂ¬Ã‚Âcertainty evidence); mechanical ventilation (BIGÃƒÂ¢Ã¢â€šÂ¬Ã‚ÂIV: 1.80 weeks, 95% CI 1.20 to 2.40; control: 4.40 weeks, 95% CI 3.00 to 5.80; MD ÃƒÂ¢Ã¢â€šÂ¬Ã‚Â2.60 weeks, 95% CI ÃƒÂ¢Ã¢â€šÂ¬Ã‚Â4.06 to ÃƒÂ¢Ã¢â€šÂ¬Ã‚Â1.14; lowÃƒÂ¢Ã¢â€šÂ¬Ã‚Âcertainty evidence); and tube or parenteral feeding (BIGÃƒÂ¢Ã¢â€šÂ¬Ã‚ÂIV: 3.60 weeks, 95% CI 1.70 to 5.50; control: 10.00 weeks, 95% CI 6.85 to 13.15; MD ÃƒÂ¢Ã¢â€šÂ¬Ã‚Â6.40 weeks, 95% CI ÃƒÂ¢Ã¢â€šÂ¬Ã‚Â10.00 to ÃƒÂ¢Ã¢â€šÂ¬Ã‚Â2.80; moderateÃƒÂ¢Ã¢â€šÂ¬Ã‚Âcertainty evidence), but not on proportion of participants with adverse events or complications (BIGÃƒÂ¢Ã¢â€šÂ¬Ã‚ÂIV: 63.08%; control: 68.75%; risk ratio 0.92, 95% CI 0.72 to 1.18; absolute risk reduction 0.06, 95% CI 0.22 to ÃƒÂ¢Ã¢â€šÂ¬Ã‚Â0.11; moderateÃƒÂ¢Ã¢â€šÂ¬Ã‚Âcertainty evidence). Authors' conclusions We found lowÃƒÂ¢Ã¢â€šÂ¬Ã‚Â and moderateÃƒÂ¢Ã¢â€šÂ¬Ã‚Âcertainty evidence supporting the use of BIGÃƒÂ¢Ã¢â€šÂ¬Ã‚ÂIV in infant intestinal botulism. A single RCT demonstrated that BIGÃƒÂ¢Ã¢â€šÂ¬Ã‚ÂIV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(humanÃƒÂ¢Ã¢â€šÂ¬Ã‚Âderived botulinum immune globulin intravenous, or BIGÃƒÂ¢Ã¢â€šÂ¬Ã‚ÂIV). FiftyÃƒÂ¢Ã¢â€šÂ¬Ã‚Ânine infants received BIGÃƒÂ¢Ã¢â€šÂ¬Ã‚ÂIV,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BIGÃƒÂ¢Ã¢â€šÂ¬Ã‚ÂIV spent, on average, about three weeks less time in hospital (i.e. 3.1 weeks versus 5.7 weeks) than infants who received the inactive treatment, and spent about three weeks less on a ventilator (1.8 weeks versus 4.4 weeks). The average duration of tube feeding in the BIGÃƒÂ¢Ã¢â€šÂ¬Ã‚ÂIV group was more than six weeks less than in the placebo group (i.e. 3.6 versus 10 weeks). The risk of harmful effects of the treatment was probably no greater with BIGÃƒÂ¢Ã¢â€šÂ¬Ã‚ÂIV than with the inactive treatment. The evidence was mostly of moderate certainty (low certainty for time spent on a ventilator). The review shows that BIGÃƒÂ¢Ã¢â€šÂ¬Ã‚ÂIV probably shortens hospitalization; may shorten time spent on a ventilator; and probably reduces the duration of tube feeding compared to placebo. On the other hand, we found no evidence for or against botulism antitoxin or other treatments for botulism. The evidence is upÃƒÂ¢Ã¢â€šÂ¬Ã‚ÂtoÃƒÂ¢Ã¢â€šÂ¬Ã‚Âdate to January 2018, when we updated the searches and found no new trials.</t>
  </si>
  <si>
    <t>Introduction</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</si>
  <si>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Ãƒâ€šÃ‚Â© 2019 Author(s).</t>
  </si>
  <si>
    <t>- Background Peer support provides the opportunity for peers with experiential knowledge of a mental illness to give emotional, appraisal and informational assistance to current service users, and is becoming an important recoveryÃƒÂ¢Ã¢â€šÂ¬Ã‚Âoriented approach in healthcare for people with mental illness. Objectives To assess the effects of peerÃƒÂ¢Ã¢â€šÂ¬Ã‚Âsupport interventions for people with schizophrenia or other serious mental disorders, compared to standard care or other supportive or psychosocial interventions not from peers. Search methods We searched the Cochrane Schizophrenia Group's StudyÃƒÂ¢Ã¢â€šÂ¬Ã‚ÂBased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randomÃƒÂ¢Ã¢â€šÂ¬Ã‚Âeffects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lowÃƒÂ¢Ã¢â€šÂ¬Ã‚Âquality evidence) or allÃƒÂ¢Ã¢â€šÂ¬Ã‚Âcause death in the long term (RR 1.52, 95% CI 0.43 to 5.31; participants = 555; studies = 1, very lowÃƒÂ¢Ã¢â€šÂ¬Ã‚Âquality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clinicianÃƒÂ¢Ã¢â€šÂ¬Ã‚Âled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peerÃƒÂ¢Ã¢â€šÂ¬Ã‚Âsupport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highÃƒÂ¢Ã¢â€šÂ¬Ã‚Âquality evidence from relevant randomised clinical trials (studies where people are randomly put into one of two or more treatment groups) so we could assess the effects of peerÃƒÂ¢Ã¢â€šÂ¬Ã‚Âsupport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clinicianÃƒÂ¢Ã¢â€šÂ¬Ã‚Âled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clinicianÃƒÂ¢Ã¢â€šÂ¬Ã‚Âled support (where a health professional provided support). However, there were no useable data for this comparison reported for the main outcomes. Conclusions We have little confidence in the above findings. Currently, there is no highÃƒÂ¢Ã¢â€šÂ¬Ã‚Âquality evidence available to either support or refute the effectiveness of peerÃƒÂ¢Ã¢â€šÂ¬Ã‚Âsupport interventions for people with schizophrenia or other serious mental illnesses.</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</si>
  <si>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Ãƒâ€šÃ‚Â© 2019 Diabetes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</si>
  <si>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participantÃƒÂ¢Ã¢â€šÂ¬Ã‚Â and investigatorÃƒÂ¢Ã¢â€šÂ¬Ã‚Ârated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followÃƒÂ¢Ã¢â€šÂ¬Ã‚Âup period. Clinical heterogeneity in treatments and outcome measures was evident. Few studies performed headÃƒÂ¢Ã¢â€šÂ¬Ã‚ÂtoÃƒÂ¢Ã¢â€šÂ¬Ã‚Âhead comparisons of different interventions. Risk of bias varied considerably, with only five studies at low risk in all domains. TwentyÃƒÂ¢Ã¢â€šÂ¬Ã‚Âtwo studies were industryÃƒÂ¢Ã¢â€šÂ¬Ã‚Âfunded.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participantÃƒÂ¢Ã¢â€šÂ¬Ã‚Ârated control of symptoms compared to vehicle (risk ratio (RR) 2.32, 95% confidence interval (CI) 1.38 to 3.91; number needed to treat for an additional beneficial outcome (NNTB) 3, 95% CI 2 to 8; 1 study, 125 participants); the effect of clobetasol compared to vehicle for investigatorÃƒÂ¢Ã¢â€šÂ¬Ã‚Ârated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investigatorÃƒÂ¢Ã¢â€šÂ¬Ã‚Ârated symptom control compared to twice weekly (RR 1.23, 95% CI 0.94 to 1.61; 1 study, 72 participants) after remission is reached. ParticipantÃƒÂ¢Ã¢â€šÂ¬Ã‚Ârated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investigatorÃƒÂ¢Ã¢â€šÂ¬Ã‚Ârated symptom control when compared to local narrowÃƒÂ¢Ã¢â€šÂ¬Ã‚Âband UVB after 12 weeks of treatment (RR 0.50, 95% CI 0.22 to 1.16; 1 study, 60 participants). However, the 95% CI indicates that PUVA might make little or no difference. ParticipantÃƒÂ¢Ã¢â€šÂ¬Ã‚Ârated symptoms were not measured. Adverse events (mainly erythema) were reported by 9/30 participants in the narrowÃƒÂ¢Ã¢â€šÂ¬Ã‚Âband UVB group versus none in the PUVA group. This evidence was rated as moderate certainty. Topical calcineurin inhibitors: tacrolimus 0.1% over two weeks probably improves investigatorÃƒÂ¢Ã¢â€šÂ¬Ã‚Ârated symptom control measured after three weeks compared to vehicle (14/14 tacrolimus versus 0/14 vehicle; 1 study). ParticipantÃƒÂ¢Ã¢â€šÂ¬Ã‚Ârated symptoms were not measured. Four of 14 people in the tacroli us group versus zero in the vehicle group had wellÃƒÂ¢Ã¢â€šÂ¬Ã‚Âtolerated application site burning/itching. A withinÃƒÂ¢Ã¢â€šÂ¬Ã‚Âparticipant study in 16 participants compared 0.1% tacrolimus to 0.1% mometasone furoate but did not measure investigatorÃƒÂ¢Ã¢â€šÂ¬Ã‚Â or participantÃƒÂ¢Ã¢â€šÂ¬Ã‚Ârated symptoms. Both treatments were well tolerated when assessed at two weeks during four weeks of treatment. Evidence from these studies was rated as moderate certainty. Oral interventions: oral cyclosporin 3 mg/kg/d probably slightly improves investigatorÃƒÂ¢Ã¢â€šÂ¬Ã‚Ârated (RR 1.88, 95% CI 0.88 to 3.99; 1 study, 34 participants) or participantÃƒÂ¢Ã¢â€šÂ¬Ã‚Ârated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investigatorÃƒÂ¢Ã¢â€šÂ¬Ã‚Ârated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participantÃƒÂ¢Ã¢â€šÂ¬Ã‚Ârated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moderateÃƒÂ¢Ã¢â€šÂ¬Ã‚Âcertainty evidence), but the risk of headache increased with alitretinoin 30 mg (RR 3.43, 95% CI 2.45 to 4.81; 2 studies, n = 1210; highÃƒÂ¢Ã¢â€šÂ¬Ã‚Âcertainty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WellÃƒÂ¢Ã¢â€šÂ¬Ã‚Âdesigned and wellÃƒÂ¢Ã¢â€šÂ¬Ã‚Âreported, longÃƒÂ¢Ã¢â€šÂ¬Ã‚Âterm (more than three months), headÃƒÂ¢Ã¢â€šÂ¬Ã‚ÂtoÃƒÂ¢Ã¢â€šÂ¬Ã‚Âhead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workÃƒÂ¢Ã¢â€šÂ¬Ã‚Ârelated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TwentyÃƒÂ¢Ã¢â€šÂ¬Ã‚Âtwo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participantÃƒÂ¢Ã¢â€šÂ¬Ã‚Ârated good/excellent control of hand eczema when compared to vehicle (516 versus 222 per 1000), but the difference between groups was less clear for investigatorÃƒÂ¢Ã¢â€šÂ¬Ã‚Ârated control, and more adverse events were reported with clobetasol propionate (178 versus 79 per 1000) (all based on moderateÃƒÂ¢Ã¢â€šÂ¬Ã‚Âcertainty evidence). Mometasone furoate cream used thrice weekly may slightly improve investigatorÃƒÂ¢Ã¢â€šÂ¬Ã‚Ârated good/excellent control compared to twice weekly treatment, and participantÃƒÂ¢Ã¢â€šÂ¬Ã‚Ârated control was not measured. Mild skin thinning occurred in both groups, but cases were few (all based on lowÃƒÂ¢Ã¢â€šÂ¬Ã‚Âcertainty evidence). Irradiation with UV light: various types of irradiation (i.e. exposure to radiation) were compared. Local PUVA may improve investigatorÃƒÂ¢Ã¢â€šÂ¬Ã‚Ârated good/excellent control compared to narrowÃƒÂ¢Ã¢â€šÂ¬Ã‚Âband UVB (400 versus 200 per 1000); however, we are uncertain of this finding because results also show that local PUVA may make little or no difference. ParticipantÃƒÂ¢Ã¢â€šÂ¬Ã‚Ârated symptoms were not measured. Nine out of 30 participants in the narrowÃƒÂ¢Ã¢â€šÂ¬Ã‚Âband UVB group reported adverse events (mainly redness) compared to none in the PUVA group (all based on moderateÃƒÂ¢Ã¢â€šÂ¬Ã‚Âcertainty evidence). Topical calcineurin inhibitors: people receiving tacrolimus are probably more likely to achieve improved investigatorÃƒÂ¢Ã¢â€šÂ¬Ã‚Ârated good/excellent symptom control compared to those given vehicle (14/14 participants with tacrolimus compared to none with vehicle), but participantÃƒÂ¢Ã¢â€šÂ¬Ã‚Ârated control of symptoms was not measured. Four of 14 people in the tacrolimus group versus zero in the vehicle group had wellÃƒÂ¢Ã¢â€šÂ¬Ã‚Âtolerated application site burning/itching. One small study compared tacrolimus to mometasone furoate, which were both well tolerated, but did not measure investigatorÃƒÂ¢Ã¢â€šÂ¬Ã‚Â or participantÃƒÂ¢Ã¢â€šÂ¬Ã‚Ârated control (all based on moderateÃƒÂ¢Ã¢â€šÂ¬Ã‚Âcertainty evidence). Oral interventions: oral immunosuppressant (a drug that hinders the immune response) cyclosporin probably slightly improves investigatorÃƒÂ¢Ã¢â€šÂ¬Ã‚Â or participantÃƒÂ¢Ã¢â€šÂ¬Ã‚Ârated control of good/excellent symptoms compared to topical betamethasone cream (a corticosteroid). The risk of adverse events such as dizziness was similar between groups (all based on moderateÃƒÂ¢Ã¢â€šÂ¬Ã‚Âcertainty evidence). The oral vitamin A derivative (retinoid) alitretinoin (10 mg) achieved investigatorÃƒÂ¢Ã¢â€šÂ¬Ã‚Ârated good/excellent symptom control in 307 compared to 194 participants per 1000 with placebo, and alitretinoin 30 mg achieved investigatorÃƒÂ¢Ã¢â€šÂ¬Ã‚Ârated control in 432 compared to 157 participants per 1000 with placebo. Similar results were shown for participantÃƒÂ¢Ã¢â€šÂ¬Ã‚Ârated control (highÃƒÂ¢Ã¢â€šÂ¬Ã‚Âcertainty evidence). When the dosage of alitretinoin was increased to 30 mg, risk of headache was higher compared to placebo (74 versus 251 per 1000; highÃƒÂ¢Ã¢â€šÂ¬Ã‚Âcertainty evidence), but this probably does not differ between alitretinoin 10 mg and placebo (based on moderateÃƒÂ¢Ã¢â€šÂ¬Ã‚Âcertainty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</si>
  <si>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Ãƒâ€šÃ‚Â© 2021 European Society for Medical Oncology</t>
  </si>
  <si>
    <t>Mobile phoneÃƒÂ¢Ã¢â€šÂ¬Ã‚Âbased interventions for improving adherence to medication prescribed for the primary prevention of cardiovascular disease in adults</t>
  </si>
  <si>
    <t>- Background Cardiovascular disease (CVD) is a major cause of disability and mortality globally. Premature fatal and nonÃƒÂ¢Ã¢â€šÂ¬Ã‚Âfatal CVD is considered to be largely preventable through the control of risk factors by lifestyle modifications and preventive medication. LipidÃƒÂ¢Ã¢â€šÂ¬Ã‚Âlowering and antihypertensive drug therapies for primary prevention are costÃƒÂ¢Ã¢â€šÂ¬Ã‚Âeffective in reducing CVD morbidity and mortality among highÃƒÂ¢Ã¢â€šÂ¬Ã‚Ârisk people and are recommended by international guidelines. However, adherence to medication prescribed for the prevention of CVD can be poor. Approximately 9% of CVD cases in the EU are attributed to poor adherence to vascular medications. LowÃƒÂ¢Ã¢â€šÂ¬Ã‚Âcost,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oneÃƒÂ¢Ã¢â€šÂ¬Ã‚Âyear followÃƒÂ¢Ã¢â€šÂ¬Ã‚Âup in order that the outcome measures related to longerÃƒÂ¢Ã¢â€šÂ¬Ã‚Âterm, sustained medication adherence behaviours and outcomes. Eligible comparators were usual care or control groups receiving no mobile phoneÃƒÂ¢Ã¢â€šÂ¬Ã‚Âdelivered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communityÃƒÂ¢Ã¢â€šÂ¬Ã‚Âbased primary and tertiary care or outpatient clinics. The interventions varied widely from those delivered solely through short messaging service (SMS) to those involving a combination of modes of delivery, such as SMS in addition to healthcare worker training, faceÃƒÂ¢Ã¢â€šÂ¬Ã‚ÂtoÃƒÂ¢Ã¢â€šÂ¬Ã‚Âface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metaÃƒÂ¢Ã¢â€šÂ¬Ã‚Âanalyses. The body of evidence for the effect of mobile phoneÃƒÂ¢Ã¢â€šÂ¬Ã‚Âbased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lowÃƒÂ¢Ã¢â€šÂ¬Ã‚Âdensity lipoprotein cholesterol (LDLÃƒÂ¢Ã¢â€šÂ¬Ã‚ÂC), two studies found evidence for a small beneficial intervention effect on reducing LDLÃƒÂ¢Ã¢â€šÂ¬Ã‚ÂC (ÃƒÂ¢Ã‹â€ Ã¢â‚¬â„¢5.30 mg/dL, 95% confidence interval (CI) ÃƒÂ¢Ã‹â€ Ã¢â‚¬â„¢8.30 to ÃƒÂ¢Ã‹â€ Ã¢â‚¬â„¢2.30; and ÃƒÂ¢Ã‹â€ Ã¢â‚¬â„¢9.20 mg/dL, 95% CI ÃƒÂ¢Ã‹â€ Ã¢â‚¬â„¢17.70 to ÃƒÂ¢Ã‹â€ Ã¢â‚¬â„¢0.70). The other three studies found results varying from a small reduction (ÃƒÂ¢Ã‹â€ Ã¢â‚¬â„¢7.7 mg/dL) to a small increase in LDLÃƒÂ¢Ã¢â€šÂ¬Ã‚ÂC (0.77 mg/dL). All of which had wide confidence intervals that included no effect. Across 13 studies (25,166 participants) measuring systolic blood pressure, effect estimates ranged from a large reduction (MD ÃƒÂ¢Ã‹â€ Ã¢â‚¬â„¢12.45 mmHg, 95% CI ÃƒÂ¢Ã‹â€ Ã¢â‚¬â„¢15.02 to ÃƒÂ¢Ã‹â€ Ã¢â‚¬â„¢9.88) to a small increase (MD 2.80 mmHg, 95% CI 0.30 to 5.30). We found a similar range of effect estimates for diastolic BP, ranging from ÃƒÂ¢Ã‹â€ Ã¢â‚¬â„¢12.23 mmHg (95% CI ÃƒÂ¢Ã‹â€ Ã¢â‚¬â„¢14.03 to ÃƒÂ¢Ã‹â€ Ã¢â‚¬â„¢10.43) to 1.64 mmHg (95% CI ÃƒÂ¢Ã‹â€ Ã¢â‚¬â„¢0.55 to 3.83) (11 trials, 19,716 participants). Four trials showed intervention benefits for systolic and diastolic BP with confidence intervals excluding no effect, and among these were all three of the trials evaluating selfÃƒÂ¢Ã¢â€šÂ¬Ã‚Âmonitoring of blood pressure with mobile phoneÃƒÂ¢Ã¢â€šÂ¬Ã‚Âbased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ÃƒÂ¢Ã‹â€ Ã¢â‚¬â„¢1.55 mmHg, 95% CI ÃƒÂ¢Ã‹â€ Ã¢â‚¬â„¢3.36 to 0.25; I 2 = 0%) and small increases in controlled BP (OR 1.32, 95% CI 1.06 to 1.65; I 2 = 0%). Based on four studies (12,439 participants), there was very lowÃƒÂ¢Ã¢â€šÂ¬Ã‚Âcertainty evidence (downgraded twice for imprecision and once for risk of bias) relating to the intervention effect on combined (fatal and nonÃƒÂ¢Ã¢â€šÂ¬Ã‚Âfatal) CVD events. Two studies (2535 participants) provided lowÃƒÂ¢Ã¢â€šÂ¬Ã‚Âcertainty evidence for the effect of the intervention on cognitive outcomes, with little or no difference between trial arms for perceived quality of care and satisfaction with treatment. There was moderateÃƒÂ¢Ã¢â€šÂ¬Ã‚Âcertainty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interventionÃƒÂ¢Ã¢â€šÂ¬Ã‚Ârelated adverse events. One study stated that potential side effects were similar between groups. One study reported a similar number of deaths in each arm, but did not provide further information relating to potential adverse events. Authors' conclusions There is lowÃƒÂ¢Ã¢â€šÂ¬Ã‚Âcertainty evidence on the effects of mobile phoneÃƒÂ¢Ã¢â€šÂ¬Ã‚Âdelivered interventions to increase adherence to medication prescribed for the primary prevention of CVD. Trials of BP selfÃƒÂ¢Ã¢â€šÂ¬Ã‚Âmonitoring with mobileÃƒÂ¢Ã¢â€šÂ¬Ã‚Âphone telemedicine support reported modest benefits. One trial at low risk of bias reported modest reductions in LDL cholesterol but no benefits for BP. There is moderateÃƒÂ¢Ã¢â€šÂ¬Ã‚Âcertainty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lowÃƒÂ¢Ã¢â€šÂ¬Ã‚Âcost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SelfÃƒÂ¢Ã¢â€šÂ¬Ã‚Âmonitoring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</si>
  <si>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Background:</t>
  </si>
  <si>
    <t>Anticholinergics combined with alphaÃƒÂ¢Ã¢â€šÂ¬Ã‚Âblockers for treating lower urinary tract symptoms related to benign prostatic obstruction</t>
  </si>
  <si>
    <t>- Background Lower urinary tract symptoms (LUTS) due to benign prostatic obstruction (BPO) represent one of the most common clinical complaints in men. AlphaÃƒÂ¢Ã¢â€šÂ¬Ã‚Âblockers are widely used as firstÃƒÂ¢Ã¢â€šÂ¬Ã‚Âline therapy for men with LUTS secondary to BPO, but up to one third of men report no improvement in their LUTS after taking alphaÃƒÂ¢Ã¢â€šÂ¬Ã‚Âblockers. Anticholinergics used in addition to alphaÃƒÂ¢Ã¢â€šÂ¬Ã‚Âblockers may help improve symptoms but it is uncertain how effective they are. Objectives To assess the effects of combination therapy with anticholinergics and alphaÃƒÂ¢Ã¢â€šÂ¬Ã‚Âblockers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alphaÃƒÂ¢Ã¢â€šÂ¬Ã‚Âblockers monotherapy, and combination therapy versus anticholinergics monotherapy. Data collection and analysis Two review authors independently screened the literature, extracted data, and assessed risk of bias. We performed statistical analyses using a randomÃƒÂ¢Ã¢â€šÂ¬Ã‚Âeffects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singleÃƒÂ¢Ã¢â€šÂ¬Ã‚Âcenter setting, while 11 used a multiÃƒÂ¢Ã¢â€šÂ¬Ã‚Âcenter setting. We only found shortÃƒÂ¢Ã¢â€šÂ¬Ã‚Âterm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ÃƒÂ¢Ã¢â€šÂ¬Ã¢â‚¬Å“2.73, 95% confidence interval (CI) ÃƒÂ¢Ã¢â€šÂ¬Ã¢â‚¬Å“5.55 to 0.08; lowÃƒÂ¢Ã¢â€šÂ¬Ã‚Âcertainty evidence). We are very uncertain about the effect of combination therapy on quality of life (QoL) (MD ÃƒÂ¢Ã¢â€šÂ¬Ã¢â‚¬Å“0.97, 95% CI ÃƒÂ¢Ã¢â€šÂ¬Ã¢â‚¬Å“2.11 to 0.16; very lowÃƒÂ¢Ã¢â€šÂ¬Ã‚Âcertainty evidence). Combination therapy likely increases adverse events (risk ratio (RR) 1.24, 95% CI 1.04 to 1.47; moderateÃƒÂ¢Ã¢â€šÂ¬Ã‚Âcertainty evidence); based on 252 adverse events per 1000 participants in the placebo group, this corresponds to 61 more adverse events (95% CI 10 more to 119 more) per 1000 participants treated with combination therapy. Combination therapy versus alphaÃƒÂ¢Ã¢â€šÂ¬Ã‚Âblockers alone: based on 22 studies with 4904 randomized participants, we are very uncertain about the effect of combination therapy on urologic symptom scores (MD ÃƒÂ¢Ã¢â€šÂ¬Ã¢â‚¬Å“2.04, 95% CI ÃƒÂ¢Ã¢â€šÂ¬Ã¢â‚¬Å“3.56 to ÃƒÂ¢Ã¢â€šÂ¬Ã¢â‚¬Å“0.52; very lowÃƒÂ¢Ã¢â€šÂ¬Ã‚Âcertainty evidence) and QoL (MD ÃƒÂ¢Ã¢â€šÂ¬Ã¢â‚¬Å“0.71, 95% CI ÃƒÂ¢Ã¢â€šÂ¬Ã¢â‚¬Å“1.03 to ÃƒÂ¢Ã¢â€šÂ¬Ã¢â‚¬Å“0.38; very lowÃƒÂ¢Ã¢â€šÂ¬Ã‚Âcertainty evidence). Combination therapy may result in little or no difference in adverse events rate (RR 1.10, 95% CI 0.90 to 1.34; lowÃƒÂ¢Ã¢â€šÂ¬Ã‚Âcertainty evidence); based on 228 adverse events per 1000 participants in the alphaÃƒÂ¢Ã¢â€šÂ¬Ã‚Âblocker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ÃƒÂ¢Ã¢â€šÂ¬Ã¢â‚¬Å“3.71, 95% CI ÃƒÂ¢Ã¢â€šÂ¬Ã¢â‚¬Å“9.41 to 1.98; very lowÃƒÂ¢Ã¢â€šÂ¬Ã‚Âcertainty evidence). Combination therapy may result in an improvement in QoL (MD ÃƒÂ¢Ã¢â€šÂ¬Ã¢â‚¬Å“1.49, 95% CI ÃƒÂ¢Ã¢â€šÂ¬Ã¢â‚¬Å“1.88 to ÃƒÂ¢Ã¢â€šÂ¬Ã¢â‚¬Å“1.11; lo ÃƒÂ¢Ã¢â€šÂ¬Ã‚Âcertainty evidence). Combination therapy likely results in little to no difference in adverse events (RR 1.26, 95% CI 0.81 to 1.95; moderateÃƒÂ¢Ã¢â€šÂ¬Ã‚Âcertainty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alphaÃƒÂ¢Ã¢â€šÂ¬Ã‚Âblockers are associated with little or uncertain effects on urologic symptom scores compared to placebo, alphaÃƒÂ¢Ã¢â€šÂ¬Ã‚Âblockers, or anticholinergics monotherapy. However, combination therapy may result in an improvement in quality of life compared to anticholinergics monotherapy, but an uncertain effect compared to placebo, or alphaÃƒÂ¢Ã¢â€šÂ¬Ã‚Âblockers. Combination therapy likely increases adverse events compared to placebo, but not compared to alphaÃƒÂ¢Ã¢â€šÂ¬Ã‚Âblockers or anticholinergics monotherapy. The findings of this review were limited by study limitations, inconsistency, and imprecision. We were unable to conduct any of the predefined subgroup analyses. Plain language summary Anticholinergics combined with alphaÃƒÂ¢Ã¢â€šÂ¬Ã‚Âblockers for treating lower urinary tract symptoms related to benign prostatic obstruction Review question Is combination therapy with anticholinergics, a type of medicine that can relieve abnormal bladder contraction (where a man cannot control when he urinates), and alphaÃƒÂ¢Ã¢â€šÂ¬Ã‚Âblockers,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alphaÃƒÂ¢Ã¢â€šÂ¬Ã‚Âblockers have been used to relieve the urinary symptoms, up to one third of men get no benefit. Combination therapy with alphaÃƒÂ¢Ã¢â€šÂ¬Ã‚Âblockers and anticholinergics provides a treatment option for men with urinary symptoms. Study characteristics The search is upÃƒÂ¢Ã¢â€šÂ¬Ã‚ÂtoÃƒÂ¢Ã¢â€šÂ¬Ã‚Âdate to 7 August 2020. We identified 23 studies involving 6285 men. Five studies compared combination therapy with anticholinergics and alphaÃƒÂ¢Ã¢â€šÂ¬Ã‚Âblockers versus placebo (a pill with no therapeutic effects). A total of 22 studies compared combination therapy with anticholinergics and alphaÃƒÂ¢Ã¢â€šÂ¬Ã‚Âblockers versus alphaÃƒÂ¢Ã¢â€šÂ¬Ã‚Âblockers alone. Three studies compared combination therapy with anticholinergics and alphaÃƒÂ¢Ã¢â€šÂ¬Ã‚Âblockers versus anticholinergics alone. The followÃƒÂ¢Ã¢â€šÂ¬Ã‚Âup period in the studies ranged from 12 weeks to one year. Key results Combination therapy versus placebo: combination therapy with anticholinergics and alphaÃƒÂ¢Ã¢â€šÂ¬Ã‚Âblockers was associated with little effect in urinary symptoms and uncertain improvement on quality of life, but combination therapy may increase unwanted side effects. Combination therapy versus alphaÃƒÂ¢Ã¢â€šÂ¬Ã‚Âblockers: combination therapy with anticholinergics and alphaÃƒÂ¢Ã¢â€šÂ¬Ã‚Âblockers may have uncertain effects on improvement of urinary symptoms and quality of life compared to alphaÃƒÂ¢Ã¢â€šÂ¬Ã‚Âblockers alone. Combination therapy may not increase unwanted side effects. Combination therapy compared to anticholinergics: combination therapy with anticholinergics and alphaÃƒÂ¢Ã¢â€šÂ¬Ã‚Âblockers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</si>
  <si>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Peer-reviewed article from a systematic review.</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</si>
  <si>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Ãƒâ€šÃ‚Â© Queen's Printer and Controller of HMSO 2021.</t>
  </si>
  <si>
    <t>- Background Dementia is a progressive syndrome characterised by deterioration in memory, thinking and behaviour, and by impaired ability to perform daily activities. Two classes of drug ÃƒÂ¢Ã¢â€šÂ¬Ã‚Â cholinesterase inhibitors (donepezil, galantamine and rivastigmine) and memantine ÃƒÂ¢Ã¢â€šÂ¬Ã‚Â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carerÃƒÂ¢Ã¢â€šÂ¬Ã‚Ârelated outcomes. Search methods We searched the Cochrane Dementia and Cognitive Improvement GroupÃƒÂ¢Ã¢â€šÂ¬Ã¢â€žÂ¢s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fullÃƒÂ¢Ã¢â€šÂ¬Ã‚Âtext articles for inclusion, extracted data from included trials and assessed risk of bias using the Cochrane risk of bias tool. Where trials were sufficiently similar, we pooled data for outcomes in the short term (up to 2 months after randomisation), medium term (3ÃƒÂ¢Ã¢â€šÂ¬Ã‚Â11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ÃƒÂ¢Ã¢â€šÂ¬Ã‚Â0.42, 95% confidence interval (CI) ÃƒÂ¢Ã¢â€šÂ¬Ã‚Â0.64 to ÃƒÂ¢Ã¢â€šÂ¬Ã‚Â0.21; 4 studies; low certainty), but the effect in the medium term is very uncertain (SMD ÃƒÂ¢Ã¢â€šÂ¬Ã‚Â0.40, 95% CI ÃƒÂ¢Ã¢â€šÂ¬Ã‚Â0.87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ÃƒÂ¢Ã¢â€šÂ¬Ã‚Â0.62; 95% CI ÃƒÂ¢Ã¢â€šÂ¬Ã‚Â0.94 to ÃƒÂ¢Ã¢â€šÂ¬Ã‚Â0.31). Data from one longerÃƒÂ¢Ã¢â€šÂ¬Ã‚Âterm study suggest that discontinuing a cholinesterase inhibitor is probably associated with worse cognitive function at 12 months (mean difference (MD) ÃƒÂ¢Ã¢â€šÂ¬Ã‚Â2.09 Standardised MiniÃƒÂ¢Ã¢â€šÂ¬Ã‚ÂMental State Examination (SMMSE) points, 95% CI ÃƒÂ¢Ã¢â€šÂ¬Ã‚Â3.43 to ÃƒÂ¢Ã¢â€šÂ¬Ã‚Â0.75; moderate certainty). Discontinuation may make little or no difference to functional status in the short term (SM ÃƒÂ¢Ã¢â€šÂ¬Ã‚Â0.25, 95% CI ÃƒÂ¢Ã¢â€šÂ¬Ã‚Â0.54 to 0.04; 2 studies; low certainty), and its effect in the medium term is uncertain (SMD ÃƒÂ¢Ã¢â€šÂ¬Ã‚Â0.38, 95% CI ÃƒÂ¢Ã¢â€šÂ¬Ã‚Â0.74 to ÃƒÂ¢Ã¢â€šÂ¬Ã‚Â0.01; 2 studies; very low certainty). After 12 months, discontinuing a cholinesterase inhibitor probably results in greater functional impairment than continuing treatment (MD ÃƒÂ¢Ã¢â€šÂ¬Ã‚Â3.38 Bristol Activities of Daily Living Scale (BADLS) points, 95% CI ÃƒÂ¢Ã¢â€šÂ¬Ã‚Â6.67 to ÃƒÂ¢Ã¢â€šÂ¬Ã‚Â0.10; one study; moderate certainty). Discontinuation may be associated with a worsening of neuropsychiatric symptoms over the short term and medium term, although we cannot exclude a minimal effect (SMD ÃƒÂ¢Ã¢â€šÂ¬Ã‚Â 0.48, 95% CI ÃƒÂ¢Ã¢â€šÂ¬Ã‚Â0.82 to ÃƒÂ¢Ã¢â€šÂ¬Ã‚Â0.13; 2 studies; low certainty; and SMD ÃƒÂ¢Ã¢â€šÂ¬Ã‚Â0.27, 95% CI ÃƒÂ¢Ã¢â€šÂ¬Ã‚Â0.47 to ÃƒÂ¢Ã¢â€šÂ¬Ã‚Â0.08; 3 studies; low certainty, respectively). Data from one study suggest that discontinuing a cholinesterase inhibitor may result in little to no change in neuropsychiatric status at 12 months (MD ÃƒÂ¢Ã¢â€šÂ¬Ã‚Â0.87 Neuropsychiatric Inventory (NPI) points; 95% CI ÃƒÂ¢Ã¢â€šÂ¬Ã‚Â8.42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wellÃƒÂ¢Ã¢â€šÂ¬Ã‚Âdesigned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antiÃƒÂ¢Ã¢â€šÂ¬Ã‚Âdementia drugs in patients with dementia Background Dementia is the term used to describe a group of illnesses, usually developing in late life, in which there is a deterioration in a personÃƒÂ¢Ã¢â€šÂ¬Ã¢â€žÂ¢s ability to think, remember, communicate and manage daily activities independently. It can be caused by several different brain diseases, but the most common form is dementia due to AlzheimerÃƒÂ¢Ã¢â€šÂ¬Ã¢â€žÂ¢s disease. At the moment, there are no medical treatments which can prevent dementia or stop it from progressing, but there are two classes of drugs ÃƒÂ¢Ã¢â€šÂ¬Ã¢â‚¬Å“ the cholinesterase inhibitors (donepezil, rivastigmine and galantamine) and memantine ÃƒÂ¢Ã¢â€šÂ¬Ã‚Â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longÃƒÂ¢Ã¢â€šÂ¬Ã‚Âterm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AlzheimerÃƒÂ¢Ã¢â€šÂ¬Ã¢â€žÂ¢s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patientsÃƒÂ¢Ã¢â€šÂ¬Ã¢â€žÂ¢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AlzheimerÃƒÂ¢Ã¢â€šÂ¬Ã¢â€žÂ¢s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patientÃƒÂ¢Ã¢â€šÂ¬Ã¢â€žÂ¢s preferences, are also important.</t>
  </si>
  <si>
    <t>Peer-reviewed article from Cochrane review.</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</si>
  <si>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Ãƒâ€šÃ‚Â©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</si>
  <si>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Ãƒâ€šÃ‚Â© Author(s) (or their employer(s)) 2020. Re-use permitted under CC BY-NC. No commercial re-use. See rights and permissions. Published by BMJ.</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</si>
  <si>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Ãƒâ€šÃ‚Â© Authors 2021</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</si>
  <si>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Ãƒâ€šÃ‚Â© Author(s) (or their employer(s)) 2021. Re-use permitted under CC BY. Published by BMJ.</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</si>
  <si>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Ãƒâ€šÃ‚Â© 2020, The Author(s).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</si>
  <si>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Ãƒâ€šÃ‚Â© 2021</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</si>
  <si>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Ãƒâ€šÃ‚Â© 2021, The Author(s).</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</si>
  <si>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Ãƒâ€šÃ‚Â© AANS 2021.</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</si>
  <si>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Ãƒâ€šÃ‚Â© 2021 Perkins et al.</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</si>
  <si>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quasiÃƒÂ¢Ã¢â€šÂ¬Ã‚ÂRCTs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patientÃƒÂ¢Ã¢â€šÂ¬Ã‚Âreported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quasiÃƒÂ¢Ã¢â€šÂ¬Ã‚ÂRCT,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lowÃƒÂ¢Ã¢â€šÂ¬Ã‚Âcertainty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lowÃƒÂ¢Ã¢â€šÂ¬Ã‚Âcertainty evidence of no clinically important difference between the two groups in patientÃƒÂ¢Ã¢â€šÂ¬Ã‚Ârated function or active finger range of motion at 6 or 12 months followÃƒÂ¢Ã¢â€šÂ¬Ã‚Âup. There is very lowÃƒÂ¢Ã¢â€šÂ¬Ã‚Âcertainty evidence of little betweenÃƒÂ¢Ã¢â€šÂ¬Ã‚Âgroup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selfÃƒÂ¢Ã¢â€šÂ¬Ã‚Ârated function, on range of movement during three to six months or numbers of participants experiencing adverse events. The very lowÃƒÂ¢Ã¢â€šÂ¬Ã‚Âcertainty evidence for poor (under oneÃƒÂ¢Ã¢â€šÂ¬Ã‚Âquarter that of normal) range of finger movement at one to three years followÃƒÂ¢Ã¢â€šÂ¬Ã‚Âup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lowÃƒÂ¢Ã¢â€šÂ¬Ã‚Âcertainty evidence of no difference in selfÃƒÂ¢Ã¢â€šÂ¬Ã‚Ârated function using the Disability of the Arm, Shoulder and Hand (DASH) functional assessment between the two groups at six months (one trial) or at 12 months (one trial). There is very lowÃƒÂ¢Ã¢â€šÂ¬Ã‚Âcertainty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lowÃƒÂ¢Ã¢â€šÂ¬Ã‚Âcertainty. Authors' conclusions There is a lack of evidence from RCTs on most of the rehabilitation interventions used following surgery for flexor tendon injuries of the hand. The limited and very lowÃƒÂ¢Ã¢â€šÂ¬Ã‚Âcertainty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ÃƒÂ¢Ã¢â€šÂ¬Ã¢â‚¬Å“ for example, because of a deep cut from broken glass ÃƒÂ¢Ã¢â€šÂ¬Ã¢â‚¬Å“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ÃƒÂ¢Ã¢â€šÂ¬Ã‚Â which approaches are most effect ve in restoring finger motion and function; and ÃƒÂ¢Ã¢â€šÂ¬Ã‚Â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ÃƒÂ¢Ã¢â€šÂ¬Ã‚Â no treatment; ÃƒÂ¢Ã¢â€šÂ¬Ã‚Â a placebo (dummy) treatment (in which, for example, someone thinks they may be receiving laser therapy but the machine is switched off); or ÃƒÂ¢Ã¢â€šÂ¬Ã‚Â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threeÃƒÂ¢Ã¢â€šÂ¬Ã‚Âquarters of them were male. Ten studies evaluated one each of eight different hand exercise programmes. The other seven studies evaluated a variety of other rehabilitation approaches, such as: ÃƒÂ¢Ã¢â€šÂ¬Ã‚Â laser therapy, in which light is directed at the tendons to encourage healing; ÃƒÂ¢Ã¢â€šÂ¬Ã‚Â ultrasound, in which sound waves are directed at the tendons to encourage healing; and ÃƒÂ¢Ã¢â€šÂ¬Ã‚Â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ÃƒÂ¢Ã¢â€šÂ¬Ã‚Â one study (84 people) that compared finger exercises against immobilisation; ÃƒÂ¢Ã¢â€šÂ¬Ã‚Â one study (53 people) that evaluated the effects of adding regular finger exercises (20 to 30 times every waking hour for four weeks from the first day after surgery) to ÃƒÂ¢Ã¢â€šÂ¬Ã‹Å“passiveÃƒÂ¢Ã¢â€šÂ¬Ã¢â€žÂ¢ exercises (in which people regularly folded the fingers in the injured hand using the uninjured hand); and ÃƒÂ¢Ã¢â€šÂ¬Ã‚Â three studies (190 people) that evaluated the effects of adding ÃƒÂ¢Ã¢â€šÂ¬Ã‹Å“place and holdÃƒÂ¢Ã¢â€šÂ¬Ã¢â€žÂ¢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cliniciansÃƒÂ¢Ã¢â€šÂ¬Ã¢â€žÂ¢ and patientsÃƒÂ¢Ã¢â€šÂ¬Ã¢â€žÂ¢ choice of rehabilitation after surgery for flexor tendon injuries. How upÃƒÂ¢Ã¢â€šÂ¬Ã‚ÂtoÃƒÂ¢Ã¢â€šÂ¬Ã‚Âdate is this review? The evidence in this Cochrane Review is current to August 2020.</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</si>
  <si>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Ãƒâ€šÃ‚Â©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</si>
  <si>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Ãƒâ€šÃ‚Â© 2021 The Authors</t>
  </si>
  <si>
    <t>Antiemetics for adults for prevention of nausea and vomiting caused by moderately or highly emetogenic chemotherapy: a network metaÃƒÂ¢Ã¢â€šÂ¬Ã‚Âanalysis</t>
  </si>
  <si>
    <t>- Background About 70% to 80% of adults with cancer experience chemotherapyÃƒÂ¢Ã¢â€šÂ¬Ã‚Âinduced nausea and vomiting (CINV). CINV remains one of the most distressing symptoms associated with cancer therapy and is associated with decreased adherence to chemotherapy. Combining 5ÃƒÂ¢Ã¢â€šÂ¬Ã‚ÂhydroxytryptamineÃƒÂ¢Ã¢â€šÂ¬Ã‚Â3 (5ÃƒÂ¢Ã¢â€šÂ¬Ã‚ÂHTÃƒÂ¢Ã¢â‚¬Å¡Ã†â€™) receptor antagonists with corticosteroids or additionally with neurokininÃƒÂ¢Ã¢â€šÂ¬Ã‚Â1 (NKÃƒÂ¢Ã¢â‚¬Å¡Ã‚Â) receptor antagonists is effective in preventing CINV among adults receiving highly emetogenic chemotherapy (HEC) or moderately emetogenic chemotherapy (MEC). Various treatment options are available, but direct headÃƒÂ¢Ã¢â€šÂ¬Ã‚ÂtoÃƒÂ¢Ã¢â€šÂ¬Ã‚Âhead comparisons do not allow comparison of all treatments versus another. Objectives ÃƒÂ¢Ã¢â€šÂ¬Ã‚Â¢ In adults with solid cancer or haematological malignancy receiving HEC ÃƒÂ¢Ã¢â€šÂ¬Ã‚Â To compare the effects of antiemetic treatment combinations including NKÃƒÂ¢Ã¢â‚¬Å¡Ã‚Â receptor antagonists, 5ÃƒÂ¢Ã¢â€šÂ¬Ã‚ÂHTÃƒÂ¢Ã¢â‚¬Å¡Ã†â€™ receptor antagonists, and corticosteroids on prevention of acute phase (Day 1), delayed phase (Days 2 to 5), and overall (Days 1 to 5) chemotherapyÃƒÂ¢Ã¢â€šÂ¬Ã‚Âinduced nausea and vomiting in network metaÃƒÂ¢Ã¢â€šÂ¬Ã‚Âanalysis (NMA) ÃƒÂ¢Ã¢â€šÂ¬Ã‚Â To generate a clinically meaningful treatment ranking according to treatment safety and efficacy ÃƒÂ¢Ã¢â€šÂ¬Ã‚Â¢ In adults with solid cancer or haematological malignancy receiving MEC ÃƒÂ¢Ã¢â€šÂ¬Ã‚Â To compare whether antiemetic treatment combinations including NKÃƒÂ¢Ã¢â‚¬Å¡Ã‚Â receptor antagonists, 5ÃƒÂ¢Ã¢â€šÂ¬Ã‚ÂHTÃƒÂ¢Ã¢â‚¬Å¡Ã†â€™ receptor antagonists, and corticosteroids are superior for prevention of acute phase (Day 1), delayed phase (Days 2 to 5), and overall (Days 1 to 5) chemotherapyÃƒÂ¢Ã¢â€šÂ¬Ã‚Âinduced nausea and vomiting to treatment combinations including 5ÃƒÂ¢Ã¢â€šÂ¬Ã‚ÂHTÃƒÂ¢Ã¢â‚¬Å¡Ã†â€™ receptor antagonists and corticosteroids solely, in network metaÃƒÂ¢Ã¢â€šÂ¬Ã‚Âanalysis ÃƒÂ¢Ã¢â€šÂ¬Ã‚Â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NKÃƒÂ¢Ã¢â‚¬Å¡Ã‚Â and 5ÃƒÂ¢Ã¢â€šÂ¬Ã‚ÂHTÃƒÂ¢Ã¢â‚¬Å¡Ã†â€™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onÃƒÂ¢Ã¢â€šÂ¬Ã‚Âstudy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NKÃƒÂ¢Ã¢â‚¬Å¡Ã‚Â and 5ÃƒÂ¢Ã¢â€šÂ¬Ã‚ÂHTÃƒÂ¢Ã¢â‚¬Å¡Ã†â€™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NKÃƒÂ¢Ã¢â‚¬Å¡Ã‚Â and 5ÃƒÂ¢Ã¢â€šÂ¬Ã‚ÂHTÃƒÂ¢Ã¢â‚¬Å¡Ã†â€™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lowÃƒÂ¢Ã¢â€šÂ¬Ã‚Âcertainty), aprepitant + ramosetron (753 of 1000; RR 1.07, 95% CI 0.95 to 1.21; low certainty), and fosaprepitant + palonosetron (746 of 1000; RR 1.06, 95% CI 0.96 to .19; low certainty). Netupitant + palonosetron (704 of 1000; RR 1.00, 95% CI 0.93 to 1.08; highÃƒÂ¢Ã¢â€šÂ¬Ã‚Âcertainty) and fosaprepitant + granisetron (697 of 1000; RR 0.99, 95% CI 0.93 to 1.06; highÃƒÂ¢Ã¢â€šÂ¬Ã‚Âcertainty)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NKÃƒÂ¢Ã¢â‚¬Å¡Ã‚Â and 5ÃƒÂ¢Ã¢â€šÂ¬Ã‚ÂHTÃƒÂ¢Ã¢â‚¬Å¡Ã†â€™ inhibitors, or 5ÃƒÂ¢Ã¢â€šÂ¬Ã‚ÂHTÃƒÂ¢Ã¢â‚¬Å¡Ã†â€™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pairÃƒÂ¢Ã¢â€šÂ¬Ã‚Âwise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chemotherapyÃƒÂ¢Ã¢â€šÂ¬Ã‚Âinduced nausea and vomiting. For people receiving MEC, synthesised evidence does not suggest superiority for treatments including both NKÃƒÂ¢Ã¢â‚¬Å¡Ã‚Â and 5ÃƒÂ¢Ã¢â€šÂ¬Ã‚ÂHTÃƒÂ¢Ã¢â‚¬Å¡Ã†â€™ inhibitors when compared to treatments including 5ÃƒÂ¢Ã¢â€šÂ¬Ã‚ÂHTÃƒÂ¢Ã¢â‚¬Å¡Ã†â€™ inhibitors only. Rather, the results of our NMA suggest that the choice of 5ÃƒÂ¢Ã¢â€šÂ¬Ã‚ÂHTÃƒÂ¢Ã¢â‚¬Å¡Ã†â€™ inhibitor may have an impact on treatment efficacy in preventing CINV. When interpreting the results of this systematic review, it is important for the reader to understand that NMAs are no substitute for direct headÃƒÂ¢Ã¢â€šÂ¬Ã‚ÂtoÃƒÂ¢Ã¢â€šÂ¬Ã‚Âhead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metaÃƒÂ¢Ã¢â€šÂ¬Ã‚Âanalysis, we aimed to compare the benefits and harms of different drug combinations for prevention of CINV among people receiving HEC or MEC, and to identify treatment ranking. A network metaÃƒÂ¢Ã¢â€šÂ¬Ã‚Âanalysis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realÃƒÂ¢Ã¢â€šÂ¬Ã‚Âworld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realÃƒÂ¢Ã¢â€šÂ¬Ã‚Âworld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multipleÃƒÂ¢Ã¢â€šÂ¬Ã‚Âcomparison analyses are no substitute for headÃƒÂ¢Ã¢â€šÂ¬Ã‚ÂtoÃƒÂ¢Ã¢â€šÂ¬Ã‚Âhead comparisons, and that the results do not necessarily rule out differences that could be clinically relevant for some individuals. How upÃƒÂ¢Ã¢â€šÂ¬Ã‚ÂtoÃƒÂ¢Ã¢â€šÂ¬Ã‚Âdate is this evidence? Evidence is upÃƒÂ¢Ã¢â€šÂ¬Ã‚ÂtoÃƒÂ¢Ã¢â€šÂ¬Ã‚Âdate to 2 February 2021.</t>
  </si>
  <si>
    <t>Secondary prevention of variceal bleeding in adults with previous oesophageal variceal bleeding due to decompensated liver cirrhosis: a network metaÃƒÂ¢Ã¢â€šÂ¬Ã‚Âanalysis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</si>
  <si>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betaÃƒÂ¢Ã¢â€šÂ¬Ã‚Âblockers,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metaÃƒÂ¢Ã¢â€šÂ¬Ã‚Âanalysis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of Health and Care Excellence Decision Support Unit guidance. Main results We included a total of 48 randomised clinical trials (3526 participants) in the review. FortyÃƒÂ¢Ã¢â€šÂ¬Ã‚Âsix trials (3442 participants) were included in one or more comparisons. The trials that provided the information included people with cirrhosis due to varied aetiologies. The followÃƒÂ¢Ã¢â€šÂ¬Ã‚Âup ranged from two months to 61 months. All the trials were at high risk of bias. A total of 12 interventions were compared in these trials (sclerotherapy, betaÃƒÂ¢Ã¢â€šÂ¬Ã‚Âblockers, variceal band ligation, betaÃƒÂ¢Ã¢â€šÂ¬Ã‚Âblockers plus sclerotherapy, no active intervention, TIPS (transjugular intrahepatic portosystemic shunt), betaÃƒÂ¢Ã¢â€šÂ¬Ã‚Âblockers plus nitrates, portocaval shunt, sclerotherapy plus variceal band ligation, betaÃƒÂ¢Ã¢â€šÂ¬Ã‚Âblockers plus nitrates plus variceal band ligation, betaÃƒÂ¢Ã¢â€šÂ¬Ã‚Âblockers plus variceal band ligation, sclerotherapy plus nitrates). Overall, 22.5% of the trial participants who received the reference treatment (chosen because this was the commonest treatment compared in the trials) of sclerotherapy died during the followÃƒÂ¢Ã¢â€šÂ¬Ã‚Âup period ranging from two months to 61 months. There was considerable uncertainty in the effects of interventions on mortality. Accordingly, none of the interventions showed superiority over another. None of the trials reported healthÃƒÂ¢Ã¢â€šÂ¬Ã‚Ârelated quality of life. Based on lowÃƒÂ¢Ã¢â€šÂ¬Ã‚Âcertainty evidence, variceal band ligation may result in fewer serious adverse events (number of people) than sclerotherapy (OR 0.19; 95% CrI 0.06 to 0.54; 1 trial; 100 participants). Based on low or very lowÃƒÂ¢Ã¢â€šÂ¬Ã‚Âcertainty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lowÃƒÂ¢Ã¢â€šÂ¬Ã‚Âcertainty evidence, TIPS may result in large decrease in symptomatic rebleed than variceal band ligation (HR 0.12; 95% CrI 0.03 to 0.41; 1 trial; 58 participants). Based on moderateÃƒÂ¢Ã¢â€šÂ¬Ã‚Âcertainty evidence, any variceal rebleed was probably lower in sclerotherapy than in no active intervention (HR 0.62; 95% CrI 0.35 to 0.99, direct comparison HR 0.66; 95% CrI 0.11 to 3.13; 3 trials; 296 participants), betaÃƒÂ¢Ã¢â€šÂ¬Ã‚Âblockers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lowÃƒÂ¢Ã¢â€šÂ¬Ã‚Âcertainty evidence, betaÃƒÂ¢Ã¢â€šÂ¬Ã‚Âblockers alone and TIPS might result in more, other compensation, events than sclerotherapy (rate ratio 2.37; 95% CrI 1.35 to 4.67; 1 trial; 65 participants and rate ratio 2.30; 95% CrI 1.20 to 4.65; 2 trials; 109 participants; lowÃƒÂ¢Ã¢â€šÂ¬Ã‚Âcertainty evidence). The evidence indicates considerable uncertainty about the effect of the interventions including those related to betaÃƒÂ¢Ã¢â€šÂ¬Ã‚Âblockers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BetaÃƒÂ¢Ã¢â€šÂ¬Ã‚Âblockers plus sclerotherapy and TIPS probably result in fewer 'any' variceal rebleeding than sclerotherapy. BetaÃƒÂ¢Ã¢â€šÂ¬Ã‚Âblockers alone and TIPS might result in more other compensation events than sclerotherapy. The evidence indicates considerable uncertainty about the effect of the interventions in the remaining comparisons. Accordingly, highÃƒÂ¢Ã¢â€šÂ¬Ã‚Âquality randomised comparative clinical trials are needed. Plain language summary Prevention of rebleeding from enlarged veins in the food pipe (oesophagus) resulting from advanced liver disease What is the aim of this Cochrane Review? ÃƒÂ¢Ã¢â€šÂ¬Ã‚Â¨To find out the best available preventive treatment for repeated bleeding from oesophageal varices (enlarged veins in the food pipe) in people with advanced liver disease (liver cirrhosis, or lateÃƒÂ¢Ã¢â€šÂ¬Ã‚Âstage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metaÃƒÂ¢Ã¢â€šÂ¬Ã‚Âanalysis'). Date of literature search ÃƒÂ¢Ã¢â€šÂ¬Ã‚Â¨December 2019 Key messages ÃƒÂ¢Ã¢â€šÂ¬Ã‚Â¨None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ÃƒÂ¢Ã¢â€šÂ¬Ã‚Â¨This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betaÃƒÂ¢Ã¢â€šÂ¬Ã‚Âblockers (drugs that slow the heart and decrease the force of heart pumping resulting in decrease pressure in the blood vessels), and TIPS (transjugular intrahepatic portosystemic shunt; an artificial channel that connects the different blood vessels that carry oxygenÃƒÂ¢Ã¢â€šÂ¬Ã‚Âdepleted blood (venous system)) within the liver to reduce the pressure builtÃƒÂ¢Ã¢â€šÂ¬Ã‚Âup in the portal venous system, one of the two venous systems draining the liver), portocaval shunt (performing surgery to create the artificial channel described for TIPS) among others. The review authors wanted to gather and analyse data on death, quality of life, serious and nonÃƒÂ¢Ã¢â€šÂ¬Ã‚Âserious adverse events, recurrence of bleeding, and development of other complications of advanced liver disease.ÃƒÂ¢Ã¢â€šÂ¬Ã‚Â¨ÃƒÂ¢Ã¢â€šÂ¬Ã‚Â¨ What were the main results of the review? ÃƒÂ¢Ã¢â€šÂ¬Ã‚Â¨The 48 studies included a small number of participants (3526 participants). Study data were sparse. FortyÃƒÂ¢Ã¢â€šÂ¬Ã‚Âsix studies with 3442 participants provided data for analyses. The followÃƒÂ¢Ã¢â€šÂ¬Ã‚Âup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following.ÃƒÂ¢Ã¢â€šÂ¬Ã‚Â¨ÃƒÂ¢Ã¢â€šÂ¬Ã‚Â The evidence indicates considerable uncertainty about the effect of the interventions on the risk of deathÃƒÂ¢Ã¢â€šÂ¬Ã‚Â¨ÃƒÂ¢Ã¢â€šÂ¬Ã‚Â Variceal band ligation might result in fewer serious adverse events than sclerotherapyÃƒÂ¢Ã¢â€šÂ¬Ã‚Â¨ÃƒÂ¢Ã¢â€šÂ¬Ã‚Â The evidence indicates considerable uncertainty about the effect of the interventions on serious and nonÃƒÂ¢Ã¢â€šÂ¬Ã‚Âserious adverse eventsÃƒÂ¢Ã¢â€šÂ¬Ã‚Â¨ÃƒÂ¢Ã¢â€šÂ¬Ã‚Â Sclerotherapy probably results in decrease in further bleeding than no treatmentÃƒÂ¢Ã¢â€šÂ¬Ã‚Â¨ÃƒÂ¢Ã¢â€šÂ¬Ã‚Â BetaÃƒÂ¢Ã¢â€šÂ¬Ã‚Âblockers plus sclerotherapy and TIPS probably result in a decrease in further bleeding than sclerotherapy aloneÃƒÂ¢Ã¢â€šÂ¬Ã‚Â¨ÃƒÂ¢Ã¢â€šÂ¬Ã‚Â Portocaval shunt may result in a decrease in further bleeding than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trials are needed to find out the best treatment for people with cirrhosis and previous bleeding from oesophageal varices.</t>
  </si>
  <si>
    <t>Peer-reviewed network meta-analysis in a reputable journal.</t>
  </si>
  <si>
    <t>- Background People with chronic obstructive pulmonary disease (COPD) show considerable variation in symptoms, limitations, and wellÃƒÂ¢Ã¢â€šÂ¬Ã‚Âbeing; this often complicates medical care. A multiÃƒÂ¢Ã¢â€šÂ¬Ã‚Âdisciplinary and multiÃƒÂ¢Ã¢â€šÂ¬Ã‚Âcomponent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healthÃƒÂ¢Ã¢â€šÂ¬Ã‚Ârelated quality of life (QoL), exercise tolerance, and exacerbationÃƒÂ¢Ã¢â€šÂ¬Ã‚Ârelated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multiÃƒÂ¢Ã¢â€šÂ¬Ã‚Âdisciplinary (two or more healthcare providers) and multiÃƒÂ¢Ã¢â€šÂ¬Ã‚Âtreatment (two or more components) IDM programmes of at least three months' duration. Data collection and analysis Two review authors independently assessed trial quality and extracted data. If required, we contacted study authors to request additional data. We performed metaÃƒÂ¢Ã¢â€šÂ¬Ã‚Âanalyses using randomÃƒÂ¢Ã¢â€šÂ¬Ã‚Âeffects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metaÃƒÂ¢Ã¢â€šÂ¬Ã‚Âanalysis. FollowÃƒÂ¢Ã¢â€šÂ¬Ã‚Âup periods ranged between 3 and 48 months and were classified as shortÃƒÂ¢Ã¢â€šÂ¬Ã‚Âterm (up to 6 months), mediumÃƒÂ¢Ã¢â€šÂ¬Ã‚Âterm (6 to 15 months), and longÃƒÂ¢Ã¢â€šÂ¬Ã‚Âterm (longer than 15 months) followÃƒÂ¢Ã¢â€šÂ¬Ã‚Âup.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healthÃƒÂ¢Ã¢â€šÂ¬Ã‚Ârelated QoL as measured by St. George's Respiratory Questionnaire (SGRQ) total score at mediumÃƒÂ¢Ã¢â€šÂ¬Ã‚Âterm followÃƒÂ¢Ã¢â€šÂ¬Ã‚Âup (mean difference (MD) ÃƒÂ¢Ã¢â€šÂ¬Ã‚Â3.89, 95% confidence interval (CI) ÃƒÂ¢Ã¢â€šÂ¬Ã‚Â6.16 to ÃƒÂ¢Ã¢â€šÂ¬Ã‚Â1.63; 18 RCTs, 4321 participants; moderateÃƒÂ¢Ã¢â€šÂ¬Ã‚Âcertainty evidence). A comparable effect was observed at shortÃƒÂ¢Ã¢â€šÂ¬Ã‚Âterm followÃƒÂ¢Ã¢â€šÂ¬Ã‚Âup (MD ÃƒÂ¢Ã¢â€šÂ¬Ã‚Â3.78, 95% CI ÃƒÂ¢Ã¢â€šÂ¬Ã‚Â6.29 to ÃƒÂ¢Ã¢â€šÂ¬Ã‚Â1.28; 16 RCTs, 1788 participants). However, the common effect did not exceed the minimum clinically important difference (MCID) of 4 points. There was no significant difference between IDM and control for longÃƒÂ¢Ã¢â€šÂ¬Ã‚Âterm followÃƒÂ¢Ã¢â€šÂ¬Ã‚Âup and for generic QoL. IDM probably also leads to a large improvement in maximum and functional exercise capacity, as measured by sixÃƒÂ¢Ã¢â€šÂ¬Ã‚Âminute walking distance (6MWD), at mediumÃƒÂ¢Ã¢â€šÂ¬Ã‚Âterm followÃƒÂ¢Ã¢â€šÂ¬Ã‚Âup (MD 44.69, 95% CI 24.01 to 65.37; 13 studies, 2071 participants; moderateÃƒÂ¢Ã¢â€šÂ¬Ã‚Âcertainty evidence). The effect exceeded the MCID of 35 metres and was even greater at shortÃƒÂ¢Ã¢â€šÂ¬Ã‚Âterm (MD 52.26, 95% CI 32.39 to 72.74; 17 RCTs, 1390 participants) and longÃƒÂ¢Ã¢â€šÂ¬Ã‚Âterm (MD 48.83, 95% CI 16.37 to 80.49; 6 RCTs, 7288 participants) followÃƒÂ¢Ã¢â€šÂ¬Ã‚Âup. The number of participants with respiratoryÃƒÂ¢Ã¢â€šÂ¬Ã‚Ârelated admissions was reduced from 324 per 1000 participants in the control group to 235 per 1000 participants in the IDM group (odds ratio (OR) 0.64, 95% CI 0.50 to 0.81; 15 RCTs, median followÃƒÂ¢Ã¢â€šÂ¬Ã‚Âup 12 months, 4207 participants; highÃƒÂ¢Ã¢â€šÂ¬Ã‚Âcertainty evidence). Likewise, IDM probably results in a reduction in emergency department (ED) visits (OR 0.69, 95%CI 0.50 to 0.93; 9 RCTs, median followÃƒÂ¢Ã¢â€šÂ¬Ã‚Âup 12 months, 8791 participants; moderateÃƒÂ¢Ã¢â€šÂ¬Ã‚Âcertainty evidence), a slight reduction in allÃƒÂ¢Ã¢â€šÂ¬Ã‚Âcause hospital admissions (OR 0.75, 95%CI 0.57 to 0.98; 10 RCT , median followÃƒÂ¢Ã¢â€šÂ¬Ã‚Âup 12 months, 9030 participants; moderateÃƒÂ¢Ã¢â€šÂ¬Ã‚Âcertainty evidence), and fewer hospital days per person admitted (MD ÃƒÂ¢Ã¢â€šÂ¬Ã‚Â2.27, 95% CI ÃƒÂ¢Ã¢â€šÂ¬Ã‚Â3.98 to ÃƒÂ¢Ã¢â€šÂ¬Ã‚Â0.56; 14 RCTs, median followÃƒÂ¢Ã¢â€šÂ¬Ã‚Âup 12 months, 3563 participants; moderateÃƒÂ¢Ã¢â€šÂ¬Ã‚Âcertainty evidence). Statistically significant improvement was noted on the Medical Research Council (MRC) Dyspnoea Scale at shortÃƒÂ¢Ã¢â€šÂ¬Ã‚Â and mediumÃƒÂ¢Ã¢â€šÂ¬Ã‚Âterm followÃƒÂ¢Ã¢â€šÂ¬Ã‚Âup but not at longÃƒÂ¢Ã¢â€šÂ¬Ã‚Âterm followÃƒÂ¢Ã¢â€šÂ¬Ã‚Âup. No differences between groups were reported for mortality, courses of antibiotics/prednisolone, dyspnoea, and depression and anxiety scores. Subgroup analysis of dominant intervention components and regions of study suggested contextÃƒÂ¢Ã¢â€šÂ¬Ã‚Â and interventionÃƒÂ¢Ã¢â€šÂ¬Ã‚Âspecific effects. However, some subgroup analyses were marked by considerable heterogeneity or included few studies. These results should therefore be interpreted with caution. Authors' conclusions This review shows that IDM probably results in improvement in diseaseÃƒÂ¢Ã¢â€šÂ¬Ã‚Âspecific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processÃƒÂ¢Ã¢â€šÂ¬Ã‚Ârelated outcomes, longÃƒÂ¢Ã¢â€šÂ¬Ã‚Âterm followÃƒÂ¢Ã¢â€šÂ¬Ã‚Âup, and costÃƒÂ¢Ã¢â€šÂ¬Ã‚Âeffectiveness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selfÃƒÂ¢Ã¢â€šÂ¬Ã‚Âmanagement,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coÃƒÂ¢Ã¢â€šÂ¬Ã‚Âoperating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upÃƒÂ¢Ã¢â€šÂ¬Ã‚ÂtoÃƒÂ¢Ã¢â€šÂ¬Ã‚Âdate as of February 2021.</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</si>
  <si>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Ãƒâ€šÃ‚Â© 2021, The Author(s).</t>
  </si>
  <si>
    <t>Intermittent catheter techniques, strategies and designs for managing longÃƒÂ¢Ã¢â€šÂ¬Ã‚Âterm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</si>
  <si>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costÃƒÂ¢Ã¢â€šÂ¬Ã‚Âeffectiveness. This is an update of a Cochrane Review first published in 2007. Objectives To assess the clinical and costÃƒÂ¢Ã¢â€šÂ¬Ã‚Âeffectiveness of different catheterisation techniques, strategies and catheter designs, and their impact, on UTI and other complications, and measures of satisfaction/quality of life among adults and children whose longÃƒÂ¢Ã¢â€šÂ¬Ã‚Âterm bladder condition is managed by intermittent catheterisation. Search methods We searched the Cochrane Incontinence Specialised Register, which contains trials identified from the Cochrane Central Register of Controlled Trials (CENTRAL), MEDLINE, MEDLINE InÃƒÂ¢Ã¢â€šÂ¬Ã‚ÂProcess,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crossÃƒÂ¢Ã¢â€šÂ¬Ã‚Âover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crossÃƒÂ¢Ã¢â€šÂ¬Ã‚Âover trials. Most were small (fewer than 60 participants completed), although three trials had more than 100 participants. Length of followÃƒÂ¢Ã¢â€šÂ¬Ã‚Âup ranged from one month to 12 months and there was considerable variation in definitions of UTI. Most of the data from crossÃƒÂ¢Ã¢â€šÂ¬Ã‚Âover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lowÃƒÂ¢Ã¢â€šÂ¬Ã‚Âcertainty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SingleÃƒÂ¢Ã¢â€šÂ¬Ã‚Âuse (sterile) catheter versus multipleÃƒÂ¢Ã¢â€šÂ¬Ã‚Âuse (clean) We are uncertain if there is any difference between singleÃƒÂ¢Ã¢â€šÂ¬Ã‚Âuse and multipleÃƒÂ¢Ã¢â€šÂ¬Ã‚Âuse catheters in terms of the risk of symptomatic UTI because the certainty of evidence is low and the 95% CI is consistent with possible benefit and possible harm (RR 0.98, 95% CI 0.55, 1.74; two studies; 97 participants). One study comparing singleÃƒÂ¢Ã¢â€šÂ¬Ã‚Âuse catheters to multipleÃƒÂ¢Ã¢â€šÂ¬Ã‚Âuse catheters reported zero adverse events in either group; no other adverse event data were reported for this comparison. We identified no data for participant satisfaction or preference. HydrophilicÃƒÂ¢Ã¢â€šÂ¬Ã‚Âcoated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hydrophilicÃƒÂ¢Ã¢â€šÂ¬Ã‚Âcoated catheters (RR 1.37, 95% CI 1.01 to 1.87; moderateÃƒÂ¢Ã¢â€šÂ¬Ã‚Âcertainty evidence). The evidence is uncertain if hydrophilicÃƒÂ¢Ã¢â€šÂ¬Ã‚Âcoated catheters compared with uncoated catheters has any effect on participant satisfaction measured on a 0ÃƒÂ¢Ã¢â€šÂ¬Ã‚Â10 scale (MD 0.7 higher, 95% CI 0.19 to 1.21; very lowÃƒÂ¢Ã¢â€šÂ¬Ã‚Âcertainty evidence; one study; 114 participants). Due to the paucity of data, we could not assess the certainty of evidence relating to participant preference (one crossÃƒÂ¢Ã¢â€šÂ¬Ã‚Âover trial of 29 participants reported greater preference for a hydrophilicÃƒÂ¢Ã¢â€šÂ¬Ã‚Âcoated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multipleÃƒÂ¢Ã¢â€šÂ¬Ã‚Âuse (clean) catheters, coated or uncoated catheters or different catheter lengths. The current research evidence is uncertain and design and reporting issues are significant. More wellÃƒÂ¢Ã¢â€šÂ¬Ã‚Âdesigned trials are needed. Such trials should include analysis of costÃƒÂ¢Ã¢â€šÂ¬Ã‚Âeffectiveness because there are likely to be substantial differences associated with the use of different catheterisation techniques and strategies, and catheter designs. Plain language summary Intermittent catheter techniques, strategies and catheter designs for managing longÃƒÂ¢Ã¢â€šÂ¬Ã‚Âterm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multipleÃƒÂ¢Ã¢â€šÂ¬Ã‚Âuse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ÃƒÂ¢Ã¢â€šÂ¬Ã‹Å“aseptic techniqueÃƒÂ¢Ã¢â€šÂ¬Ã¢â€žÂ¢ is used in healthcare settings, with specially packaged sterile equipment (gloves, lubricant and catheter) and a technique that avoids the catheter coming into contact with anything nonÃƒÂ¢Ã¢â€šÂ¬Ã‚Âsterile (including hands, equipment and surfaces) before it is inserted. People inserting their own catheters use a ÃƒÂ¢Ã¢â€šÂ¬Ã‹Å“cleanÃƒÂ¢Ã¢â€šÂ¬Ã¢â€žÂ¢ technique, where the environment is kept as clean as possible and a sterile or clean (multipleÃƒÂ¢Ã¢â€šÂ¬Ã‚Âuse) catheter is used without the need for gloves. Strategies: SingleÃƒÂ¢Ã¢â€šÂ¬Ã‚Âuse versus multipleÃƒÂ¢Ã¢â€šÂ¬Ã‚Âuse There are two types of catheter use: singleÃƒÂ¢Ã¢â€šÂ¬Ã‚Âuse and multipleÃƒÂ¢Ã¢â€šÂ¬Ã‚Âuse. ReÃƒÂ¢Ã¢â€šÂ¬Ã‚Âuse of catheters means that the catheter is cleaned and reÃƒÂ¢Ã¢â€šÂ¬Ã‚Âused a varying number of times (e.g. for up to 24 hours or for one week/month). Design: Uncoated versus hydrophilicÃƒÂ¢Ã¢â€šÂ¬Ã‚Âcoated Uncoated catheters are typically clear PVC and packed individually in sterile packaging. They may be supplied preÃƒÂ¢Ã¢â€šÂ¬Ã‚Âlubricated, or used with a separate lubricant or water to aid insertion HydrophilicÃƒÂ¢Ã¢â€šÂ¬Ã‚Âcoated catheters have a slippery coating and either are supplied ready to use, or require the addition of water. Design: Shorter versus standard length Catheters come in varying sizes and lengths to suit men, women and children, and people's different needs. How upÃƒÂ¢Ã¢â€šÂ¬Ã‚ÂtoÃƒÂ¢Ã¢â€šÂ¬Ã‚Âdate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SingleÃƒÂ¢Ã¢â€šÂ¬Ã‚Âuse (sterile) catheter versus multipleÃƒÂ¢Ã¢â€šÂ¬Ã‚Âuse (clean) We are uncertain if there is any difference between singleÃƒÂ¢Ã¢â€šÂ¬Ã‚Âuse and multipleÃƒÂ¢Ã¢â€šÂ¬Ã‚Âuse catheters in the risk of symptomatic UTI because the certainty of evidence is low. One study comparing these interventions reported zero adverse events in either group and no other adverse event data were reported. HydrophilicÃƒÂ¢Ã¢â€šÂ¬Ã‚Âcoated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hydrophilicÃƒÂ¢Ã¢â€šÂ¬Ã‚Âcoated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costÃƒÂ¢Ã¢â€šÂ¬Ã‚Âeffectiveness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wellÃƒÂ¢Ã¢â€šÂ¬Ã‚Âdesigned trials are needed. Such trials should include analysis of costÃƒÂ¢Ã¢â€šÂ¬Ã‚Âeffectiveness because there are likely to be substantial differences associated with the use of different catheter designs, catheterisation techniques and strategies.</t>
  </si>
  <si>
    <t>Environmental enrichment for stroke and other nonÃƒÂ¢Ã¢â€šÂ¬Ã‚Âprogressive brain injury</t>
  </si>
  <si>
    <t>- Background Rehabilitation is effective for recovery after stroke and other nonÃƒÂ¢Ã¢â€šÂ¬Ã‚Âprogressive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wellÃƒÂ¢Ã¢â€šÂ¬Ã‚Âbeing, functional recovery, activity levels and quality of life in people who have stroke or nonÃƒÂ¢Ã¢â€šÂ¬Ã‚Âprogressive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nonÃƒÂ¢Ã¢â€šÂ¬Ã‚ÂRCTs and two described coÃƒÂ¢Ã¢â€šÂ¬Ã‚Âinterventions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costÃƒÂ¢Ã¢â€šÂ¬Ã‚Âeffectiveness, and safety of the intervention in people following stroke or other nonÃƒÂ¢Ã¢â€šÂ¬Ã‚Âprogressive brain injuries. It should be noted, however, that it is challenging to randomise or doubleÃƒÂ¢Ã¢â€šÂ¬Ã‚Âblind trials of environmental enrichment given the nature of the intervention. Plain language summary Treatment using environmental enrichment for supporting rehabilitation following stroke and other brain injuries which do not get worse over time (nonÃƒÂ¢Ã¢â€šÂ¬Ã‚Âprogressive brain injury) Background Rehabilitation helps with recovery after stroke and other nonÃƒÂ¢Ã¢â€šÂ¬Ã‚Âprogressive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ÃƒÂ¢Ã¢â€šÂ¬Ã‚Â¨We wanted to find out whether treatment with environmental enrichment is better or worse than alternatives. Search date ÃƒÂ¢Ã¢â€šÂ¬Ã‚Â¨The evidence is current to 26 October 2020. Study characteristics ÃƒÂ¢Ã¢â€šÂ¬Ã‚Â¨Population: we planned to include studies in which participants were adults who had had a stroke or a nonÃƒÂ¢Ã¢â€šÂ¬Ã‚Âprogressive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wellÃƒÂ¢Ã¢â€šÂ¬Ã‚Âbeing (anxiety, depression, stress) and coping. Secondary outcomes focused on quality of life, physical function, communication and cognitive function, and activity levels. We also planned to report adverse events. Key results ÃƒÂ¢Ã¢â€šÂ¬Ã‚Â¨We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wellÃƒÂ¢Ã¢â€šÂ¬Ã‚Âbeing and coping. We were uncertain of the results because the trial was very small and highly prone to bias. Conclusion ÃƒÂ¢Ã¢â€šÂ¬Ã‚Â¨The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costÃƒÂ¢Ã¢â€šÂ¬Ã‚Âeffective, and if it is safe for people following stroke or other nonÃƒÂ¢Ã¢â€šÂ¬Ã‚Âprogressive brain injuries.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</si>
  <si>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lipidÃƒÂ¢Ã¢â€šÂ¬Ã‚Âlowering therapy. However, the majority of patients in the UK and worldwide remain undiagnosed. Established diagnostic criteria in current clinical practice are the SimonÃƒÂ¢Ã¢â€šÂ¬Ã‚ÂBroome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clusterÃƒÂ¢Ã¢â€šÂ¬Ã‚ÂRCTs and nonÃƒÂ¢Ã¢â€šÂ¬Ã‚Ârandomised studies of interventions (NRSI). Eligible NRSI were nonÃƒÂ¢Ã¢â€šÂ¬Ã‚Ârandomised controlled trials, prospective cohort studies, controlled beforeÃƒÂ¢Ã¢â€šÂ¬Ã‚ÂandÃƒÂ¢Ã¢â€šÂ¬Ã‚Âafter studies, and interruptedÃƒÂ¢Ã¢â€šÂ¬Ã‚ÂtimeÃƒÂ¢Ã¢â€šÂ¬Ã‚Âseries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beforeÃƒÂ¢Ã¢â€šÂ¬Ã‚ÂandÃƒÂ¢Ã¢â€šÂ¬Ã‚Âafter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cholesterolÃƒÂ¢Ã¢â€šÂ¬Ã‚Âlowering tablets markedly reduces this risk. As well as raised cholesterol in the blood, family history of heart disease and the presence of fatty lumps under the skin could indicate familial hypercholesterolaemia. It is important that communityÃƒÂ¢Ã¢â€šÂ¬Ã‚Âbased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2021.ÃƒÂ¢Ã¢â€šÂ¬Ã‚Â¨ÃƒÂ¢Ã¢â€šÂ¬Ã‚Â¨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BetterÃƒÂ¢Ã¢â€šÂ¬Ã‚Âdesigned studies, with diagnosis of definite familial hypercholesterolaemia confirmed by genetic tests, are needed to clearly answer this question.</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</si>
  <si>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multipleÃƒÂ¢Ã¢â€šÂ¬Ã‚Â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</si>
  <si>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Ãƒâ€šÃ‚Â©</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</si>
  <si>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Ãƒâ€šÃ‚Â© 2021, The Author(s).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</si>
  <si>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Ãƒâ€šÃ‚Â© 2021 The Author(s). Published by Informa UK Limited, trading as Taylor &amp; Francis Group.</t>
  </si>
  <si>
    <t>Introduction BarrettÃƒÂ¢Ã¢â€šÂ¬Ã¢â€žÂ¢s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</si>
  <si>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Chronic nonÃƒÂ¢Ã¢â€šÂ¬Ã‚Âinvasive ventilation for chronic obstructive pulmonary disease</t>
  </si>
  <si>
    <t>- Background Chronic nonÃƒÂ¢Ã¢â€šÂ¬Ã‚Âinvasive ventilation (NIV) is increasingly being used to treat people with COPD who have respiratory failure, but the evidence supporting this treatment has been conflicting. Objectives To assess the effects of chronic nonÃƒÂ¢Ã¢â€šÂ¬Ã‚Âinvasive ventilation at home via a facial mask in people with COPD, using a pooled analysis of IPD and metaÃƒÂ¢Ã¢â€šÂ¬Ã‚Âanalysis.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healthÃƒÂ¢Ã¢â€šÂ¬Ã‚Ârelated quality of life (HRQL), exercise capacity (stable COPD) and admissionÃƒÂ¢Ã¢â€šÂ¬Ã‚Âfree survival (postÃƒÂ¢Ã¢â€šÂ¬Ã‚Âexacerbation COPD). Secondary outcomes for both populations were: lung function, COPD exacerbations and admissions, and allÃƒÂ¢Ã¢â€šÂ¬Ã‚Âcause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timeÃƒÂ¢Ã¢â€šÂ¬Ã‚ÂtoÃƒÂ¢Ã¢â€šÂ¬Ã‚Âevent data using linearÃƒÂ¢Ã¢â€šÂ¬Ã‚Â and coxÃƒÂ¢Ã¢â€šÂ¬Ã‚Âregression mixedÃƒÂ¢Ã¢â€šÂ¬Ã‚Âeffect models with a random effect on study level. We analysed dichotomous IPD using generalised estimating equations. We adjusted all models for age and sex. We assessed changes in outcomes after three and 12 months. We also conducted a metaÃƒÂ¢Ã¢â€šÂ¬Ã‚Âanalysis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postÃƒÂ¢Ã¢â€šÂ¬Ã‚Âexacerbation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moderateÃƒÂ¢Ã¢â€šÂ¬Ã‚Âcertainty evidence), but there was little to no benefit at 12 months (AMD 0.09 kPa, 95% CI ÃƒÂ¢Ã¢â€šÂ¬Ã‚Â0.23 to 0.42; 3 studies, 171 participants; lowÃƒÂ¢Ã¢â€šÂ¬Ã‚Âcertainty evidence). The arterial partial pressure of carbon dioxide (PaCO 2 ) was reduced in participants allocated to NIV after three months (AMD ÃƒÂ¢Ã¢â€šÂ¬Ã‚Â0.61 kPa, 95% CI ÃƒÂ¢Ã¢â€šÂ¬Ã‚Â0.77 to ÃƒÂ¢Ã¢â€šÂ¬Ã‚Â0.45; 11 studies, 475 participants; highÃƒÂ¢Ã¢â€šÂ¬Ã‚Âcertainty evidence) and persisted up to 12 months (AMD ÃƒÂ¢Ã¢â€šÂ¬Ã‚Â0.42 kPa, 95% CI ÃƒÂ¢Ã¢â€šÂ¬Ã‚Â0.68 to ÃƒÂ¢Ã¢â€šÂ¬Ã‚Â0.16; 4 studies, 232 participants; highÃƒÂ¢Ã¢â€šÂ¬Ã‚Âcertainty evidence). Exercise capacity was measured with the 6ÃƒÂ¢Ã¢â€šÂ¬Ã‚Âminute walking distance (minimal clinical important difference: 26 m). There was no clinically relevant effect of NIV on exercise capacity ( 3 months: AMD 15.5 m, 95% CI ÃƒÂ¢Ã¢â€šÂ¬Ã‚Â0.8 to 31.7; 8 studies, 330 participants; lowÃƒÂ¢Ã¢â€šÂ¬Ã‚Âcertainty evidence; 12 months: AMD 26.4 m, 95% CI ÃƒÂ¢Ã¢â€šÂ¬Ã‚Â7.6 to 60.5; 3 studies, 134 participants; very lowÃƒÂ¢Ã¢â€šÂ¬Ã‚Âcertainty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lowÃƒÂ¢Ã¢â€šÂ¬Ã‚Âcertainty evidence; 12 months: SMD 0.15, 95% CI ÃƒÂ¢Ã¢â€šÂ¬Ã‚Â0.13 to 0.43; 4 studies, 200 participants; very lowÃƒÂ¢Ã¢â€šÂ¬Ã‚Âcertainty evidence). Lastly, the risk for allÃƒÂ¢Ã¢â€šÂ¬Ã‚Âcause mortality is likely reduced by NIV (adjusted hazard ratio (AHR) 0.75, 95% CI 0.58 to 0.97; 3 studies, 405 participants; moderateÃƒÂ¢Ã¢â€šÂ¬Ã‚Âcertainty evidence). In the postÃƒÂ¢Ã¢â€šÂ¬Ã‚Âexacerbation COPD group, there was little to no benefit on the PaO 2 after three months, but there may be a slight decrease after 12 months ( 3 months: AMD ÃƒÂ¢Ã¢â€šÂ¬Ã‚Â0.10 kPa, 95% CI ÃƒÂ¢Ã¢â€šÂ¬Ã‚Â0.65 to 0.45; 3 studies, 234 participants; lowÃƒÂ¢Ã¢â€šÂ¬Ã‚Âcertainty evidence; 12 months: ÃƒÂ¢Ã¢â€šÂ¬Ã‚Â0.27 kPa, 95% CI ÃƒÂ¢Ã¢â€šÂ¬Ã‚Â0.86 to 0.32, 3 studies; 170 participants; lowÃƒÂ¢Ã¢â€šÂ¬Ã‚Âcertainty evidence). The PaCO 2 was reduced by NIV at both three months (AMD ÃƒÂ¢Ã¢â€šÂ¬Ã‚Â0.40 kPa, 95% CI ÃƒÂ¢Ã¢â€šÂ¬Ã‚Â0.70 to ÃƒÂ¢Ã¢â€šÂ¬Ã‚Â0.09; 3 studies, 241 participants; moderateÃƒÂ¢Ã¢â€šÂ¬Ã‚Âcertainty evidence) and 12 months (AMD ÃƒÂ¢Ã¢â€šÂ¬Ã‚Â0.52 kPa, 95% CI ÃƒÂ¢Ã¢â€šÂ¬Ã‚Â0.87 to ÃƒÂ¢Ã¢â€šÂ¬Ã‚Â0.18; 3 studies, 175 participants; highÃƒÂ¢Ã¢â€šÂ¬Ã‚Âcertainty evidence). NIV may have little to no benefit on HRQL ( 3 months: SMD 0.25, 95% CI ÃƒÂ¢Ã¢â€šÂ¬Ã‚Â0.01 to 0.51; 2 studies, 219 participants; very lowÃƒÂ¢Ã¢â€šÂ¬Ã‚Âcertainty evidence; 12 months: SMD 0.25, 95% ÃƒÂ¢Ã¢â€šÂ¬Ã‚Â0.06 to 0.55; 2 studies, 164 participants; very lowÃƒÂ¢Ã¢â€šÂ¬Ã‚Âcertainty evidence). AdmissionÃƒÂ¢Ã¢â€šÂ¬Ã‚Âfree survival seems improved with NIV (AHR 0.71, 95% CI 0.54 to 0.94; 2 studies, 317 participants; lowÃƒÂ¢Ã¢â€šÂ¬Ã‚Âcertainty evidence), but the risk for allÃƒÂ¢Ã¢â€šÂ¬Ã‚Âcause mortality does not seem to improve (AHR 0.97, 95% CI 0.74 to 1.28; 2 studies, 317 participants; lowÃƒÂ¢Ã¢â€šÂ¬Ã‚Âcertainty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admissionÃƒÂ¢Ã¢â€šÂ¬Ã‚Âfree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NonÃƒÂ¢Ã¢â€šÂ¬Ã‚Âinvasive ventilation (ventilators) used at night by people with chronic obstructive pulmonary disease (COPD) Background: NonÃƒÂ¢Ã¢â€šÂ¬Ã‚Âinvasive ventilation (NIV) is a method to assist or replace spontaneous breathing (or normal breathing) with the aid of a machine called a ventilator, using a mask fitted over the nose or both the nose and mouth. NIV can be used chronically (longÃƒÂ¢Ã¢â€šÂ¬Ã‚Âterm)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(postÃƒÂ¢Ã¢â€šÂ¬Ã‚Âexacerbation COPD). All studies included men and women. For our analyses, we used data from 778 people with stable COPD and 364 people with postÃƒÂ¢Ã¢â€šÂ¬Ã‚Âexacerbation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</si>
  <si>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Ãƒâ€šÃ‚Â© 2021, The Author(s).</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</si>
  <si>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quasiÃƒÂ¢Ã¢â€šÂ¬Ã‚Ârandomised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lowerÃƒÂ¢Ã¢â€šÂ¬Ã‚Âquality sources of evidence. In a future update of this review, we plan to appraise and incorporate eligible randomised controlled trials, as well as other highÃƒÂ¢Ã¢â€šÂ¬Ã‚Âquality, nonÃƒÂ¢Ã¢â€šÂ¬Ã‚Ârandomised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oneÃƒÂ¢Ã¢â€šÂ¬Ã‚Âthird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betterÃƒÂ¢Ã¢â€šÂ¬Ã‚Âconducted observational studies. This is an update of a previously published Cochrane Review.</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</si>
  <si>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metaÃƒÂ¢Ã¢â€šÂ¬Ã‚Âanalysis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lowÃƒÂ¢Ã¢â€šÂ¬Ã‚Âquality evidence). The rate of ipsilateral stroke under both types of anaesthesia was 3.1% (Peto OR 1.03, 95% CI 0.71 to 1.48; P = 0.89; 2 studies, 3733 participants; lowÃƒÂ¢Ã¢â€šÂ¬Ã‚Âquality evidence). The incidence of stroke or death in the local anaesthesia group was 3.5%, while stroke or death incidence was 4.1% in the general anaesthesia group (Peto OR 0.85, 95% CI 0.62 to 1.16; P = 0.31; 11 studies, 4391 participants; lowÃƒÂ¢Ã¢â€šÂ¬Ã‚Âquality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highÃƒÂ¢Ã¢â€šÂ¬Ã‚Âquality studies are still needed as the evidence is of limited reliability. Plain language summary Is local or general anaesthesia better during surgery to widen the main blood vessel to the brain when it becomes narrowed (carotid endarterectomy)? Key messages ÃƒÂ¢Ã¢â€šÂ¬Ã‚Â Current evidence does not show any clear difference between local anaesthesia (where the patient remains awake) and general anaesthesia for the risk of stroke, death, or other unwanted effects for people having surgery to widen a narrowed carotid artery (carotid endarterectomy). ÃƒÂ¢Ã¢â€šÂ¬Ã‚Â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ÃƒÂ¢Ã¢â€šÂ¬Ã¢â‚¬Å“ carotid endarterectomy ÃƒÂ¢Ã¢â€šÂ¬Ã¢â‚¬Å“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ÃƒÂ¢Ã¢â€šÂ¬Ã‚Â lowers the risk of stroke and death around the time of the operation;ÃƒÂ¢Ã¢â€šÂ¬Ã‚Â¨ÃƒÂ¢Ã¢â€šÂ¬Ã‚Â lowers the rate of other unwanted effects; andÃƒÂ¢Ã¢â€šÂ¬Ã‚Â¨ÃƒÂ¢Ã¢â€šÂ¬Ã‚Â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</si>
  <si>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Ãƒâ€šÃ‚Â© 2021 Reynolds et al.</t>
  </si>
  <si>
    <t>Systematic review in a peer-reviewed journal.</t>
  </si>
  <si>
    <t>Intravenous thrombolytic treatment and endovascular thrombectomy for ischaemic wakeÃƒÂ¢Ã¢â€šÂ¬Ã‚Âup stroke</t>
  </si>
  <si>
    <t>- Background About one in five strokes occur during sleep (wakeÃƒÂ¢Ã¢â€šÂ¬Ã‚Âup stroke). People with wakeÃƒÂ¢Ã¢â€šÂ¬Ã‚Âup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wakeÃƒÂ¢Ã¢â€šÂ¬Ã‚Âup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followÃƒÂ¢Ã¢â€šÂ¬Ã‚Âup was observed in 66% of participants randomised to thrombolytic treatment and 58% of participants randomised to control (risk ratio (RR) 1.13, 95% confidence interval (CI) 1.01 to 1.26; P = 0.03; 763 participants, 5 RCTs; highÃƒÂ¢Ã¢â€šÂ¬Ã‚Âcertainty evidence). Seven per cent of participants randomised to intravenous thrombolytic treatment and 10% of participants randomised to control had died at 90 days followÃƒÂ¢Ã¢â€šÂ¬Ã‚Âup (RR 0.68, 95% CI 0.43 to 1.07; P = 0.09; 763 participants, 5 RCTs; highÃƒÂ¢Ã¢â€šÂ¬Ã‚Âcertainty evidence). Symptomatic intracranial haemorrhage occurred in 3% of participants randomised to intravenous thrombolytic treatment and 1% of participants randomised to control (RR 3.47, 95% CI 0.98 to 12.26; P = 0.05; 754 participants, 4 RCTs; highÃƒÂ¢Ã¢â€šÂ¬Ã‚Âcertainty evidence). For endovascular thrombectomy of large vessel occlusion, good functional outcome at 90 days followÃƒÂ¢Ã¢â€šÂ¬Ã‚Âup was observed in 46% of participants randomised to endovascular thrombectomy and 9% of participants randomised to control (RR 5.12, 95% CI 2.57 to 10.17; P &lt; 0.001; 205 participants, 2 RCTs; highÃƒÂ¢Ã¢â€šÂ¬Ã‚Âcertainty evidence). TwentyÃƒÂ¢Ã¢â€šÂ¬Ã‚Âtwo per cent of participants randomised to endovascular thrombectomy and 33% of participants randomised to control had died at 90 days followÃƒÂ¢Ã¢â€šÂ¬Ã‚Âup (RR 0.68, 95% CI 0.43 to 1.07; P = 0.10; 205 participants, 2 RCTs; highÃƒÂ¢Ã¢â€šÂ¬Ã‚Âcertainty evidence). Authors' conclusions In selected patients with acute ischaemic wakeÃƒÂ¢Ã¢â€šÂ¬Ã‚Âup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wakeÃƒÂ¢Ã¢â€šÂ¬Ã‚Âup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clotÃƒÂ¢Ã¢â€šÂ¬Ã‚Âdissolving drugs (thrombolysis) or mechanical devices to remove blood clots (thrombectomy) may improve recovery after ischaemic stroke if blood flow is rapidly restored. About one in five strokes occur during sleep (wakeÃƒÂ¢Ã¢â€šÂ¬Ã‚Âup stroke). People with wakeÃƒÂ¢Ã¢â€šÂ¬Ã‚Âup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wakeÃƒÂ¢Ã¢â€šÂ¬Ã‚Âup stroke participants were randomised to intravenous thrombolytic treatment or to control (either placebo (dummy treatment) or standard medical treatment alone). Two trials with 205 wakeÃƒÂ¢Ã¢â€šÂ¬Ã‚Âup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wakeÃƒÂ¢Ã¢â€šÂ¬Ã‚Âup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</si>
  <si>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metaÃƒÂ¢Ã¢â€šÂ¬Ã‚Âanalysis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</si>
  <si>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metaÃƒÂ¢Ã¢â€šÂ¬Ã‚Âanalysis;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metaÃƒÂ¢Ã¢â€šÂ¬Ã‚Âanalysis with OpenBUGS software, using Bayesian methods, and calculated the differences in treatments using odds ratios (OR) and rate ratios with 95% credible intervals (CrI) based on an availableÃƒÂ¢Ã¢â€šÂ¬Ã‚Âcase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FortyÃƒÂ¢Ã¢â€šÂ¬Ã‚Âeight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followÃƒÂ¢Ã¢â€šÂ¬Ã‚Âup periods, which ranged from three days to six weeks. Based on moderateÃƒÂ¢Ã¢â€šÂ¬Ã‚Âcertainty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healthÃƒÂ¢Ã¢â€šÂ¬Ã‚Ârelated quality of life. Based on lowÃƒÂ¢Ã¢â€šÂ¬Ã‚Âcertainty evidence, a higher proportion of people receiving balloon tamponade plus sclerotherapy had more serious adverse events than those receiving only sclerotherapy (OR 4.23, 95% CrI 1.22 to 17.80; direct estimate; 1 RCT; 60 participants). Based on moderateÃƒÂ¢Ã¢â€šÂ¬Ã‚Âcertainty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lowÃƒÂ¢Ã¢â€šÂ¬Ã‚Âcertainty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moderateÃƒÂ¢Ã¢â€šÂ¬Ã‚Âcertainty evidence, somatostatin analogues alone and vasopressin analogues alone (with supportive therapy) probably result in increased mortality, compared to endoscopic sclerotherapy. Based on moderateÃƒÂ¢Ã¢â€šÂ¬Ã‚Âcertainty evidence, vasopressin analogues alone and band ligation alone probably result in fewer adverse events compared to endoscopic sclerotherapy. Based on lowÃƒÂ¢Ã¢â€šÂ¬Ã‚Âcertainty evidence, balloon tamponade plus sclerotherapy may result in large increases in serious adverse events compared to sclerotherapy. Based on lowÃƒÂ¢Ã¢â€šÂ¬Ã‚Âcertainty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ÃƒÂ¢Ã¢â€šÂ¬Ã‚Â¨To find out the best available treatment for bleeding from oesophageal varices (enlarged veins in the oesophagus) in people with advanced scarring of the liver (liver cirrhosis, or lateÃƒÂ¢Ã¢â€šÂ¬Ã‚Âstage scarring of the liver with complications). Bleeding from oesophageal varices in people with cirrhosis is a lifeÃƒÂ¢Ã¢â€šÂ¬Ã‚Âthreatening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metaÃƒÂ¢Ã¢â€šÂ¬Ã‚Âanalysis'). Date of literature search ÃƒÂ¢Ã¢â€šÂ¬Ã‚Â¨17 December 2019 What was studied in the review? ÃƒÂ¢Ã¢â€šÂ¬Ã‚Â¨This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scarÃƒÂ¢Ã¢â€šÂ¬Ã‚Âforming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nonÃƒÂ¢Ã¢â€šÂ¬Ã‚Âserious adverse events (i.e. serious and nonÃƒÂ¢Ã¢â€šÂ¬Ã‚Âserious complications), recurrence of bleeding, and development of other complications of advanced liver disease. What were the main results of the review? ÃƒÂ¢Ã¢â€šÂ¬Ã‚Â¨The 52 trials included a small number of participants (4580 participants). FortyÃƒÂ¢Ã¢â€šÂ¬Ã‚Âeight trials with 4042 participants provided data for analyses. The followÃƒÂ¢Ã¢â€šÂ¬Ã‚Âup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ÃƒÂ¯Ã‚Â¿Ã‚Â½ÃƒÂ¯Ã‚Â¿Ã‚Â½ÃƒÂ¯Ã‚Â¿Ã‚Â½ None of the studies were conducted without flaws, and because of this, there is moderate to very high uncertainty in the findings.ÃƒÂ¢Ã¢â€šÂ¬Ã‚Â¨ÃƒÂ¢Ã¢â€šÂ¬Ã‚Â Approximately one in six people with cirrhosis and bleeding oesophageal varices who received the standard treatment of sclerotherapy died within six weeks.ÃƒÂ¢Ã¢â€šÂ¬Ã‚Â¨ÃƒÂ¢Ã¢â€šÂ¬Ã‚Â Somatostatin analogues alone and vasopressin analogues alone probably result in increased mortality, compared to sclerotherapy.ÃƒÂ¢Ã¢â€šÂ¬Ã‚Â¨ÃƒÂ¢Ã¢â€šÂ¬Ã‚Â Vasopressin analogues alone and band ligation alone probably result in fewer adverse events (complications), compared to sclerotherapy.ÃƒÂ¢Ã¢â€šÂ¬Ã‚Â¨ÃƒÂ¢Ã¢â€šÂ¬Ã‚Â Balloon tamponade plus sclerotherapy may result in large increase in serious adverse events compared to sclerotherapy.ÃƒÂ¢Ã¢â€šÂ¬Ã‚Â¨ÃƒÂ¢Ã¢â€šÂ¬Ã‚Â Sclerotherapy plus somatostatin analogues may result in large decrease in symptomatic rebleed compared to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randomised clinical trials are needed to find out the best treatment for people with cirrhosis and bleeding oesophageal varices.</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</si>
  <si>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Ãƒâ€šÃ‚Â© 2021 Roberts et al.</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</si>
  <si>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Ãƒâ€šÃ‚Â© Author(s) (or their employer(s)) 2021. Re-use permitted under CC BY. Published by BMJ.</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</si>
  <si>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ÃƒÂ¢Ã¢â€šÂ¬Ã‚Â being both engaging and relatively inexpensive ÃƒÂ¢Ã¢â€šÂ¬Ã‚Â could provide a much more costÃƒÂ¢Ã¢â€šÂ¬Ã‚Âeffective addÃƒÂ¢Ã¢â€šÂ¬Ã‚Âon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schizophreniaÃƒÂ¢Ã¢â€šÂ¬Ã‚Âlike illnesses. Search methods We searched the Cochrane Schizophrenia Group's StudyÃƒÂ¢Ã¢â€šÂ¬Ã‚ÂBased Register of Trials (March 2017, August 2018, August 2019). Selection criteria Randomised controlled trials focusing on video games for people with schizophrenia or schizophreniaÃƒÂ¢Ã¢â€šÂ¬Ã‚Âlike illnesses. Data collection and analysis Review authors extracted data independently. For binary outcomes we calculated risk ratio (RR) with its 95% confidence interval (CI) on an intentionÃƒÂ¢Ã¢â€šÂ¬Ã‚ÂtoÃƒÂ¢Ã¢â€šÂ¬Ã‚Âtreat basis. For continuous data we calculated the mean difference (MD) between groups and its CI. We employed a fixedÃƒÂ¢Ã¢â€šÂ¬Ã‚Âeffect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'nonÃƒÂ¢Ã¢â€šÂ¬Ã‚Âexergame'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effects.ÃƒÂ¢Ã¢â€šÂ¬Ã‚Â¨ÃƒÂ¢Ã¢â€šÂ¬Ã‚Â¨We found no clear difference between nonÃƒÂ¢Ã¢â€šÂ¬Ã‚Âexergames and cognitive remediation in general functioning scores (Strauss Carpenter Outcome Scale) (MD 0.42, 95% CI ÃƒÂ¢Ã‹â€ Ã¢â‚¬â„¢0.62 to 1.46; participants = 86; studies = 1, very lowÃƒÂ¢Ã¢â€šÂ¬Ã‚Â quality evidence ) or social functioning scores (Specific Levels of Functioning Scale) (MD ÃƒÂ¢Ã‹â€ Ã¢â‚¬â„¢3.13, 95% CI ÃƒÂ¢Ã¢â€šÂ¬Ã‚Â40.17 to 33.91; participants = 53; studies = 1, very lowÃƒÂ¢Ã¢â€šÂ¬Ã‚Â quality evidence ). There was a clear difference favouring cognitive remediation for cognitive functioning (improved on at least one domain of MATRICS Consensus Cognitive Battery Test) (RR 0.58, 95% CI 0.34 to 0.99; participants = 42; studies = 1, lowÃƒÂ¢Ã¢â€šÂ¬Ã‚Â quality evidence ). For mental state, Positive and Negative Syndrome Scale (PANSS) overall scores showed no clear difference between treatment groups (MD 0.20, 95% CI ÃƒÂ¢Ã‹â€ Ã¢â‚¬â„¢3.89 to 4.28; participants = 269; studies = 4, lowÃƒÂ¢Ã¢â€šÂ¬Ã‚Â quality evidence ). Quality of life ratings (Quality of Life Scale) similarly showed no clear intergroup difference (MD 0.01, 95% CI ÃƒÂ¢Ã‹â€ Ã¢â‚¬â„¢0.40 to 0.42; participants = 87; studies = 1, very lowÃƒÂ¢Ã¢â€šÂ¬Ã‚Â quality evidence) . Adverse effects were not reported; we chose leaving the study early as a proxy measure. The attrition rate by end of treatment was similar between treatment groups (RR 0.96, 95% CI 0.87 to 1.06; participants = 395; studies = 5, lowÃƒÂ¢Ã¢â€šÂ¬Ã‚Â quality evidence ).ÃƒÂ¢Ã¢â€šÂ¬Ã‚Â¨ÃƒÂ¢Ã¢â€šÂ¬Ã‚Â¨One small trial compared exergames with standard care, but few outcomes were reported . No clear difference between interventions was seen for cognitive functioning (measured by MATRICS Consensus Cognitive Battery Test) (MD 2.90, 95% CI ÃƒÂ¢Ã¢â€šÂ¬Ã‚Â1.27 to 7.07; participants = 33; studies = 1, lowÃƒÂ¢Ã¢â€šÂ¬Ã‚Â quality evidence) , however a benefit in favour of exergames was found for average change in physical fitness (aerobic fitness) (MD 3.82, 95% CI 1.75 to 5.89; participants = 33; studies = 1, lowÃƒÂ¢Ã¢â€šÂ¬Ã‚Â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nonÃƒÂ¢Ã¢â€šÂ¬Ã‚Âexergames. Only one of our main outcomes was reported ÃƒÂ¢Ã¢â€šÂ¬Ã‚Â physical fitness, which was measured by average time taken to walk 3 metres. No clear intergroup difference was identified at sixÃƒÂ¢Ã¢â€šÂ¬Ã‚Âweek followÃƒÂ¢Ã¢â€šÂ¬Ã‚Âup (MD ÃƒÂ¢Ã‹â€ Ã¢â‚¬â„¢0.50, 95% CI ÃƒÂ¢Ã‹â€ Ã¢â‚¬â„¢1.17 to 0.17; participants = 28; studies = 1, very lowÃƒÂ¢Ã¢â€šÂ¬Ã‚Â quality evidence) . No trials reported adverse effects. We chose leaving the study early as a proxy outcome. Authors' conclusions Our results suggest that nonÃƒÂ¢Ã¢â€šÂ¬Ã‚Âexergames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ÃƒÂ¢Ã¢â€šÂ¬Ã‚Â or harm ÃƒÂ¢Ã¢â€šÂ¬Ã‚Â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highÃƒÂ¢Ã¢â€šÂ¬Ã‚Âquality evidence is available. There are ongoing studies that may provide helpful data in the near future. Plain language summary Video games for schizophrenia Review question Are video games an effective treatment (on their own or as an addÃƒÂ¢Ã¢â€šÂ¬Ã‚Âon) for improving the wellÃƒÂ¢Ã¢â€šÂ¬Ã‚Âbeing and functioning of people with schizophrenia or schizoaffective disorder? Background Schizophrenia is a severe mental illness that affects people worldwide. People with schizophrenia often have a distorted view of reality ÃƒÂ¢Ã¢â€šÂ¬Ã‚Â perceiving things that are not present (hallucinations) and believing things that are not true (delusions). People with schizophrenia may struggle to motivate themselves, experience anxiety and depression, and encounter cognitive symptoms, often struggling to stay focused on dayÃƒÂ¢Ã¢â€šÂ¬Ã‚ÂtoÃƒÂ¢Ã¢â€šÂ¬Ã‚Âday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lowÃƒÂ¢Ã¢â€šÂ¬Ã‚Âcost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('nonÃƒÂ¢Ã¢â€šÂ¬Ã‚Âexergames'). NonÃƒÂ¢Ã¢â€šÂ¬Ã‚Âexergame trials compared the video game intervention to a form of brainÃƒÂ¢Ã¢â€šÂ¬Ã‚Âtraining" therapy known as cognitive remediation. One trial compared exergames to standard care, and another compared nonÃƒÂ¢Ã¢â€šÂ¬Ã‚Âexergames with exergames. All interventions in the included trials were given in addition to standard care. The currently available evidence suggests that nonÃƒÂ¢Ã¢â€šÂ¬Ã‚Âexergames may not be as beneficial for cognitive functioning as cognitive remediation, but there were no other clear differences between nonÃƒÂ¢Ã¢â€šÂ¬Ã‚Âexergames and cognitive remediation for improving functioning in people with schizophrenia. The more exerciseÃƒÂ¢Ã¢â€šÂ¬Ã‚Âorientated video games may have some benefit compared to standard care for improving physical fitness. We cannot draw any firm conclusions regarding the effects of video games until higherÃƒÂ¢Ã¢â€šÂ¬Ã‚Âquality evidence is available."</t>
  </si>
  <si>
    <t>Effect of testing for cancer on cancerÃƒÂ¢Ã¢â€šÂ¬Ã‚Â or venous thromboembolism (VTE)ÃƒÂ¢Ã¢â€šÂ¬Ã‚Ârelated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</si>
  <si>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nonÃƒÂ¢Ã¢â€šÂ¬Ã‚Âcancer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cancerÃƒÂ¢Ã¢â€šÂ¬Ã‚Ârelated mortality and morbidity. This is the third update of the review first published in 2015. Objectives To determine whether testing for undiagnosed cancer in people with a first episode of unprovoked VTE (DVT of the lower limb or PE) is effective in reducing cancerÃƒÂ¢Ã¢â€šÂ¬Ã‚Â or VTEÃƒÂ¢Ã¢â€šÂ¬Ã‚Ârelated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quasiÃƒÂ¢Ã¢â€šÂ¬Ã‚Ârandomised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allÃƒÂ¢Ã¢â€šÂ¬Ã‚Âcause mortality, cancerÃƒÂ¢Ã¢â€šÂ¬Ã‚Ârelated mortality and VTEÃƒÂ¢Ã¢â€šÂ¬Ã‚Ârelated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cancerÃƒÂ¢Ã¢â€šÂ¬Ã‚Ârelated mortality (odds ratio (OR) 0.49, 95% confidence interval (CI) 0.15 to 1.67; 396 participants; 2 studies; lowÃƒÂ¢Ã¢â€šÂ¬Ã‚Âcertainty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lowÃƒÂ¢Ã¢â€šÂ¬Ã‚Âcertainty evidence). There was no clear difference in detection of advanced stages between extensive tests versus tests at the physician's discretion: one participant in the extensively tested group had stage T3 compared with four participants in the control group</t>
  </si>
  <si>
    <t>Appears to be grey literature, likely a report or conference abstract.</t>
  </si>
  <si>
    <t>A pilot to support ÃƒÂ¢Ã¢â€šÂ¬Ã‹Å“New Ways of WorkingÃƒÂ¢Ã¢â€šÂ¬Ã¢â€žÂ¢ for</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</si>
  <si>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Ãƒâ€šÃ‚Â© 2020 American Journal of Preventive Medicine</t>
  </si>
  <si>
    <t>Primary prevention of variceal bleeding in people with oesophageal varices due to liver cirrhosis: a network metaÃƒÂ¢Ã¢â€šÂ¬Ã‚Âanalysis</t>
  </si>
  <si>
    <t>- Background Approximately 40% to 95% of people with cirrhosis have oesophageal varices. About 15% to 20% of oesophageal varices bleed in about one to three years. There are several different treatments to prevent bleeding, including: betaÃƒÂ¢Ã¢â€šÂ¬Ã‚Âblockers,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metaÃƒÂ¢Ã¢â€šÂ¬Ã‚Âanalysis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followÃƒÂ¢Ã¢â€šÂ¬Ã‚Âup in the trials that reported outcomes ranged from 6 months to 60 months. All but one of the trials were at high risk of bias. The interventions compared included betaÃƒÂ¢Ã¢â€šÂ¬Ã‚Âblockers, no active intervention, variceal band ligation, sclerotherapy, betaÃƒÂ¢Ã¢â€šÂ¬Ã‚Âblockers plus variceal band ligation, betaÃƒÂ¢Ã¢â€šÂ¬Ã‚Âblockers plus nitrates, nitrates, betaÃƒÂ¢Ã¢â€šÂ¬Ã‚Âblockers plus sclerotherapy, and portocaval shunt. Overall, 21.2% of participants who received nonÃƒÂ¢Ã¢â€šÂ¬Ã‚Âselective betaÃƒÂ¢Ã¢â€šÂ¬Ã‚Âblockers ('betaÃƒÂ¢Ã¢â€šÂ¬Ã‚Âblockers') ÃƒÂ¢Ã‹â€ Ã¢â‚¬â„¢ the reference treatment (chosen because this was the most common treatment compared in the trials) ÃƒÂ¢Ã‹â€ Ã¢â‚¬â„¢ died during 8ÃƒÂ¢Ã¢â€šÂ¬Ã‚Âmonth to 60ÃƒÂ¢Ã¢â€šÂ¬Ã‚Âmonth followÃƒÂ¢Ã¢â€šÂ¬Ã‚Âup. Based on lowÃƒÂ¢Ã¢â€šÂ¬Ã‚Âcertainty evidence, betaÃƒÂ¢Ã¢â€šÂ¬Ã‚Âblockers, variceal band ligation, sclerotherapy, and betaÃƒÂ¢Ã¢â€šÂ¬Ã‚Âblockers plus nitrates all had lower mortality versus no active intervention (betaÃƒÂ¢Ã¢â€šÂ¬Ã‚Âblockers: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betaÃƒÂ¢Ã¢â€šÂ¬Ã‚Âblockers plus nitrates: HR 0.41, 95% CrI 0.20 to 0.85; no direct comparison). No trials reported healthÃƒÂ¢Ã¢â€šÂ¬Ã‚Ârelated quality of life. Based on lowÃƒÂ¢Ã¢â€šÂ¬Ã‚Âcertainty evidence, variceal band ligation had a higher number of serious adverse events (number of events) than betaÃƒÂ¢Ã¢â€šÂ¬Ã‚Âblockers (rate ratio 10.49, 95% CrI 2.83 to 60.64; 1 trial, 168 participants). Based on lowÃƒÂ¢Ã¢â€šÂ¬Ã‚Âcertainty evidence, betaÃƒÂ¢Ã¢â€šÂ¬Ã‚Âblockers plus nitrates had a higher number of 'any adverse events (number of participants)' than betaÃƒÂ¢Ã¢â€šÂ¬Ã‚Âblockers alone (OR 3.4 , 95% CrI 1.11 to 11.28; 1 trial, 57 participants). Based on lowÃƒÂ¢Ã¢â€šÂ¬Ã‚Âcertainty evidence, adverse events (number of events) were higher in sclerotherapy than in betaÃƒÂ¢Ã¢â€šÂ¬Ã‚Âblockers (rate ratio 2.49, 95% CrI 1.53 to 4.22; direct comparison rate ratio 2.47, 95% CrI 1.27 to 5.06; 2 trials, 90 participants), and in betaÃƒÂ¢Ã¢â€šÂ¬Ã‚Âblockers plus variceal band ligation than in betaÃƒÂ¢Ã¢â€šÂ¬Ã‚Âblockers (direct comparison rate ratio 1.72, 95% CrI 1.08 to 2.76; 1 trial, 140 participants). Based on lowÃƒÂ¢Ã¢â€šÂ¬Ã‚Âcertainty evidence, any variceal bleed was lower in betaÃƒÂ¢Ã¢â€šÂ¬Ã‚Âblockers plus variceal band ligation than in betaÃƒÂ¢Ã¢â€šÂ¬Ã‚Âblockers (direct comparison HR 0.21, 95% CrI 0.04 to 0.71; 1 trial, 173 participants). Based on lowÃƒÂ¢Ã¢â€šÂ¬Ã‚Âcertainty evidence, any variceal bleed was higher in nitrates than betaÃƒÂ¢Ã¢â€šÂ¬Ã‚Âblockers (direct comparison HR 6.40, 95% CrI 1.58 to 47.42; 1 trial, 52 participants). The evidence indicates considerable uncertainty about the effect of the interventions in the remaining comparisons. Authors' conclusions Based on lowÃƒÂ¢Ã¢â€šÂ¬Ã‚Âcertainty evidence, betaÃƒÂ¢Ã¢â€šÂ¬Ã‚Âblockers, variceal band ligation, sclerotherapy, and betaÃƒÂ¢Ã¢â€šÂ¬Ã‚Âblockers plus nitrates may decrease mortality compared to no intervention in people with highÃƒÂ¢Ã¢â€šÂ¬Ã‚Ârisk oesophageal varices in people with cirrhosis and no previous history of bleeding. Based on lowÃƒÂ¢Ã¢â€šÂ¬Ã‚Âcertainty evidence, variceal band ligation may result in a higher number of serious adverse events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metaÃƒÂ¢Ã¢â€šÂ¬Ã‚Âanalysis').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betaÃƒÂ¢Ã¢â€šÂ¬Ã‚Âblockers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'nonÃƒÂ¢Ã¢â€šÂ¬Ã‚Âselective betaÃƒÂ¢Ã¢â€šÂ¬Ã‚Âblockers' or simply 'betaÃƒÂ¢Ã¢â€šÂ¬Ã‚Âblockers'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followÃƒÂ¢Ã¢â€šÂ¬Ã‚Âup), quality of life, serious and nonÃƒÂ¢Ã¢â€šÂ¬Ã‚Âserious side effects, percentage of people who developed bleeding, and development of other complications of advanced liver disease.ÃƒÂ¢Ã¢â€šÂ¬Ã‚Â¨ÃƒÂ¢Ã¢â€šÂ¬Ã‚Â¨ What were the main results of the review? The 66 studies included a relatively small number of participants (6653 people). Sixty studies with 6212 participants provided data for analyses. The followÃƒÂ¢Ã¢â€šÂ¬Ã‚Âup of the trial ranged from six months to five years in studies that reported the outcomes that we were interested in. The review found the following:ÃƒÂ¢Ã¢â€šÂ¬Ã‚Â¨ÃƒÂ¢Ã¢â€šÂ¬Ã¢â‚¬Å“ Approximately one in five people with cirrhosis and oesophageal varices (without previous bleeding) who receive the betaÃƒÂ¢Ã¢â€šÂ¬Ã‚Âblockers died within five years.ÃƒÂ¢Ã¢â€šÂ¬Ã‚Â¨ÃƒÂ¢Ã¢â€šÂ¬Ã¢â‚¬Å“ BetaÃƒÂ¢Ã¢â€šÂ¬Ã‚Âblockers, variceal band ligation, sclerotherapy, and betaÃƒÂ¢Ã¢â€šÂ¬Ã‚Âblockers plus nitrates all may result in fewer deaths than no treatment.ÃƒÂ¢Ã¢â€šÂ¬Ã‚Â¨ÃƒÂ¢Ã¢â€šÂ¬Ã¢â‚¬Å“ Variceal band ligation may result in a higher number of serious side effects than betaÃƒÂ¢Ã¢â€šÂ¬Ã‚Âblockers.ÃƒÂ¢Ã¢â€šÂ¬Ã‚Â¨ÃƒÂ¢Ã¢â€šÂ¬Ã¢â‚¬Å“ Sclerotherapy, betaÃƒÂ¢Ã¢â€šÂ¬Ã‚Âblockers plus nitrates, and betaÃƒÂ¢Ã¢â€šÂ¬Ã‚Âblockers plus variceal band ligation may result in more side effects (when serious and nonÃƒÂ¢Ã¢â€šÂ¬Ã‚Âserious adverse events were put together) than betaÃƒÂ¢Ã¢â€šÂ¬Ã‚Âblockers.ÃƒÂ¢Ã¢â€šÂ¬Ã‚Â¨ÃƒÂ¢Ã¢â€šÂ¬Ã¢â‚¬Å“ BetaÃƒÂ¢Ã¢â€šÂ¬Ã‚Âblockers plus variceal band ligation may result in fewer people who develop bleeding than betaÃƒÂ¢Ã¢â€šÂ¬Ã‚Âblockers alone based on a single small trial.ÃƒÂ¢Ã¢â€šÂ¬Ã‚Â¨ÃƒÂ¢Ã¢â€šÂ¬Ã¢â‚¬Å“ Nitrates alone may result in more people who develop bleeding than betaÃƒÂ¢Ã¢â€šÂ¬Ã‚Âblockers alone.ÃƒÂ¢Ã¢â€šÂ¬Ã‚Â¨ÃƒÂ¢Ã¢â€šÂ¬Ã¢â‚¬Å“ The evidence indicates considerable uncertainty about the effect of the interventions in the remaining comparisons.ÃƒÂ¢Ã¢â€šÂ¬Ã‚Â¨ÃƒÂ¢Ã¢â€šÂ¬Ã¢â‚¬Å“ None of the trials reported healthÃƒÂ¢Ã¢â€šÂ¬Ã‚Ârelated quality of life. What are our conclusions? BetaÃƒÂ¢Ã¢â€šÂ¬Ã‚Âblockers, variceal band ligation, sclerotherapy, and betaÃƒÂ¢Ã¢â€šÂ¬Ã‚Âblockers plus nitrates may decrease the death rate compared to no treatment in people with highÃƒÂ¢Ã¢â€šÂ¬Ã‚Ârisk oesophageal varices in people with cirrhosis and no history of bleeding. Variceal band ligation may result in a higher number of serious side effects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</si>
  <si>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 Background Inability to communicate in a manner that can be understood causes extreme distress for people requiring an artificial airway and has implications for care quality and patient safety. Options for aided communication include nonÃƒÂ¢Ã¢â€šÂ¬Ã‚Âvocal, speechÃƒÂ¢Ã¢â€šÂ¬Ã‚Âgenerating, and voiceÃƒÂ¢Ã¢â€šÂ¬Ã‚Âenabling aids. Objectives To assess effectiveness of communication aids for people requiring an artificial airway (endotracheal or tracheostomy tube), defined as the proportion of people able to: use a nonÃƒÂ¢Ã¢â€šÂ¬Ã‚Âvocal communication aid to communicate at least one symptom, need, or preference; or use a voiceÃƒÂ¢Ã¢â€šÂ¬Ã‚Âenabling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quasiÃƒÂ¢Ã¢â€šÂ¬Ã‚ÂRCTs, clusterÃƒÂ¢Ã¢â€šÂ¬Ã‚ÂRCTs, controlled nonÃƒÂ¢Ã¢â€šÂ¬Ã‚Ârandomised parallel group, and beforeÃƒÂ¢Ã¢â€šÂ¬Ã‚Âafter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nonÃƒÂ¢Ã¢â€šÂ¬Ã‚Âvocal communication aids and three voiceÃƒÂ¢Ã¢â€šÂ¬Ã‚Âenabling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nonÃƒÂ¢Ã¢â€šÂ¬Ã‚Âvocal aid studies reported our primary outcome. We are uncertain of the effects of early use of a voiceÃƒÂ¢Ã¢â€šÂ¬Ã‚Âenabling aid compared to routine use on ability to phonate at least one intelligible word (risk ratio (RR) 3.03, 95% confidence interval (CI) 0.18 to 50.08; 2 studies; very lowÃƒÂ¢Ã¢â€šÂ¬Ã‚Âcertainty evidence). Compared to usual care without aids, we are uncertain about effects of a nonÃƒÂ¢Ã¢â€šÂ¬Ã‚Âvocal aid (communication board) on patient satisfaction (standardised mean difference (SMD) 2.92, 95% CI 1.52 to 4.33; 4 studies; very lowÃƒÂ¢Ã¢â€šÂ¬Ã‚Âcertainty evidence). No studies of nonÃƒÂ¢Ã¢â€šÂ¬Ã‚Âvocal aids reported quality of life. LowÃƒÂ¢Ã¢â€šÂ¬Ã‚Âcertainty evidence from two studies suggests early use of a voiceÃƒÂ¢Ã¢â€šÂ¬Ã‚Âenabling aid may have no effect on quality of life (MD 2.27, 95% CI ÃƒÂ¢Ã¢â€šÂ¬Ã¢â‚¬Å“7.21 to 11.75). Conceptual differences in measures of psychological distress precluded data pooling; however, intervention arm participants reported less distress suggesting there might be benefit, but our certainty in the evidence is very low. LowÃƒÂ¢Ã¢â€šÂ¬Ã‚Âcertainty evidence suggest voiceÃƒÂ¢Ã¢â€šÂ¬Ã‚Âenabling aids have little or no effect on ICU length of stay; we were unable to determine effects of nonÃƒÂ¢Ã¢â€šÂ¬Ã‚Âvocal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highÃƒÂ¢Ã¢â€šÂ¬Ã‚Âquality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longÃƒÂ¢Ã¢â€šÂ¬Ã‚Âterm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(lowÃƒÂ¢Ã¢â€šÂ¬Ã‚Âquality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lowÃƒÂ¢Ã¢â€šÂ¬Ã‚Âquality evidence. This means further studies are likely to change our understanding of the effects of communication aids. More studies are needed to understand the effects of communication aids, particularly effects on psychological wellÃƒÂ¢Ã¢â€šÂ¬Ã‚Âbeing and people's ability to communicate.</t>
  </si>
  <si>
    <t>Posterior musculofascial reconstruction in roboticÃƒÂ¢Ã¢â€šÂ¬Ã‚Âassisted laparoscopic prostatectomy for the treatment of clinically localized prostate cancer</t>
  </si>
  <si>
    <t>- Background Delayed recovery of urinary continence is a major adverse effect of roboticÃƒÂ¢Ã¢â€šÂ¬Ã‚Âassisted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recurrenceÃƒÂ¢Ã¢â€šÂ¬Ã‚Âfree survival (BCRFS). We performed statistical analyses using a randomÃƒÂ¢Ã¢â€šÂ¬Ã‚Âeffects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prostateÃƒÂ¢Ã¢â€šÂ¬Ã‚Âspecific antigen level of 8.15 ng/mL. Primary outcomes Posterior reconstruction RALP (PRÃƒÂ¢Ã¢â€šÂ¬Ã‚ÂRALP)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PRÃƒÂ¢Ã¢â€šÂ¬Ã‚ÂRALP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PRÃƒÂ¢Ã¢â€šÂ¬Ã‚ÂRALP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PRÃƒÂ¢Ã¢â€šÂ¬Ã‚ÂRALP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PRÃƒÂ¢Ã¢â€šÂ¬Ã‚ÂRALP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PRÃƒÂ¢Ã¢â€šÂ¬Ã‚ÂRALP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PRÃƒÂ¢Ã¢â€šÂ¬Ã‚ÂRALP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nerveÃƒÂ¢Ã¢â€šÂ¬Ã‚Âsparing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roboticÃƒÂ¢Ã¢â€šÂ¬Ã‚Âassisted laparoscopic prostatectomy, or RALP), how does connecting the tissue behind the urethra (soÃƒÂ¢Ã¢â€šÂ¬Ã‚Âcalled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prostateÃƒÂ¢Ã¢â€šÂ¬Ã‚Âspecific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</si>
  <si>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Ãƒâ€šÃ‚Â© 2019 European Association of Urology</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</si>
  <si>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Ãƒâ€šÃ‚Â© 2021 Research Institute for Gastroenterology and Liver Diseases. All rights reserved.</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</si>
  <si>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Ãƒâ€šÃ‚Â© 2025 Ramnarayan et al.</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</si>
  <si>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Ãƒâ€šÃ‚Â© 2025, Galore Knowledge Publication Pvt. Ltd.. All rights reserved."</t>
  </si>
  <si>
    <t>NonÃƒÂ¢Ã¢â€šÂ¬Ã‚Âpharmacological and nonÃƒÂ¢Ã¢â€šÂ¬Ã‚Âsurgical treatments for low back pain in adults: an overview of Cochrane reviews</t>
  </si>
  <si>
    <t>- Background Low back pain (LBP) is a significant public health issue due to its high prevalence and associated disability burden. Clinical practice guidelines recommend nonÃƒÂ¢Ã¢â€šÂ¬Ã‚Âpharmacological/nonÃƒÂ¢Ã¢â€šÂ¬Ã‚Âsurgical interventions for managing pain and function in people with LBP. Objectives To provide accessible, highÃƒÂ¢Ã¢â€šÂ¬Ã‚Âquality evidence on the effects of nonÃƒÂ¢Ã¢â€šÂ¬Ã‚Âpharmacological and nonÃƒÂ¢Ã¢â€šÂ¬Ã‚Âsurgical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nonÃƒÂ¢Ã¢â€šÂ¬Ã‚Âpharmacological/nonÃƒÂ¢Ã¢â€šÂ¬Ã‚Âsurgical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nonÃƒÂ¢Ã¢â€šÂ¬Ã‚Âpharmacological/nonÃƒÂ¢Ã¢â€šÂ¬Ã‚Âsurgical interventions compared to placebo/sham or no treatment/usual care at shortÃƒÂ¢Ã¢â€šÂ¬Ã‚Âterm (ÃƒÂ¢Ã¢â‚¬Â°Ã‚Â¤ three months) followÃƒÂ¢Ã¢â€šÂ¬Ã‚Âup. Placebo/sham comparisons Acute/subacute LBP Compared to placebo, there is probably no difference in function (at oneÃƒÂ¢Ã¢â€šÂ¬Ã‚Âweek followÃƒÂ¢Ã¢â€šÂ¬Ã‚Âup) for spinal manipulation (standardised mean difference (SMD) ÃƒÂ¢Ã¢â€šÂ¬Ã‚Â0.08, 95% confidence interval (CI) ÃƒÂ¢Ã¢â€šÂ¬Ã‚Â0.37 to 0.21; 2 trials, 205 participants; moderateÃƒÂ¢Ã¢â€šÂ¬Ã‚Âcertainty evidence). Data for safety were reported only for heated back wrap. Compared to placebo, heated back wrap may result in skin pinkness (6/128 participants versus 1/130; 2 trials; lowÃƒÂ¢Ã¢â€šÂ¬Ã‚Âcertainty evidence). Chronic LBP Compared to sham acupuncture, acupuncture probably provides a small improvement in function (SMD ÃƒÂ¢Ã¢â€šÂ¬Ã‚Â0.38, 95% CI ÃƒÂ¢Ã¢â€šÂ¬Ã‚Â0.69 to ÃƒÂ¢Ã¢â€šÂ¬Ã‚Â0.07; 3 trials, 957 participants; moderateÃƒÂ¢Ã¢â€šÂ¬Ã‚Âcertainty evidence). Compared to sham traction, there is probably no difference in pain intensity for traction (0 to 100 scale, mean difference (MD) ÃƒÂ¢Ã¢â€šÂ¬Ã‚Â4, 95% CI ÃƒÂ¢Ã¢â€šÂ¬Ã‚Â17.7 to 9.7; 1 trial, 60 participants; moderateÃƒÂ¢Ã¢â€šÂ¬Ã‚Âcertainty evidence). Data for safety were reported only for acupuncture. There may be no difference between acupuncture and sham acupuncture for safety outcomes (risk ratio (RR) 0.68, 95% CI 0.42 to 1.10; I 2 = 0%; 4 trials, 465 participants; lowÃƒÂ¢Ã¢â€šÂ¬Ã‚Âcertainty evidence). No treatment/usual care comparisons Acute/subacute LBP Compared to advice to rest, advice to stay active probably provides a small reduction in pain intensity (SMD ÃƒÂ¢Ã¢â€šÂ¬Ã‚Â0.22, 95% CI ÃƒÂ¢Ã¢â€šÂ¬Ã‚Â0.02 to ÃƒÂ¢Ã¢â€šÂ¬Ã‚Â0.41; 2 trials, 401 participants; moderateÃƒÂ¢Ã¢â€šÂ¬Ã‚Âcertainty evidence). Compared to advice to rest, advice to stay active probably provides a small improvement in function (SMD ÃƒÂ¢Ã¢â€šÂ¬Ã‚Â0.29, 95% CI ÃƒÂ¢Ã¢â€šÂ¬Ã‚Â0.09 to ÃƒÂ¢Ã¢â€šÂ¬Ã‚Â0.49; 2 trials, 400 participants; moderateÃƒÂ¢Ã¢â€šÂ¬Ã‚Âcertainty evidence). Data for safety were reported only for massage. There may be no difference between massage and usual care for safety (risk difference 0, 95% CI ÃƒÂ¢Ã¢â€šÂ¬Ã‚Â0.07 to 0.07; 1 trial, 51 participants; lowÃƒÂ¢Ã¢â€šÂ¬Ã‚Âcertainty evidence). Chronic LBP Compared to no treatment, acupuncture probably provides a medium reduction in pain intensity (0 to 100 scale, mean difference (MD) ÃƒÂ¢Ã¢â€šÂ¬Ã‚Â10.1, 95% CI ÃƒÂ¢Ã¢â€šÂ¬Ã‚Â16.8 to ÃƒÂ¢Ã¢â€šÂ¬Ã‚Â3.4; 3 trials, 144 participants; moderateÃƒÂ¢Ã¢â€šÂ¬Ã‚Âcertainty evidence), and a small improvement in function (SMD ÃƒÂ¢Ã¢â€šÂ¬Ã‚Â0.39, 95% CI ÃƒÂ¢Ã¢â€šÂ¬Ã‚Â0.72 to ÃƒÂ¢Ã¢â€šÂ¬Ã‚Â0.06; 3 trials, 144 participants; moderateÃƒÂ¢Ã¢â€šÂ¬Ã‚Âcertainty evidence). Compared to usual care, acupuncture probably provides a small improvement in function (MD 9.4, 95% CI 6.15 to 12.65; 1 trial, 734 participants; moderateÃƒÂ¢Ã¢â€šÂ¬Ã‚Âcertainty evidence). Compared to no treatment/usual care, exercise therapies probably provide a small to medium reduction in pain intens ty (0 to 100 scale, MD ÃƒÂ¢Ã¢â€šÂ¬Ã‚Â15.2, 95% CI ÃƒÂ¢Ã¢â€šÂ¬Ã‚Â18.3 to ÃƒÂ¢Ã¢â€šÂ¬Ã‚Â12.2; 35 trials, 2746 participants; moderateÃƒÂ¢Ã¢â€šÂ¬Ã‚Âcertainty evidence), and probably provide a small improvement in function (0 to 100 scale, MD ÃƒÂ¢Ã¢â€šÂ¬Ã‚Â6.8, 95% CI ÃƒÂ¢Ã¢â€šÂ¬Ã‚Â8.3 to ÃƒÂ¢Ã¢â€šÂ¬Ã‚Â5.3; 38 trials, 2942 participants; moderateÃƒÂ¢Ã¢â€šÂ¬Ã‚Âcertainty evidence). Compared to usual care, multidisciplinary therapies probably provide a medium reduction in pain intensity (SMD ÃƒÂ¢Ã¢â€šÂ¬Ã‚Â0.55, 95% CI ÃƒÂ¢Ã¢â€šÂ¬Ã‚Â0.83 to ÃƒÂ¢Ã¢â€šÂ¬Ã‚Â0.28; 9 trials, 879 participants; moderateÃƒÂ¢Ã¢â€šÂ¬Ã‚Âcertainty evidence), and probably provide a small improvement in function (SMD ÃƒÂ¢Ã¢â€šÂ¬Ã‚Â0.41, 95% CI ÃƒÂ¢Ã¢â€šÂ¬Ã‚Â0.62 to ÃƒÂ¢Ã¢â€šÂ¬Ã‚Â0.19; 9 trials, 939 participants; moderateÃƒÂ¢Ã¢â€šÂ¬Ã‚Âcertainty evidence). Compared to no treatment, psychological therapies using operant approaches probably provide a small reduction in pain intensity (SMD ÃƒÂ¢Ã¢â€šÂ¬Ã‚Â0.43, 95% CI ÃƒÂ¢Ã¢â€šÂ¬Ã‚Â0.75 to ÃƒÂ¢Ã¢â€šÂ¬Ã‚Â0.11; 3 trials, 153 participants; moderateÃƒÂ¢Ã¢â€šÂ¬Ã‚Âcertainty evidence). Compared to usual care, psychological therapies (including progressive muscle relaxation and behavioural approaches) probably provide a small reduction in pain intensity (0 to 100 scale, MD ÃƒÂ¢Ã¢â€šÂ¬Ã‚Â5.18, 95% CI ÃƒÂ¢Ã¢â€šÂ¬Ã‚Â9.79 to ÃƒÂ¢Ã¢â€šÂ¬Ã‚Â0.57; 2 trials, 330 participants; moderateÃƒÂ¢Ã¢â€šÂ¬Ã‚Âcertainty evidence), but there is probably no difference in function (SMD ÃƒÂ¢Ã¢â€šÂ¬Ã‚Â0.2, 95% CI ÃƒÂ¢Ã¢â€šÂ¬Ã‚Â0.41 to 0.02; 2 trials, 330 participants; moderateÃƒÂ¢Ã¢â€šÂ¬Ã‚Âcertainty evidence). It is uncertain whether there is a difference between nonÃƒÂ¢Ã¢â€šÂ¬Ã‚Âpharmacological/nonÃƒÂ¢Ã¢â€šÂ¬Ã‚Âsurgical interventions and no treatment/usual care for safety (very lowÃƒÂ¢Ã¢â€šÂ¬Ã‚Âcertainty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nonÃƒÂ¢Ã¢â€šÂ¬Ã‚Âmedicine and nonÃƒÂ¢Ã¢â€šÂ¬Ã‚Âsurgical treatments for nonÃƒÂ¢Ã¢â€šÂ¬Ã‚Âspecific low back pain? Key messages For acute low back pain (pain lasting less than 6 weeks) ÃƒÂ¢Ã¢â€šÂ¬Ã‚Â¢ Advice to stay active probably reduces pain and improves function compared to advice to rest in bed. For subacute low back pain (pain lasting from 6 to 12 weeks) ÃƒÂ¢Ã¢â€šÂ¬Ã‚Â¢ Multidisciplinary therapies probably reduce pain compared to usual care.ÃƒÂ¢Ã¢â€šÂ¬Ã‚Â¨ÃƒÂ¢Ã¢â€šÂ¬Ã‚Â¢ Spinal manipulation probably does not improve function compared to placebo (a 'sham' or 'dummy' treatment designed to resemble the actual treatment but lacking active ingredients or the intended therapeutic effect). For chronic low back pain (pain lasting longer than 12 weeks) ÃƒÂ¢Ã¢â€šÂ¬Ã‚Â¢ Acupuncture probably reduces pain and improves function compared to placebo and no treatment/usual care.ÃƒÂ¢Ã¢â€šÂ¬Ã‚Â¨ÃƒÂ¢Ã¢â€šÂ¬Ã‚Â¢ Exercise therapies probably reduce pain and improve function compared to placebo and no treatment/usual care.ÃƒÂ¢Ã¢â€šÂ¬Ã‚Â¨ÃƒÂ¢Ã¢â€šÂ¬Ã‚Â¢ Traction probably does not reduce pain compared to sham traction.ÃƒÂ¢Ã¢â€šÂ¬Ã‚Â¨ÃƒÂ¢Ã¢â€šÂ¬Ã‚Â¢ Multidisciplinary therapy probably reduces pain and improves function compared to usual care.ÃƒÂ¢Ã¢â€šÂ¬Ã‚Â¨ÃƒÂ¢Ã¢â€šÂ¬Ã‚Â¢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ÃƒÂ¢Ã¢â€šÂ¬Ã‹Å“nonÃƒÂ¢Ã¢â€šÂ¬Ã‚ÂspecificÃƒÂ¢Ã¢â€šÂ¬Ã¢â€žÂ¢ low back pain. Many types of nonÃƒÂ¢Ã¢â€šÂ¬Ã‚Âmedicine and nonÃƒÂ¢Ã¢â€šÂ¬Ã‚Âsurgical treatments are available for people with low back pain of different durations: acute (pain lasting less than 6 weeks), subacute (pain lasting from 6 to 12 weeks) and chronic (pain lasting longer than 12 weeks). There is a need to provide accessible, highÃƒÂ¢Ã¢â€šÂ¬Ã‚Âquality information on the benefits and safety of nonÃƒÂ¢Ã¢â€šÂ¬Ã‚Âdrug and nonÃƒÂ¢Ã¢â€šÂ¬Ã‚Âsurgical treatments for healthcare professionals and patients to better manage low back pain. What did we want to find out? We wanted to summarise the evidence from Cochrane reviews on the effectiveness and safety of nonÃƒÂ¢Ã¢â€šÂ¬Ã‚Âmedicine and nonÃƒÂ¢Ã¢â€šÂ¬Ã‚Âsurgical treatments for adults with nonÃƒÂ¢Ã¢â€šÂ¬Ã‚Âspecific low back pain. What did we do? ÃƒÂ¢Ã¢â€šÂ¬Ã‚Â¨We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nonÃƒÂ¢Ã¢â€šÂ¬Ã‚Âmedicine and nonÃƒÂ¢Ã¢â€šÂ¬Ã‚Âsurgical interventions for low back pain. NonÃƒÂ¢Ã¢â€šÂ¬Ã‚Âmedicine and nonÃƒÂ¢Ã¢â€šÂ¬Ã‚Âsurgical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threeÃƒÂ¢Ã¢â€šÂ¬Ã‚Âquarters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nonÃƒÂ¢Ã¢â€šÂ¬Ã‚Âmedicine and nonÃƒÂ¢Ã¢â€šÂ¬Ã‚Âsurgical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oneÃƒÂ¢Ã¢â€šÂ¬Ã‚Âthird (10 of 31) of the reviews are more than 15 years old, meaning the evidence they contain is even more dated.</t>
  </si>
  <si>
    <t>- Rationale Postpartum haemorrhage (PPH) is common and potentially lifeÃƒÂ¢Ã¢â€šÂ¬Ã‚Âthreatening.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costÃƒÂ¢Ã¢â€šÂ¬Ã‚Âeffectiveness and safety of prophylactic TXA is required before considering widespread use. This review updates one published in 2015. Objectives To assess the effects of TXA for preventing PPH compared to placebo or no treatment (with or without uterotonic coÃƒÂ¢Ã¢â€šÂ¬Ã‚Âtreatment)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ÃƒÂ¢Ã¢â‚¬Â°Ã‚Â¥ 500 mL and blood loss ÃƒÂ¢Ã¢â‚¬Â°Ã‚Â¥ 1000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randomÃƒÂ¢Ã¢â€šÂ¬Ã‚Âeffects metaÃƒÂ¢Ã¢â€šÂ¬Ã‚Âanalysis to combine data. We assessed the certainty of the evidence using GRADE. Included studies We included three RCTs with 18,974 participants in total. The trials were conducted in both highÃƒÂ¢Ã¢â€šÂ¬Ã‚Â and lowÃƒÂ¢Ã¢â€šÂ¬Ã‚Âresource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ÃƒÂ¢Ã¢â‚¬Â°Ã‚Â¥ 500 mL (risk ratio (RR) 0.93, 95% confidence interval (CI) 0.81 to 1.06; 2 studies, 18,897 participants; 5 fewer per 1000, 95% CI 15 fewer to 5 more; highÃƒÂ¢Ã¢â€šÂ¬Ã‚Âcertainty evidence). TXA likely results in little to no difference in blood loss ÃƒÂ¢Ã¢â‚¬Â°Ã‚Â¥ 1000 mL (RR 0.86, 95% CI 0.69 to 1.07; 2 studies, 18,897 participants; 3 fewer per 1000, 95% CI 6 fewer to 1 more; moderateÃƒÂ¢Ã¢â€šÂ¬Ã‚Âcertainty evidence). TXA likely results in little to no difference in severe morbidity (RR 0.88, 95% CI 0.69 to 1.12; 1 study, 15,066 participants; 2 fewer per 1000, 95% CI 6 fewer to 2 more; moderateÃƒÂ¢Ã¢â€šÂ¬Ã‚Âcertainty evidence). TXA results in little to no difference in receipt of blood transfusion (RR 1.00, 95% CI 0.95 to 1.06; 3 studies, 18,972 participants; 0 fewer per 1000, 95% CI 10 fewer to 12 more; highÃƒÂ¢Ã¢â€šÂ¬Ã‚Âcertainty evidence). TXA may result in little to no difference in receipt of additional surgical interventions to control PPH (RR 0.63, 95% CI 0.32 to 1.23; 2 studies, 18,972 participants; 1 fewer per 1000, 95% CI 2 fewer to 1 more; lowÃƒÂ¢Ã¢â€šÂ¬Ã‚Âcertainty evidence). In women with anaemia, TXA results in little to no difference in receipt of additional uterotonics (RR 1.02, 95% CI 0.94 to 1.10; 1 study, 15,066 participants; 3 more women per 1000, 95% CI 8 fewer to 24 more; highÃƒÂ¢Ã¢â€šÂ¬Ã‚Âcertainty evidence). In women with no anaemia, TXA results in a slight reduction in receipt of additional uterotonics (RR 0.75, 95% CI 0.61 to 0.92; 1 study, 3891 participants; 24 fewer women per 1000, 95% CI 38 fewer to 8 fewer; highÃƒÂ¢Ã¢â€šÂ¬Ã‚Âcertainty evidence). TXA likely r sults in little to no difference in maternal satisfaction. The evidence is very uncertain about the effect of TXA on maternal death, thromboembolic events, and hysterectomy (very lowÃƒÂ¢Ã¢â€šÂ¬Ã‚Âcertainty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ÃƒÂ¢Ã¢â‚¬Â°Ã‚Â¥ 500 mL and likely makes little to no difference to blood loss ÃƒÂ¢Ã¢â‚¬Â°Ã‚Â¥ 1000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10.1002/14651858.CD007872ÃƒÂ¢Ã¢â€šÂ¬Ã‚Â¨Original review (2010) DOI: 10.1002/14651858.CD007872.pub2ÃƒÂ¢Ã¢â€šÂ¬Ã‚Â¨Review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lifeÃƒÂ¢Ã¢â€šÂ¬Ã‚Âthreatening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highÃƒÂ¢Ã¢â€šÂ¬Ã‚Â and lowÃƒÂ¢Ã¢â€šÂ¬Ã‚Âresource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</si>
  <si>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nonÃƒÂ¢Ã¢â€šÂ¬Ã‚Ârandomized trials, controlled beforeÃƒÂ¢Ã¢â€šÂ¬Ã‚Âafter (CBA) studies, and interrupted timeÃƒÂ¢Ã¢â€šÂ¬Ã‚Âseries (ITS) studies comparing (1) standÃƒÂ¢Ã¢â€šÂ¬Ã‚Âalone clinical pathways with usual care, and (2) clinical pathways as part of a multifaceted intervention with usual care. Data collection and analysis Two authors independently screened all titles, abstracts and fullÃƒÂ¢Ã¢â€šÂ¬Ã‚Âtext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evidenceÃƒÂ¢Ã¢â€šÂ¬Ã‚Âbased implementation process. Main results The update provided 31 additional studies for a total of 58 included studies (24,841 patients and 2027 healthcare professionals). FortyÃƒÂ¢Ã¢â€šÂ¬Ã‚Âone (71%) were randomized trials, four (7%) nonÃƒÂ¢Ã¢â€šÂ¬Ã‚Ârandomized trials, four (7%) CBA studies and nine (16%) ITS studies. FortyÃƒÂ¢Ã¢â€šÂ¬Ã‚Ânine studies compared standÃƒÂ¢Ã¢â€šÂ¬Ã‚Âalone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StandÃƒÂ¢Ã¢â€šÂ¬Ã‚Âalone clinical pathway interventions It is uncertain whether standÃƒÂ¢Ã¢â€šÂ¬Ã‚Âalone CPWs reduce inhospital mortality (13% v 16%: OR 0.79, 95% CI 0.53 to 1.20; P = 0.27; IÃƒâ€šÃ‚Â² = 65%; 7 randomized trials; n = 4603; lowÃƒÂ¢Ã¢â€šÂ¬Ã‚Âcertainty evidence due to serious imprecision and inconsistency) or mortality (up to 6 months) (4% v 3%: OR 1.37, 95% CI 0.72 to 2.60; P = 0.34; IÃƒâ€šÃ‚Â² = 20%; 3 randomized trials, n = 805; lowÃƒÂ¢Ã¢â€šÂ¬Ã‚Âcertainty evidence due to serious risk of bias and imprecision). StandÃƒÂ¢Ã¢â€šÂ¬Ã‚Âalone CPWs likely reduce inhospital complications (10% v 17%: OR 0.57, 95% CI 0.41 to 0.80; P = 0.001; IÃƒâ€šÃ‚Â² = 52%; 11 randomized trials, n = 3668; moderateÃƒÂ¢Ã¢â€šÂ¬Ã‚Âcertainty evidence due to serious risk of bias). It is very uncertain whether standÃƒÂ¢Ã¢â€šÂ¬Ã‚Âalone CPWs reduce hospital readmissions (up to 6 months) (9% v 13%: OR 0.67, 95% CI 0.44 to 1.03; P = 0.07; IÃƒâ€šÃ‚Â² = 11%; 9 randomized trials, n = 1578; very lowÃƒÂ¢Ã¢â€šÂ¬Ã‚Âcertainty evidence due to serious risk of bias and very serious imprecision). StandÃƒÂ¢Ã¢â€šÂ¬Ã‚Âalone CPWs likely reduce the length of hospital stay compared to usual care (MD ÃƒÂ¢Ã¢â€šÂ¬Ã‚Â1.12 days, 95% CI ÃƒÂ¢Ã¢â€šÂ¬Ã‚Â1.60 to ÃƒÂ¢Ã¢â€šÂ¬Ã‚Â0.65; P &lt; 0.00001; IÃƒâ€šÃ‚Â² = 64%; 21 studies; n = 5201; moderateÃƒÂ¢Ã¢â€šÂ¬Ã‚Âcertainty evidence due to serious inconsistency). Costs and charges were generally lower in CPWs as indicated by negative MDs in nine studies (10 studies, n = 2113, data not pooled; very lowÃƒÂ¢Ã¢â€šÂ¬Ã‚Âcertainty evidence due to serious indirectness and very serious inconsistency). StandÃƒÂ¢Ã¢â€šÂ¬Ã‚Âalone CPWs may slightly increase adherence to recommended practice compared with usual care (3 randomized studies, n = 573; data not pooled; lowÃƒÂ¢Ã¢â€šÂ¬Ã‚Âcertainty evidence due to serious risk of bias and serious inconsistency). Multifaceted clinical pathway interventions It is uncertain whether multifaceted CPWs reduce inhospital mor ality (2 randomized studies, n = 6304, data not pooled; lowÃƒÂ¢Ã¢â€šÂ¬Ã‚Âcertainty evidence due to very serious inconsistency). Multifaceted CPWs may make little or no difference to mortality (up to 6 months) (9% v 8%: OR 1.05, 95% CI 0.88 to 1.25; P = 0.61; IÃƒâ€šÃ‚Â² = 0%; 3 randomized studies; n = 6531; lowÃƒÂ¢Ã¢â€šÂ¬Ã‚Âcertainty evidence due to serious imprecision and serious risk of bias). It is uncertain whether multifaceted CPWs reduce inhospital complications (9% v 23%: OR 0.32, 95% CI 0.12 to 0.87; 1 study, n = 140; lowÃƒÂ¢Ã¢â€šÂ¬Ã‚Âcertainty evidence due to very serious imprecision). It is uncertain whether multifaceted CPWs reduce hospital readmission (up to 6 months) (2 randomized studies, n =1569, data not pooled; lowÃƒÂ¢Ã¢â€šÂ¬Ã‚Âcertainty evidence due to very serious inconsistency), or length of stay (4 randomized studies, n = 1936, data not pooled; lowÃƒÂ¢Ã¢â€šÂ¬Ã‚Âcertainty evidence due to very serious inconsistency), or hospital costs and charges (4 randomized studies, n = 2015, data not pooled; very lowÃƒÂ¢Ã¢â€šÂ¬Ã‚Âcertainty evidence due to very serious imprecision and serious indirectness in outcome measures). It is uncertain whether multifaceted CPWs increase adherence to recommended practice (2 randomized studies, n = 6304, data not pooled, lowÃƒÂ¢Ã¢â€šÂ¬Ã‚Âcertainty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extendedÃƒÂ¢Ã¢â€šÂ¬Ã‚Âstay facilities (10%). The most common clinical conditions were asthma (16%), stroke (10%), mechanical ventilation (9%) and myocardial infarction (7%). Authors' conclusions StandÃƒÂ¢Ã¢â€šÂ¬Ã‚Âalone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standÃƒÂ¢Ã¢â€šÂ¬Ã‚Âalone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documentÃƒÂ¢Ã¢â€šÂ¬Ã‚Âbased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highÃƒÂ¢Ã¢â€šÂ¬Ã‚Âquality studies that report on implementation strategies used during the pathway development and implementation. What was studied in the review? DecisionÃƒÂ¢Ã¢â€šÂ¬Ã‚Âmaking in hospitals h s evolved from being opinionÃƒÂ¢Ã¢â€šÂ¬Ã‚Âbased to being based on sound scientific evidence (i.e. evidenceÃƒÂ¢Ã¢â€šÂ¬Ã‚Âbased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clusterÃƒÂ¢Ã¢â€šÂ¬Ã‚Ârandomized studies, nonÃƒÂ¢Ã¢â€šÂ¬Ã‚Ârandomized studies, controlled beforeÃƒÂ¢Ã¢â€šÂ¬Ã‚Âafter studies (CBA), and interrupted timeÃƒÂ¢Ã¢â€šÂ¬Ã‚Âseries studies (ITS). In individual randomized trials, study participants were allocated to the CPW or usual care group by chance, called random allocation. ClusterÃƒÂ¢Ã¢â€šÂ¬Ã‚Ârandomized trials divided all study participants into smaller groups known as clusters. These clusters were then allocated by chance to the CPW or usual care group. For nonÃƒÂ¢Ã¢â€šÂ¬Ã‚Ârandomized trials, participants were allocated to different groups by investigators in a quasiÃƒÂ¢Ã¢â€šÂ¬Ã‚Ârandom fashion. QuasiÃƒÂ¢Ã¢â€šÂ¬Ã‚Ârandom allocation means that study participants were allocated to the CPW or usual care group based on criteria such as their date of birth or the day of the week. CBA studies are experimental studies without a random or quasiÃƒÂ¢Ã¢â€šÂ¬Ã‚Ârandom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standÃƒÂ¢Ã¢â€šÂ¬Ã‚Âalone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standÃƒÂ¢Ã¢â€šÂ¬Ã‚Âalone clinical pathway has any effect on inÃƒÂ¢Ã¢â€šÂ¬Ã‚Âhospital mortality and mortality (up to 6 months) (low certainty). StandÃƒÂ¢Ã¢â€šÂ¬Ã‚Âalone CPWs are likely to reduce inhospital complications (moderate certainty) but it is very uncertain if they make any difference to hospital readmissions (up to 6 months) (very low certainty). StandÃƒÂ¢Ã¢â€šÂ¬Ã‚Âalone CPWs are likely to reduce length of hospital stay (moderate certainty). Costs and charges were generally lower in CPWs in nine out of ten studies included in this comparison (very low certainty). StandÃƒÂ¢Ã¢â€šÂ¬Ã‚Âalone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upÃƒÂ¢Ã¢â€šÂ¬Ã‚ÂtoÃƒÂ¢Ã¢â€šÂ¬Ã‚Âdate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</si>
  <si>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Ãƒâ€šÃ‚Â© 2025</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</si>
  <si>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allÃƒÂ¢Ã¢â€šÂ¬Ã‚Âcause mortality, major venous thromboembolism (VTE), symptomatic VTE, major bleeding, and serious hepatic and nonÃƒÂ¢Ã¢â€šÂ¬Ã‚Âhepatic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TwentyÃƒÂ¢Ã¢â€šÂ¬Ã‚Âthree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allÃƒÂ¢Ã¢â€šÂ¬Ã‚Âcause mortality, but the evidence is very uncertain (RR 0.83, 95% CI 0.52 to 1.31; I 2 = 0%; 28 studies, 29,698 participants; very lowÃƒÂ¢Ã¢â€šÂ¬Ã‚Âcertainty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lowÃƒÂ¢Ã¢â€šÂ¬Ã‚Âcertainty evidence). Compared to LMWHs, direct factor Xa inhibitors may reduce symptomatic VTE (RR 0.64, 95% CI 0.50 to 0.83; I 2 = 0%; 33 studies, 31,670 participants; lowÃƒÂ¢Ã¢â€šÂ¬Ã‚Âcertainty evidence). The absolute benefit of substituting factor Xa inhibitors for LMWHs may be between two and five fewer symptomatic VTE episodes per 1000 patients. In the metaÃƒÂ¢Ã¢â€šÂ¬Ã‚Âanalysis with all studies pooled, direct factor Xa inhibitors appeared to make little or no difference to major bleeding compared to LMWHs, but the evidence was very uncertain (RR 1.05, 95% CI 0.86 to 1.30; I 2 = 15%; 36 studies, 39,778 participants; very low certaintyÃƒÂ¢Ã¢â€šÂ¬Ã‚Âevidence). ÃƒÂ¢Ã¢â€šÂ¬Ã‚Â¨ÃƒÂ¢Ã¢â€šÂ¬Ã‚Â¢ In a subgroup analysis limited to studies comparing rivaroxaban to LMWHs, people given rivaroxaban may have had more major bleeding events (RR 1.94, 95% CI 1.26 to 2.98; I 2 = 0%; 17 studies, 17,630 participants; lowÃƒÂ¢Ã¢â€šÂ¬Ã‚Âcertainty evidence). The absolute risk of substituting rivaroxaban for LMWH may be between one and seven more major bleeding events per 1000 patients. ÃƒÂ¢Ã¢â€šÂ¬Ã‚Â¨ÃƒÂ¢Ã¢â€šÂ¬Ã‚Â¢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lowÃƒÂ¢Ã¢â€šÂ¬Ã‚Âcertainty evidence). Direct factor Xa inhibitors may make little to no difference in serious hepatic adverse events compared to LMWHs, but the evidence is very uncertain (RR 3.01, 95% CI 0.12 to 73.93; 2 studies, 3169 participants; very lowÃƒÂ¢Ã¢â€šÂ¬Ã‚Âcertainty evidence). Only two studies reported this outcome, with one death in the intervention group due to hepatitis reported in one study, and no events reported in the other study. People given direct factor Xa inhibitors may have a lower risk of serious nonÃƒÂ¢Ã¢â€šÂ¬Ã‚Âhepatic adverse events than those given LMWHs (RR 0.89, 95% CI 0.81 to 0.97; I 2 = 18%; 15 studies, 26,246 participants; lowÃƒÂ¢Ã¢â€šÂ¬Ã‚Âcertainty evidence). The absolute benefit of substituting factor Xa inhibitors for LMWH may be between three and 14 fewer serious nonÃƒÂ¢Ã¢â€šÂ¬Ã‚Âhepatic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allÃƒÂ¢Ã¢â€šÂ¬Ã‚Âcause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nonÃƒÂ¢Ã¢â€šÂ¬Ã‚Âhepatic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ÃƒÂ¢Ã¢â€šÂ¬Ã‚Â¢ We do not know if classic anticoagulant medicines (commonly known as 'blood thinners') or newer bloodÃƒÂ¢Ã¢â€šÂ¬Ã‚Âthinning medicines called 'direct factor Xa inhibitors' (DFXa inhibitors) are better at preventing death or the development of blood clots in the deep veins of the legs or in the lungs of people who have had hip or knee replacement surgery. ÃƒÂ¢Ã¢â€šÂ¬Ã‚Â¢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followÃƒÂ¢Ã¢â€šÂ¬Ã‚Âup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highÃƒÂ¢Ã¢â€šÂ¬Ã‚Âincome regions. Roughly oneÃƒÂ¢Ã¢â€šÂ¬Ã‚Âthird of participants (31%) were male. Participants' average age was 64 years. Pharmaceutical companies funded half of the studies (27 of 53). Main results Compared to LMWHs, we do not know if DFXa inhibitors reduce the number of people who:ÃƒÂ¢Ã¢â€šÂ¬Ã‚Â¨ÃƒÂ¢Ã¢â€šÂ¬Ã‚Â¢ die from any cause after surgery, orÃƒÂ¢Ã¢â€šÂ¬Ã‚Â¨ÃƒÂ¢Ã¢â€šÂ¬Ã‚Â¢ develop blood clots in the lungs or deep veins of the leg or pelvisÃƒÂ¢Ã¢â€šÂ¬Ã‚Â¨because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nonÃƒÂ¢Ã¢â€šÂ¬Ã‚ÂliverÃƒÂ¢Ã¢â€šÂ¬Ã‚Ârelated events compared to LMWHs. Between 3 and 14 fewer people out of every 1000 people given DFXa inhibitors would have serious, nonÃƒÂ¢Ã¢â€šÂ¬Ã‚ÂliverÃƒÂ¢Ã¢â€šÂ¬Ã‚Ârelated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</si>
  <si>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Appears to be a peer-reviewed article on cost-effectiveness study.</t>
  </si>
  <si>
    <t>Cochrane Review, likely peer-reviewed</t>
  </si>
  <si>
    <t>Unclear publication type, flagged for review</t>
  </si>
  <si>
    <t>Peer-reviewed article on cost-effectiveness study.</t>
  </si>
  <si>
    <t>Peer-reviewed article from a reputable journal</t>
  </si>
  <si>
    <t>Peer-reviewed article identified</t>
  </si>
  <si>
    <t>Peer-reviewed article with research data</t>
  </si>
  <si>
    <t>Peer-reviewed article with study results</t>
  </si>
  <si>
    <t>Appears to be a peer-reviewed systematic review.</t>
  </si>
  <si>
    <t>Research article likely peer-reviewed, not a protocol or commentary.</t>
  </si>
  <si>
    <t>Appears to be a peer-reviewed article with no exclusion indicators.</t>
  </si>
  <si>
    <t>Peer-reviewed article on drug uptake analysis.</t>
  </si>
  <si>
    <t>Peer-reviewed article in BMJ, a reputable journal</t>
  </si>
  <si>
    <t>Peer-reviewed article on perioperative beta-blockers.</t>
  </si>
  <si>
    <t>Peer-reviewed article with research findings</t>
  </si>
  <si>
    <t>Peer-reviewed article on endometrial techniques</t>
  </si>
  <si>
    <t>Cochrane review, likely peer-reviewed</t>
  </si>
  <si>
    <t>Appears to be an editorial/commentary</t>
  </si>
  <si>
    <t>Peer-reviewed mapping review article.</t>
  </si>
  <si>
    <t>Peer-reviewed article with study results.</t>
  </si>
  <si>
    <t>Peer-reviewed article in a reputable journal</t>
  </si>
  <si>
    <t>Peer-reviewed article on cost-effectiveness of AAA screening</t>
  </si>
  <si>
    <t>Cochrane Review, peer-reviewed article</t>
  </si>
  <si>
    <t>Comprehensive systematic review and economic evaluation</t>
  </si>
  <si>
    <t>Appears to be a peer-reviewed article describing a cost-effectiveness model.</t>
  </si>
  <si>
    <t>Peer-reviewed article on RCT study.</t>
  </si>
  <si>
    <t>Appears to be a peer-reviewed study.</t>
  </si>
  <si>
    <t>Peer-reviewed systematic review article.</t>
  </si>
  <si>
    <t>Peer-reviewed cost-effectiveness analysis article.</t>
  </si>
  <si>
    <t>Systematic review of RCTs, likely peer-reviewed.</t>
  </si>
  <si>
    <t>Appears to be a peer-reviewed article.</t>
  </si>
  <si>
    <t>Appears to be a peer-reviewed article, not a protocol or commentary.</t>
  </si>
  <si>
    <t>Peer-reviewed article assessing dietary interventions for cancer survivors.</t>
  </si>
  <si>
    <t>Qualitative study in a reputable journal, not a protocol or commentary.</t>
  </si>
  <si>
    <t>Study protocol identified in title and abstract</t>
  </si>
  <si>
    <t>Peer-reviewed article on nurse-staffing models and outcomes.</t>
  </si>
  <si>
    <t>Peer-reviewed article from Cochrane Library</t>
  </si>
  <si>
    <t>Observational study in a reputable journal, not a protocol or commentary.</t>
  </si>
  <si>
    <t>Appears to be a conference abstract, a form of grey literature.</t>
  </si>
  <si>
    <t>Peer-reviewed modelling study, not a protocol or commentary</t>
  </si>
  <si>
    <t>Peer-reviewed article assessing smoking cessation interventions.</t>
  </si>
  <si>
    <t>Systematic review likely peer-reviewed or grey literature</t>
  </si>
  <si>
    <t>Peer-reviewed article on cost savings analysis</t>
  </si>
  <si>
    <t>Peer-reviewed observational study.</t>
  </si>
  <si>
    <t>Peer-reviewed article on cost-effectiveness analysis.</t>
  </si>
  <si>
    <t>Conference abstract, part of grey literature</t>
  </si>
  <si>
    <t>Narrative review likely editorial/commentary</t>
  </si>
  <si>
    <t>Mixed-methods study, not a protocol or commentary</t>
  </si>
  <si>
    <t>Feasibility study, not a protocol or commentary</t>
  </si>
  <si>
    <t>Peer-reviewed article in BMJ</t>
  </si>
  <si>
    <t>Peer-reviewed article on cost-utility analysis.</t>
  </si>
  <si>
    <t>Research article likely peer-reviewed</t>
  </si>
  <si>
    <t>Qualitative study findings, not a protocol or commentary.</t>
  </si>
  <si>
    <t>Peer-reviewed article from a clinical trial study.</t>
  </si>
  <si>
    <t>Peer-reviewed systematic review and meta-analysis</t>
  </si>
  <si>
    <t>RCT suggests peer-reviewed article</t>
  </si>
  <si>
    <t>Peer-reviewed article from a reputable trial.</t>
  </si>
  <si>
    <t>Peer-reviewed article from Cochrane database.</t>
  </si>
  <si>
    <t>Peer-reviewed article summarizing research on pharmacist roles in COPD management.</t>
  </si>
  <si>
    <t>Peer-reviewed research article</t>
  </si>
  <si>
    <t>Peer-reviewed research article on ovarian cancer surveillance.</t>
  </si>
  <si>
    <t>Peer-reviewed network meta-analysis</t>
  </si>
  <si>
    <t>Peer-reviewed article from a reputable source</t>
  </si>
  <si>
    <t>Cohort study published in a reputable journal.</t>
  </si>
  <si>
    <t>Cochrane Review, likely peer-reviewed.</t>
  </si>
  <si>
    <t>Appears to be a review article, likely peer-reviewed but not primary research.</t>
  </si>
  <si>
    <t>Study protocol, not eligible for inclusion</t>
  </si>
  <si>
    <t>Appears to be a peer-reviewed article with cost utility analysis.</t>
  </si>
  <si>
    <t>Peer-reviewed article with unclear publication type, flagged for review</t>
  </si>
  <si>
    <t>Systematic review and meta-analysis in reputable databases.</t>
  </si>
  <si>
    <t>Study protocol identified in title</t>
  </si>
  <si>
    <t>Published in a reputable journal, not a protocol or commentary</t>
  </si>
  <si>
    <t>Peer-reviewed article on a clinical trial</t>
  </si>
  <si>
    <t>Cochrane Review, likely a protocol or commentary</t>
  </si>
  <si>
    <t>Peer-reviewed Cochrane Review update.</t>
  </si>
  <si>
    <t>Peer-reviewed article on stroke treatment.</t>
  </si>
  <si>
    <t>Peer-reviewed article with network meta-analysis.</t>
  </si>
  <si>
    <t>Peer-reviewed article from a reputable journal.</t>
  </si>
  <si>
    <t>Peer-reviewed RCT published in a reputable journal</t>
  </si>
  <si>
    <t>Study protocol identified in the title and abstract</t>
  </si>
  <si>
    <t>Peer-reviewed article on virtual patient assessment.</t>
  </si>
  <si>
    <t>Study protocol identified in abstract</t>
  </si>
  <si>
    <t>Appears to be a peer-reviewed article on pharmaceutical policy.</t>
  </si>
  <si>
    <t>Peer-reviewed article reviewing emergency care models for cancer patients.</t>
  </si>
  <si>
    <t>Peer-reviewed article, not a protocol or commentary</t>
  </si>
  <si>
    <t>Appears to be a peer-reviewed article with clinical audit results.</t>
  </si>
  <si>
    <t>Peer-reviewed RCT article in a reputable journal</t>
  </si>
  <si>
    <t>Published in a potentially predatory journal</t>
  </si>
  <si>
    <t>Appears to be a peer-reviewed article</t>
  </si>
  <si>
    <t>Peer-reviewed article from Cochrane Database</t>
  </si>
  <si>
    <t>Systematic review in a reputable journal.</t>
  </si>
  <si>
    <t>Peer-reviewed article on cost-effectiveness of intervention</t>
  </si>
  <si>
    <t>Systematic review in a peer-reviewed journal</t>
  </si>
  <si>
    <t>J6219</t>
  </si>
  <si>
    <t>Study protocol of a pilot randomised controlled trial assessing the feasibility and acceptability of RecoverEsupport: a digital health intervention to enhance recovery in women undergoing surgery for breast cancer</t>
  </si>
  <si>
    <t>Introduction Internationally, breast cancer is the second most diagnosed cancer with approximately 2.3ÃƒÂ¢Ã¢â€šÂ¬Ã¢â‚¬Â°million people diagnosed each year. 40% will require a mastectomy which has an average length of hospital stay of 1ÃƒÂ¢Ã¢â€šÂ¬Ã¢â‚¬Å“2ÃƒÂ¢Ã¢â€šÂ¬Ã¢â‚¬Â°days. Enhanced Recovery After Surgery (ERAS) guidelines include the following patient-managed recommendations: early mobilisation, early eating and drinking, opioid minimisation and physiotherapy exercises. Low adherence rates to these recommendations suggest that patients need support to do these things. A digital health intervention (DHI) may provide an effective, cost-effective and scalable solution. This pilot trial aims to assess the feasibility of conducting a trial of RecoverEsupport and the acceptability of the RecoverEsupport intervention to support patients to recover from breast cancer surgery.</t>
  </si>
  <si>
    <t>J6220</t>
  </si>
  <si>
    <t>Negative pressure wound therapy for surgical wounds healing by secondary intention is not cost-effective</t>
  </si>
  <si>
    <t>&lt;b&gt;BACKGROUND&lt;/b&gt;: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system._x000D_
&lt;b&gt;METHODS&lt;/b&gt;: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uncertainty._x000D_
&lt;b&gt;RESULTS&lt;/b&gt;: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analyses._x000D_
&lt;b&gt;CONCLUSION&lt;/b&gt;: No evidence was found demonstrating that NPWT was a cost-effective alternative to standard dressings for SWHSI.</t>
  </si>
  <si>
    <t>Peer-reviewed article evaluating cost-effectiveness</t>
  </si>
  <si>
    <t>J6221</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</si>
  <si>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Ãƒâ€šÃ‚Â© The Author(s) 2025.</t>
  </si>
  <si>
    <t>Appears to be a peer-reviewed article evaluating cost-effectiveness.</t>
  </si>
  <si>
    <t>J6222</t>
  </si>
  <si>
    <t>The clinical and cost effectiveness of a STAndardised DIagnostic Assessment for children and adolescents with emotional difficulties: the STADIA multi-centre randomised controlled trial</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</si>
  <si>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Ãƒâ€šÃ‚Â© 2024 The Author(s). Journal of Child Psychology and Psychiatry published by John Wiley &amp; Sons Ltd on behalf of Association for Child and Adolescent Mental Health.</t>
  </si>
  <si>
    <t>J6223</t>
  </si>
  <si>
    <t>Rapid tests to inform triage and antibiotic prescribing decisions for adults presenting with suspected acute respiratory infection: a rapid evidence synthesis of clinical effectiveness and cost-utility studies</t>
  </si>
  <si>
    <t>&lt;b&gt;Background&lt;/b&gt;: This review assessed the clinical- and cost-effectiveness of point-of-care tests to guide the initial management of people presenting with suspected acute respiratory infection._x000D_
&lt;b&gt;Methods&lt;/b&gt;: Searches for systematic reviews, randomised controlled trials and cost-utility studies were conducted in May 2023. Sources included MEDLINE, Epistemonikos, EMBASE, Cochrane Central Register of Controlled Trials, the Cost-effectiveness Analysis Registry and reference checking. Eligible studies included people (&gt;= 16 years) making initial contact with the health system with symptoms suggestive of acute respiratory infection. Risk of bias in randomised controlled trials was assessed using the Cochrane risk-of-bias tool. The Drummond checklist was used for cost-utility studies. Meta-analyses of clinical outcomes were conducted to estimate summary risk ratios with 95% confidence intervals. Study characteristics and main results were summarised narratively and tabulated._x000D_
&lt;b&gt;Results&lt;/b&gt;: Fourteen randomised controlled trials were included; all had a high risk of bias. Ten randomised controlled trials analysed point-of-care tests for C-reactive protein. Compared with usual care, the effects on hospital admissions and mortality were highly uncertain due to sparse data. Three randomised controlled trials had heterogeneous findings on the resolution of symptoms/time to full recovery. The risk of re-consultations increased in patients receiving C-reactive protein point-of-care tests (pooled risk ratio 1.61, 95% confidence interval 1.07 to 2.41; four studies). There was a reduction in antibiotics initially prescribed (C-reactive protein point-of-care tests vs. usual care: pooled risk ratio 0.75, 95% confidence interval 0.68 to 0.84; nine studies). The effects of procalcitonin point-of-care tests compared with usual care on hospital admission, escalation of care, and duration of symptoms were very uncertain as only one randomised controlled trial was included. The study found a large reduction in antibiotic prescriptions within 7 days. Two studies revealed a large reduction in initial antibiotic prescriptions for Group A streptococcus point-of-care tests versus usual care. Only one study compared an influenza point-of-care test with usual care. The effect of the antibiotics prescribed was very uncertain. No deaths occurred in either treatment group._x000D_
&lt;b&gt;Cost-effectiveness&lt;/b&gt;: Six of the 17 included cost-utility studies were judged to be directly applicable to our review, 4 of which focused on the C-reactive protein point-of-care test. The results suggested that the C-reactive protein point-of-care test is potentially cost-effective; these studies were generally limited to capturing only short-term costs and consequences. One study evaluated 14 different point-of-care tests for Group A streptococcus; none were cost-effective compared with usual care. A further study evaluated two rapid tests (Quidel for influenza [Quidel Corp, San Diego, CA, USA], and BinaxNOW [Binax, Inc., Portland, ME, USA]) for the pneumococcal antigen) compared to culture/serology and found that they were not cost-effective._x000D_
&lt;b&gt;Limitations&lt;/b&gt;: Rapid synthesis methods were used, so relevant studies may have been missed. No evidence was identified for several review questions._x000D_
&lt;b&gt;Conclusion&lt;/b&gt;: C-reactive protein point-of-care test may reduce the number of patients given an antibiotic prescription but could increase the rate of re-consultations. C-reactive protein point-of-care test may potentially be cost-effective but existing estimates were based on very small and uncertain gains in quality-adjusted life-years and only accounted for short-term costs and consequences. There was very limited or an absence of evidence for other point-of-care tests._x000D_
&lt;b&gt;Future work&lt;/b&gt;: Research is needed to explore the impact of point-of-care tests on triaging decisions across different clinical settings and to quantify the longer-term health and cost consequences._x000D_
&lt;b&gt;Study registration&lt;/b&gt;: This study is registered as PROSPERO CRD42023429515._x000D_
&lt;b&gt;Funding&lt;/b&gt;: This award was funded by the National Institute for Health and Care Research (NIHR) Evidence Synthesis programme (NIHR award ref: NIHR159946) and is published in full in Health Technology Assessment; Vol. 29, No. 13. See the NIHR Funding and Awards website for further award information.</t>
  </si>
  <si>
    <t>Peer-reviewed article on clinical effectiveness and cost-utility studies.</t>
  </si>
  <si>
    <t>J6224</t>
  </si>
  <si>
    <t>Randomised controlled trial testing clinical and cost-effectiveness of the Live Well self-management toolkit for people with Parkinson's and their carers</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</si>
  <si>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Ãƒâ€šÃ‚Â© 2025</t>
  </si>
  <si>
    <t>Randomised controlled trial, likely peer-reviewed.</t>
  </si>
  <si>
    <t>J6225</t>
  </si>
  <si>
    <t>Breast cancer MDT streamlining: Current oncology UK practice</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</si>
  <si>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Ãƒâ€šÃ‚Â© 2024</t>
  </si>
  <si>
    <t>Peer-reviewed article on MDT practices in oncology.</t>
  </si>
  <si>
    <t>J6226</t>
  </si>
  <si>
    <t>Experiences and perceptions of using a digital health intervention</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</si>
  <si>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Ãƒâ€šÃ‚Â© 2025</t>
  </si>
  <si>
    <t>Qualitative study on digital health, not a protocol or commentary.</t>
  </si>
  <si>
    <t>J6228</t>
  </si>
  <si>
    <t>Implementation strategies for WHO guidelines to prevent, detect, and treat postpartum hemorrhage</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</si>
  <si>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steppedÃƒÂ¢Ã¢â€šÂ¬Ã‚Âwedge designs, and nonÃƒÂ¢Ã¢â€šÂ¬Ã‚Ârandomized studies of interventions (NRSIs), including interrupted time series (ITS) studies, controlled beforeÃƒÂ¢Ã¢â€šÂ¬Ã‚Âafter (CBA) studies, and followÃƒÂ¢Ã¢â€šÂ¬Ã‚Âup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WHOÃƒÂ¢Ã¢â€šÂ¬Ã‚Ârecommended guidelines for PPH prevention, detection, and treatment; PPH ÃƒÂ¢Ã¢â‚¬Â°Ã‚Â¥ 500 mL; PPH ÃƒÂ¢Ã¢â‚¬Â°Ã‚Â¥ 1000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ROBINSÃƒÂ¢Ã¢â€šÂ¬Ã‚ÂI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clusterÃƒÂ¢Ã¢â€šÂ¬Ã‚ÂRCTs and 4 NRSIs) with a total of 1,027,273 births and more than 4373 birth attendants. The included studies were conducted in 17 different countries. Most trials were conducted in resourceÃƒÂ¢Ã¢â€šÂ¬Ã‚Âlimited settings. None of the included studies reported data on the use of additional uterotonics within 24 hours after birth or adverse effects. Synthesis of results SingleÃƒÂ¢Ã¢â€šÂ¬Ã‚Âcomponent implementation strategies versus usual care for PPH prevention, detection, and treatment We do not know if singleÃƒÂ¢Ã¢â€šÂ¬Ã‚Âcomponent implementation strategies have any effect on adherence to WHO PPH prevention recommendations, PPH ÃƒÂ¢Ã¢â‚¬Â°Ã‚Â¥ 500 mL, PPH ÃƒÂ¢Ã¢â‚¬Â°Ã‚Â¥ 1000 mL, or blood transfusion (very lowÃƒÂ¢Ã¢â€šÂ¬Ã‚Âcertainty evidence). LowÃƒÂ¢Ã¢â€šÂ¬Ã‚Âcertainty evidence suggests that singleÃƒÂ¢Ã¢â€šÂ¬Ã‚Âcomponent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ÃƒÂ¢Ã¢â‚¬Â°Ã‚Â¥ 500 mL, blood transfusion, or severe morbidity relating to surgical outcomes (very lowÃƒÂ¢Ã¢â€šÂ¬Ã‚Âcertainty evidence). Multicomponent implementation strategies may have little to no effect on matern l death (274,008 births, 2 trials; lowÃƒÂ¢Ã¢â€šÂ¬Ã‚Âcertainty evidence) compared to usual care. No trials in this comparison measured the effect on adherence to WHO PPH prevention recommendations, PPH ÃƒÂ¢Ã¢â‚¬Â°Ã‚Â¥ 1000 mL, or severe morbidity (outcomes related to ICU admission). Multicomponent implementation strategies versus enhanced usual care for PPH prevention, detection, and treatment LowÃƒÂ¢Ã¢â€šÂ¬Ã‚Âcertainty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moderateÃƒÂ¢Ã¢â€šÂ¬Ã‚Âcertainty evidence), severe morbidity related to ICU admission (224,850 births, 2 trials; moderateÃƒÂ¢Ã¢â€šÂ¬Ã‚Âcertainty evidence), and surgical morbidity (210,132 births, 1 trial; moderateÃƒÂ¢Ã¢â€šÂ¬Ã‚Âcertainty evidence) compared to enhanced usual care. We do not know if multicomponent implementation strategies affect PPH ÃƒÂ¢Ã¢â‚¬Â°Ã‚Â¥ 500 mL, PPH ÃƒÂ¢Ã¢â‚¬Â°Ã‚Â¥ 1000 mL, or blood transfusion (very lowÃƒÂ¢Ã¢â€šÂ¬Ã‚Âcertainty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effectivenessÃƒÂ¢Ã¢â€šÂ¬Ã‚Âimplementation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singleÃƒÂ¢Ã¢â€šÂ¬Ã‚Âcomponent implementation strategies affect adherence to WHO PPH prevention recommendations, blood loss, or blood transfusion. SingleÃƒÂ¢Ã¢â€šÂ¬Ã‚Âcomponent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evidenceÃƒÂ¢Ã¢â€šÂ¬Ã‚Âbased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facilityÃƒÂ¢Ã¢â€šÂ¬Ã‚Âbased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singleÃƒÂ¢Ã¢â€šÂ¬Ã‚Âcomponent implementation strategies affect adherence to WHO PPH prevention recommendations, blood loss, or blood transfusion. SingleÃƒÂ¢Ã¢â€šÂ¬Ã‚Âcomponent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PPHÃƒÂ¢Ã¢â€šÂ¬Ã‚Ârelated illness or death. It remains unknown whether multiple strategies work in a realÃƒÂ¢Ã¢â€šÂ¬Ã‚Âworld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upÃƒÂ¢Ã¢â€šÂ¬Ã‚ÂtoÃƒÂ¢Ã¢â€šÂ¬Ã‚Âdate is this evidence? The evidence is current to 25 April 2024.</t>
  </si>
  <si>
    <t>Peer-reviewed article evaluating implementation strategies.</t>
  </si>
  <si>
    <t>J6230</t>
  </si>
  <si>
    <t>Systematic Review of Outcome Measures in Pharmacologically Managed Chronic Pain: Informing a New Outcome Framework for Healthcare Provider-Led Pharmacotherapy Services</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</si>
  <si>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Ãƒâ€šÃ‚Â© 2025 The Author(s). Journal of Evaluation in Clinical Practice published by John Wiley &amp; Sons Ltd.</t>
  </si>
  <si>
    <t>Peer-reviewed systematic review in a reputable journal</t>
  </si>
  <si>
    <t>J6233</t>
  </si>
  <si>
    <t>Neoadjuvant chemotherapy before surgery versus surgery followed by chemotherapy for initial treatment in advanced epithelial ovarian cancer</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</si>
  <si>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platinumÃƒÂ¢Ã¢â€šÂ¬Ã‚Âbased chemotherapy before cytoreductive surgery with platinumÃƒÂ¢Ã¢â€šÂ¬Ã‚Âbased chemotherapy following cytoreductive surgery. Outcomes We extracted data on overall (OS) and progressionÃƒÂ¢Ã¢â€šÂ¬Ã‚Âfree survival (PFS), adverse events, surgically related mortality and morbidity, and quality of life outcomes. Risk of bias We used the Cochrane RoB 1 tool to assess risk of bias in RCTs. Synthesis methods We conducted metaÃƒÂ¢Ã¢â€šÂ¬Ã‚Âanalyses using randomÃƒÂ¢Ã¢â€šÂ¬Ã‚Âeffects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deÃƒÂ¢Ã¢â€šÂ¬Ã‚Âduplication),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metaÃƒÂ¢Ã¢â€šÂ¬Ã‚Âanalyses (1692 participants). Synthesis of results Survival We found little or no difference between groups in OS (HR 0.96, 95% CI 0.86 to 1.08; P = 0.49; I 2 = 0%; 4 studies; 1692 women; highÃƒÂ¢Ã¢â€šÂ¬Ã‚Âcertainty evidence) and likely little or no difference between groups in PFS (HR 0.98, 95% CI 0.88 to 1.08; P = 0.62; I 2 = 0%; 4 studies; 1692 women; moderateÃƒÂ¢Ã¢â€šÂ¬Ã‚Âcertainty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highÃƒÂ¢Ã¢â€šÂ¬Ã‚Âcertainty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moderateÃƒÂ¢Ã¢â€šÂ¬Ã‚Âcertainty evidence). Organ resection NACT probably results in a large reduction in the need for stoma formation (5.8% in the NACT group versus 20.4% in the PCRS group) (RR 0.29, 95% CI 0.12 to 0.74; P = 0.009; I 2 = 70%; 2 studies; 632 women; moderateÃƒÂ¢Ã¢â€šÂ¬Ã‚Âcertainty evidence) and probably reduces the risk of needing bowel resection at the time of surgery (13.0% in the NACT group versus 26.6% in the PCRS group) (RR 0.47, 95% CI 0.27 to 0.81; P = 0.007; I 2 84%; 4 studies; 1578 women; moderateÃƒÂ¢Ã¢â€šÂ¬Ã‚Âcertainty evidence). Quality of life Global quality of life on the EORTC QLQÃƒÂ¢Ã¢â€šÂ¬Ã‚ÂC30 produced imprecise results in three studies, with high levels of heterogeneity (quality of life at six months: MD 6.62, 95% CI ÃƒÂ¢Ã‹â€ Ã¢â‚¬â„¢2.89 to 16.13; P = 0.17; I 2 = 92%; 3 studies; 559 women; lowÃƒÂ¢Ã¢â€šÂ¬Ã‚Âcertainty evidence). Overall, functional and symptom scores may be slightly improved for NACT at 6 months, but similar by 12 months, although the differences might not be clinically meaningful. Authors' conclusions The available highÃƒÂ¢Ã¢â€šÂ¬Ã‚Â to moderateÃƒÂ¢Ã¢â€šÂ¬Ã‚Âcertainty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platinumÃƒÂ¢Ã¢â€šÂ¬Ã‚Âbased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upÃƒÂ¢Ã¢â€šÂ¬Ã‚ÂtoÃƒÂ¢Ã¢â€šÂ¬Ã‚Âdate is the evidence? The evidence is current to 21 March 2024.</t>
  </si>
  <si>
    <t>Peer-reviewed article from a reputable source.</t>
  </si>
  <si>
    <t>J6234</t>
  </si>
  <si>
    <t>Protocol for a feasibility randomised controlled trial of the OUTDOOR mobility intervention for older adults after hip fracture</t>
  </si>
  <si>
    <t>Introduction: A high proportion of patients do not regain outdoor mobility after hip-fracture. Rehabilitation explicitly targeting outdoor mobility is needed to enable older adults to resume activities that they value most. The aim of this study is to determine the feasibility of a randomised, controlled trial intended to assess the clinical and cost-effectiveness of an intervention enabling recovery of outdoor mobility post hip-fracture (the OUTDOOR intervention). Method(s): OUTDOOR is a multi-centre, parallel group, randomised, controlled, feasibility trial. Adults 60 years and older, admitted to hospital and planned discharge to home; with self-reported outdoor mobility three-months pre-fracture, surgically treated for hip fracture, who are able to consent and participate, are eligible. Individuals requiring two or more people to support mobility upon discharge are excluded. Screening and consent (or consent to contact) will take place in hospital. Baseline assessment and randomisation will follow discharge. Participants will receive usual care (physiotherapy, occupational therapy), or usual care plus the OUTDOOR intervention. OUTDOOR intervention includes a goal-orientated outdoor mobility programme, therapist-led motivational dialogue supported by a past-patient led videos sharing recovery experiences; and support to transition to independent recovery. Terapists delivering the OUTDOOR intervention will receive training in motivational interviewing, and behaviour change techniques. Patient reported outcome measures-health-related quality of life, daily activities, pain, community mobility, falls related self-efficacy, resource use, and readmission; will be collected at baseline, 6-weeks, 12-weeks, and 6-months (if enrolled early in the trial) post-randomisation. Exercise adherence and intervention acceptability will be collected. Subset of 20 participants will support accelerometery data collection for 10 days at each time point. Trial received approval from East of England-Essex Research Ethics Committee (REF: 23/EE/0246) and the Health Research Authority. Findings will be disseminated to patients, the public, health professionals and researchers through publications, presentations, and social media.</t>
  </si>
  <si>
    <t>J6235</t>
  </si>
  <si>
    <t>Protocol for an economic evaluation alongside a natural experiment to evaluate the impact of later trading hours for bars and clubs in the night-time economy in Scotland: The ELEPHANT study</t>
  </si>
  <si>
    <t>Introduction The night-time economy comprises various sectors, including hospitality, transportation and entertainment, which generate substantial revenues and contribute to employment opportunities. Furthermore, the night-time economy provides spaces for leisure activities, cultural expression and social interaction. On-trade alcohol premises (places where consumers can buy and consume alcohol such as bars, pubs, clubs and restaurants) are a significant component of this night-time economy, functioning as focal points for socialising, entertainment and cultural events. However, when on-trade alcohol premises stay open later at night, this can be associated with negative public health impacts including increased alcohol consumption, intoxication, assaults, injuries and burden on public services including ambulance call outs, hospitalisations and increased impacts on criminal justice services. The evidence on the societal impact of policies to 'later' trading hours for bars and clubs in the night-time economy is limited. This protocol details the design of an economic evaluation of policy to later trading hours for bars and clubs in the night-time economy alongside the ELEPHANT study (National Institute for Health and Care Research (NIHR) Public Health Research, ref:129885). Methods and analysis The research design is an economic evaluation alongside a natural experiment within the ELEPHANT study carried out in Glasgow and Aberdeen. The economic evaluation has been designed to identify, measure and value prospective resource impacts and outcomes to assess the costs and consequences of local policy changes regarding late night trading hours for bars and clubs. A number of economic evaluation frameworks will be employed. A cost-effectiveness analysis (CEA) is appropriate for assessing the effectiveness of complex interventions when the impacts of policy are measured in natural units. Therefore, a CEA will be conducted for the primary consequence, alcohol-related ambulance call-outs, using a health service sector perspective. Since this outcome is essentially a cost, the CEA will also be reported as a cost-analysis. A cost-consequence analysis will also be performed for the primary and secondary consequences including all ambulance call-outs and reported crimes to evaluate the full economic impacts of later trading hours for bars and clubs in the night-time economy. The analysis will be conducted from a wider societal perspective, including health sector, criminal justice system, business and third sector perspectives and will be in line with the recent National Institute for Health and Care Excellence guidance and recommendations. Ethics and dissemination The economic evaluation of the ELEPHANT study will be conducted using secondary data. Thus, no ethical approval is required for this economic evaluation. However, ethical approval for the ELEPHANT study has been granted from the University of Stirling's General Research Ethics Committee, and prior consent has also been obtained from the participants, if involved. The results of this study will be disseminated through peer-reviewed publications in journals and national and international conferences. Copyright Ãƒâ€šÃ‚Â© Author(s) (or their employer(s)) 2025.</t>
  </si>
  <si>
    <t>J6236</t>
  </si>
  <si>
    <t>Evaluating the Diagnostic Accuracy and Challenges of the Two-Week Wait Referral Pathway for Skin Cancers in Primary Care</t>
  </si>
  <si>
    <t>Skin cancers are among the most common cancers in the Western world, with incidence rates increasing significantly over time. Skin cancer survival rates are highly dependent upon early identification. In the United Kingdom (UK), initial assessment of skin lesions is carried out via general practitioners (GPs) who identify and refer suspected cases under the two-week pathway in compliance with the National Institute for Health and Care Excellence (NICE) guidelines. A major challenge in this pathway is the relatively low proportion of these referrals resulting in a skin cancer diagnosis. This retrospective study, conducted at a general practice encompassing 17,000 patients, evaluated the efficacy of primary care referral pathways for suspected skin malignancies and examined the key factors affecting diagnostic accuracy. The SystmOne patient database was used to identify referral letters for suspected skin cancers, including squamous cell carcinoma, basal cell carcinoma, and melanoma, in a period between September 8th, 2021, and July 28th, 2022. A total of 146 referral letters were reviewed, with 35 selected for further analysis. The study highlighted that only 13% of referrals resulted in a confirmed diagnosis of skin cancer, falling below the local audit standard of 50%. Additionally, while 74% of patients were seen by a dermatologist within the two-week timeframe, this did not meet the 100% standard set by NICE guidelines. These findings not only demonstrate the exponentially increasing burden placed on tertiary specialist services but also highlight the need for improved referral efficiency and diagnostic accuracy within primary care. The contributing factors identified include limited post-graduate dermatology training for GPs and the promotion of referrals for uncertain lesions. Proposed interventions to enhance referral pathways include the development of e-learning modules to improve GP education, the implementation of teledermatology and artificial intelligence services to effectively triage cases, and regular reviews of referral patterns by local primary care services. Through earlier and more targeted diagnosis, the suggested techniques may improve the effectiveness of the referral process and have the potential to improve outcomes for patients with suspected skin malignancies.</t>
  </si>
  <si>
    <t>Appears to be a peer-reviewed study, not a protocol or commentary.</t>
  </si>
  <si>
    <t>J6237</t>
  </si>
  <si>
    <t>Improving outcomes for people with autism spectrum disorders by reducing mental health problems: The iamhealth research programme including one rct</t>
  </si>
  <si>
    <t>&lt;b&gt;BACKGROUND&lt;/b&gt;: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caretakers._x000D_
&lt;b&gt;OBJECTIVE(S)&lt;/b&gt;: We aim to improve identification of mental health problems by developing a tool for clinical use, which can also be used to monitor treatment response._x000D_
&lt;b&gt;DESIGN&lt;/b&gt;: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testing._x000D_
&lt;b&gt;SETTING&lt;/b&gt;: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4)._x000D_
&lt;b&gt;PARTICIPANTS&lt;/b&gt;: Work package 1: 255 parents of autistic children/adolescent; work package 2: 19 autistic young adults; work package 3: QUEST cohort of 277 children; work package: 62 children._x000D_
&lt;b&gt;INTERVENTION&lt;/b&gt;: Predictive Parenting - a novel parent-mediated intervention._x000D_
&lt;b&gt;MAIN OUTCOME MEASURE&lt;/b&gt;: Work package 4: a blinded observational measure of child behaviours that challenge._x000D_
&lt;b&gt;RESULTS&lt;/b&gt;: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deliver._x000D_
&lt;b&gt;LIMITATIONS&lt;/b&gt;: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point._x000D_
&lt;b&gt;CONCLUSIONS&lt;/b&gt;: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problems._x000D_
&lt;b&gt;FUTURE WORK&lt;/b&gt;: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people._x000D_
&lt;b&gt;TRIAL REGISTRATION&lt;/b&gt;: This trial is registered as Current Controlled Trials ISRCTN91411078._x000D_
&lt;b&gt;FUNDING&lt;/b&gt;: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t>
  </si>
  <si>
    <t>J6238</t>
  </si>
  <si>
    <t>Physiotherapists' delivery of cognitive functional therapy in clinical practice: perceived facilitators and barriers from a socioecological perspective</t>
  </si>
  <si>
    <t>&lt;b&gt;PURPOSE&lt;/b&gt;: Cognitive functional therapy (CFT) is a person-centred biopsychosocial intervention for chronic low back pain, with large sustained clinical and economic benefits. This study explored the experiences of physiotherapists delivering CFT in their usual clinical practice after being trained to competency for the RESTORE clinical trial._x000D_
&lt;b&gt;MATERIALS AND METHODS&lt;/b&gt;: A qualitative study design was used. Fifteen primary care physiotherapists were interviewed (seven female, clinical experience 3-25 years). An inductive-deductive content analysis was used, including the Theoretical Domains Framework and socioecological model._x000D_
&lt;b&gt;RESULTS&lt;/b&gt;: Facilitators and barriers were identified within and between individual, micro (clinical interface), meso (health service), and macro (health system) levels. Physiotherapists reported feeling competent and skilled delivering CFT. At the microsystem, this was influenced by time and their evolving professional identity. At the mesosystem, social support within the clinical community and positive patient outcomes facilitated CFT, while disunity in pain management across the health system and inadequate remuneration were barriers. Societal beliefs about pain, shifts in professional identity, and funding models influenced delivery at the macrosystem._x000D_
&lt;b&gt;CONCLUSIONS&lt;/b&gt;: This study highlights multilevel facilitators and barriers that physiotherapists perceive when implementing CFT. Targeting these may help to optimise the implementation of this promising intervention, thereby contributing to better patient outcomes.</t>
  </si>
  <si>
    <t>Qualitative study in clinical practice, likely peer-reviewed.</t>
  </si>
  <si>
    <t>J6239</t>
  </si>
  <si>
    <t>216 The role of text message triage in assessing eligibility for lung cancer screening</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</si>
  <si>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Ãƒâ€šÃ‚Â© 2025 Elsevier Inc. All rights reserved.</t>
  </si>
  <si>
    <t>Peer-reviewed article in Elsevier journal</t>
  </si>
  <si>
    <t>J6240</t>
  </si>
  <si>
    <t>In vitro maturation in subfertile women with polycystic ovarian syndrome undergoing assisted reproduction</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</si>
  <si>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supraÃƒÂ¢Ã¢â€šÂ¬Ã‚Âphysiological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PCOSÃƒÂ¢Ã¢â€šÂ¬Ã‚Ârelated infertility involves earlier retrieval of immature oocytes at the germinalÃƒÂ¢Ã¢â€šÂ¬Ã‚Âvesicle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randomÃƒÂ¢Ã¢â€šÂ¬Ã‚Âeffects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lowÃƒÂ¢Ã¢â€šÂ¬Ã‚Âcertainty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highÃƒÂ¢Ã¢â€šÂ¬Ã‚Âcertainty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lowÃƒÂ¢Ã¢â€šÂ¬Ã‚Âcertainty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highÃƒÂ¢Ã¢â€šÂ¬Ã‚Âcertainty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IÃƒâ€šÃ‚Â² = 45%; 2 studies, 739 participants; moderateÃƒÂ¢Ã¢â€šÂ¬Ã‚Âcertainty evidence). As for congenital anomalies, one study reported no events, while another showed an uncertain effect of IVM (OR 0.33, 95% CI 0.01 to 8.24; 1 study, 351 participants; lowÃƒÂ¢Ã¢â€šÂ¬Ã‚Âcertainty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highÃƒÂ¢Ã¢â€šÂ¬Ã‚Âcertainty evidence shows that IVM increases miscarriage per clinical pregnancy and reduces the incidence of moderate or severe OHSS in women with PCOS compared to IVF after a GnRH antagonist protocol. Regarding the rest of the outcomes, lowÃƒÂ¢Ã¢â€šÂ¬Ã‚Â to moderateÃƒÂ¢Ã¢â€šÂ¬Ã‚Âcertainty evidence showed little to no difference in preterm birth and risk of congenital anomalies between the two modalities. We eagerly anticipate further evidence from highÃƒÂ¢Ã¢â€šÂ¬Ã‚Âquality trials in the field (we found five ongoing trials). Plain language summary What is the best therapy for women who produce too many eggs when having fertility treatment? Key messages ÃƒÂ¢Ã¢â€šÂ¬Ã¢â‚¬Å“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ÃƒÂ¢Ã¢â€šÂ¬Ã¢â‚¬Å“ In vitro maturation increases miscarriage and reduces ovarian hyperstimulation syndrome (painful condition where the ovaries produce too many eggs) in women with polycystic ovarian syndrome compared to in vitro fertilisation. ÃƒÂ¢Ã¢â€šÂ¬Ã¢â‚¬Å“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</si>
  <si>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J6241</t>
  </si>
  <si>
    <t>GonadotropinÃƒÂ¢Ã¢â€šÂ¬Ã‚Âreleasing hormone agonist protocols for pituitary suppression in assisted reproduction</t>
  </si>
  <si>
    <t>- Background GonadotropinÃƒÂ¢Ã¢â€šÂ¬Ã‚Âreleasing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IÃƒâ€šÃ‚Â² = 0%; 5 studies, 381 women; lowÃƒÂ¢Ã¢â€šÂ¬Ã‚Âcertainty evidence). For the same comparison, there was evidence that the long protocol may improve clinical pregnancy rates when compared to the short protocol (OR 1.56, 95% CI 1.01 to 2.40; IÃƒâ€šÃ‚Â² = 23%; 8 studies, 552 women; lowÃƒÂ¢Ã¢â€šÂ¬Ã‚Âcertainty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lowÃƒÂ¢Ã¢â€šÂ¬Ã‚Âcertainty evidence); long luteal versus long follicular phase (OR 1.89, 95% CI 0.87 to 4.10; 1 study, 223 women; very lowÃƒÂ¢Ã¢â€šÂ¬Ã‚Âcertainty evidence); GnRHa reducedÃƒÂ¢Ã¢â€šÂ¬Ã‚Âdose versus GnRHa sameÃƒÂ¢Ã¢â€šÂ¬Ã‚Âdose continued in the long protocol (OR 1.59, 95% CI 0.66 to 3.87; 1 study, 96 women; very lowÃƒÂ¢Ã¢â€šÂ¬Ã‚Âcertainty evidence); GnRHa administration for two versus three weeks before stimulation (OR 0.88, 95% CI 0.37 to 2.05; 1 study, 85 women; very lowÃƒÂ¢Ã¢â€šÂ¬Ã‚Âcertainty evidence); GnRHa continued versus discontinued after human chorionic gonadotropin (HCG) administration in the long protocol (OR 0.89, 95% CI 0.49 to 1.64; 1 study, 181 women; very lowÃƒÂ¢Ã¢â€šÂ¬Ã‚Âcertainty evidence); and 500 Ãƒâ€šÃ‚Âµg dose versus 80 Ãƒâ€šÃ‚Âµg dose in the short protocol (OR 0.31, 95% CI 0.10 to 0.98; 1 study, 200 women; very lowÃƒÂ¢Ã¢â€šÂ¬Ã‚Âcertainty evidence). Clinical pregnancy rates may improve with a 100 Ãƒâ€šÃ‚Âµg dose compared to a 25 Ãƒâ€šÃ‚Âµg dose in the short protocol (OR 2.30, 95% CI 1.06 to 5.00; 2 studies, 133 women; lowÃƒÂ¢Ã¢â€šÂ¬Ã‚Âcertainty evidence). Only four of the 40 included studies reported adverse events. We are uncertain of any difference in OHSS rate in the GnRHa reducedÃƒÂ¢Ã¢â€šÂ¬Ã‚Âdose versus GnRHa sameÃƒÂ¢Ã¢â€šÂ¬Ã‚Âdose regimen in the long protocol (OR 0.47, 95% CI 0.04 to 5.35 1 study, 96 women; very lowÃƒÂ¢Ã¢â€šÂ¬Ã‚Âcertainty evidence) or when administration of GnRHa lasted for two versus three weeks before stimulation (OR 0.93, 95% CI 0.06 to 15.37; 1 study, 85 women; very lowÃƒÂ¢Ã¢â€šÂ¬Ã‚Âcertainty evidence). Regarding miscarriage rates, we are uncertain of any difference when the GnRHa long protocol was administered for two versus three weeks before stimulation (OR 0.93, 95% CI 0.18 to 4.87; 1 study, 85 women; very lowÃƒÂ¢Ã¢â€šÂ¬Ã‚Âcertainty evidence) and when a 500 Ãƒâ€šÃ‚Âµg dose was compared with an 80 Ãƒâ€šÃ‚Âµg dose in the short protocol (OR 3.15, 95% CI 0.32 to 31.05; 1 study, 131 women; very lowÃƒÂ¢Ã¢â€šÂ¬Ã‚Âcertainty evidence). No studies reported on costÃƒÂ¢Ã¢â€šÂ¬Ã‚Âeffectiveness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costÃƒÂ¢Ã¢â€šÂ¬Ã‚Âeffectiveness and acceptability of the different treatment protocols. Plain language summary Which hormone (GnRHa) medications work best with ovarian stimulation hormones in assisted conception cycles? Key messages ÃƒÂ¢Ã¢â€šÂ¬Ã‚Â¢ When comparing long versus short gonadotropinÃƒÂ¢Ã¢â€šÂ¬Ã‚Âreleasing hormone agonists (GnRHa) treatment, there was little to no difference between groups for live birth and ongoing pregnancy rates, but the long treatment may result in a higher clinical pregnancy rate (where the foetus can be seen or heard). ÃƒÂ¢Ã¢â€šÂ¬Ã‚Â¢ We are uncertain if there is any difference in live birth and clinical pregnancy rates for the other comparisons studied, except for the comparison 100 Ãƒâ€šÃ‚Âµg dose versus 25 Ãƒâ€šÃ‚Âµg dose in a short treatment, which showed that clinical pregnancy may improve with a 100 Ãƒâ€šÃ‚Âµg dose. ÃƒÂ¢Ã¢â€šÂ¬Ã‚Â¢ Further research is needed to look at the costÃƒÂ¢Ã¢â€šÂ¬Ã‚Âeffectiveness and acceptability of the different treatments. What did we want to find out? GonadotropinÃƒÂ¢Ã¢â€šÂ¬Ã‚Âreleasing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Ãƒâ€šÃ‚Âµg dose versus 25 Ãƒâ€šÃ‚Âµg dose in a short treatment, which showed that clinical pregnancy may improve with a 100 Ãƒâ€šÃ‚Âµg dose. We are uncertain if there is any difference in OHSS rates and pregnancy loss, which were reported by only two studies each. There was not enough evidence to reach any conclusions regarding other harmful effects. Further research is needed to look at the costÃƒÂ¢Ã¢â€šÂ¬Ã‚Âeffectiveness and acceptability of the different treatments. What are the limitations of the evidence? We have low to very low confidence in the evidence. The main limitations in the evidence were nonÃƒÂ¢Ã¢â€šÂ¬Ã‚Âreporting of live birth or ongoing pregnancy in half of the studies, poor reporting of study methods, unclear findings, very few studies reporting on unwanted effects such as OHSS, and lack of data regarding other harmful events, costÃƒÂ¢Ã¢â€šÂ¬Ã‚Âeffectiveness, and acceptability of the treatments. Only eight of the 40 included studies were conducted within the last 10 years. How upÃƒÂ¢Ã¢â€šÂ¬Ã‚ÂtoÃƒÂ¢Ã¢â€šÂ¬Ã‚Âdate is this evidence? The evidence is current to December 2022.</t>
  </si>
  <si>
    <t>J6242</t>
  </si>
  <si>
    <t>Cost-effective and Green renal failure care - Hope or Reality : A proof of concept study</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</si>
  <si>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Ãƒâ€šÃ‚Â© 2024</t>
  </si>
  <si>
    <t>Peer-reviewed article on a proof of concept study.</t>
  </si>
  <si>
    <t>J6243</t>
  </si>
  <si>
    <t>Clinical Pharmacist and Clinical Nurse Specialist led medicine optimisation and medication adherence via eArly identifiCation advanCed gEriatric aSsesSment (ACCESS) tool in Senior Adult Oncology Programme (SAOP)</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</si>
  <si>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Ãƒâ€šÃ‚Â© The Author(s), under exclusive licence to Springer Nature Switzerland AG 2025.</t>
  </si>
  <si>
    <t>J6244</t>
  </si>
  <si>
    <t>Pain management training for people with persistent pain and their informal carers (JOINT SUPPORT): Multicentre randomised controlled feasibility trial with embedded qualitative study in English musculoskeletal services</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</si>
  <si>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Ãƒâ€šÃ‚Â© Author(s) (or their employer(s)) 2025.</t>
  </si>
  <si>
    <t>Feasibility trial with results, not a protocol or commentary</t>
  </si>
  <si>
    <t>J6245</t>
  </si>
  <si>
    <t>A qualitative analysis of Allied Health Professions views on the benefits, challenges and evaluation of digital health interventions</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</si>
  <si>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Ãƒâ€šÃ‚Â© 2025</t>
  </si>
  <si>
    <t>J6246</t>
  </si>
  <si>
    <t>StakeholdersÃƒÂ¢Ã¢â€šÂ¬Ã¢â€žÂ¢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</si>
  <si>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allÃƒÂ¢Ã¢â€šÂ¬Ã‚Âcause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KrogsbÃƒÆ’Ã‚Â¸ll and colleagues. Search methods We searched MEDLINE (Ovid) and CINAHL (EBSCO) and conducted citationÃƒÂ¢Ã¢â€šÂ¬Ã‚Âbased searches (e.g. reference lists, effectiveness reviewÃƒÂ¢Ã¢â€šÂ¬Ã‚Âassociated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GRADEÃƒÂ¢Ã¢â€šÂ¬Ã‚ÂCERQual (Confidence in the Evidence from Reviews of Qualitative Research) approach to assess our confidence in each finding. Main results One hundred and fortyÃƒÂ¢Ã¢â€šÂ¬Ã‚Âsix studies met the inclusion criteria, and we sampled 36 of these for our analysis. While most of the studies were set in highÃƒÂ¢Ã¢â€šÂ¬Ã‚Âincome countries in Europe, nearly a third (11/36) were set in culturally diverse middleÃƒÂ¢Ã¢â€šÂ¬Ã‚Âincome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clientÃƒÂ¢Ã¢â€šÂ¬Ã¢â€žÂ¢s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symptomÃƒÂ¢Ã¢â€šÂ¬Ã‚Âbased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clientsÃƒÂ¢Ã¢â€šÂ¬Ã¢â€žÂ¢ decisionÃƒÂ¢Ã¢â€šÂ¬Ã‚Âmaking.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deÃƒÂ¢Ã¢â€šÂ¬Ã‚Âimplementation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ÃƒÂ¢Ã¢â€šÂ¬Ã‚Â¢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ÃƒÂ¢Ã¢â€šÂ¬Ã‚Â¢ We found less information about healthcare funders and providers, so we do not fully understand what drives their decisions about funding or delivering general health checks. ÃƒÂ¢Ã¢â€šÂ¬Ã‚Â¢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policyÃƒÂ¢Ã¢â€šÂ¬Ã‚Âmakers, healthcare managers and providers, and clients to fund, provide and attend general health checks. What did we do? We searched for studies where policyÃƒÂ¢Ã¢â€šÂ¬Ã‚Âmakers, healthcare managers, healthcare providers and clients shared their views and experiences. We evaluated the quality of each study individually and summarised the findings. What did we find? We found 146 studies, and selected 36 of them to analyse. Most studies took place in highÃƒÂ¢Ã¢â€šÂ¬Ã‚Âincome European countries, with a third from middleÃƒÂ¢Ã¢â€šÂ¬Ã‚Âincome countries in Eastern Europe, South and Southeast Asia, and Latin America. Most clients, healthcare providers and policyÃƒÂ¢Ã¢â€šÂ¬Ã‚Âmakers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ÃƒÂ¢Ã¢â€šÂ¬Ã‚Â¢ ClientsÃƒÂ¢Ã¢â€šÂ¬Ã¢â€žÂ¢ perceptions of the disease, prevention and risk affect uptake. ÃƒÂ¢Ã¢â€šÂ¬Ã‚Â¢ Both healthcare providers and clients believe that people who provide general health checks need to be skilled and understand the clients' culture. 2. We have moderate confidence in the evidence of the following findings. ÃƒÂ¢Ã¢â€šÂ¬Ã‚Â¢ Many clients see general health checks as a way to get an objective health assessment, reassurance from health professionals and motivation for healthier living. ÃƒÂ¢Ã¢â€šÂ¬Ã‚Â¢ Clients who fear bad results or who only seek care when they have symptoms are less likely to attend. ÃƒÂ¢Ã¢â€šÂ¬Ã‚Â¢ Some clients feel a duty to their families or society to attend health checks, believing it helps maintain or improve their health. ÃƒÂ¢Ã¢â€šÂ¬Ã‚Â¢ Interaction with healthcare providers can either encourage or discourage attendance. ÃƒÂ¢Ã¢â€šÂ¬Ã‚Â¢ Availability, accessibility and clear information are crucial in clients' decisionÃƒÂ¢Ã¢â€šÂ¬Ã‚Âmaking process. ÃƒÂ¢Ã¢â€šÂ¬Ã‚Â¢ Factors like time, money and health insurance affect whether people attend. ÃƒÂ¢Ã¢â€šÂ¬Ã‚Â¢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ÃƒÂ¢Ã¢â€šÂ¬Ã‚Â¢ Healthcare funders, managers, providers and clients have different views on how beneficial general health checks actually are. ÃƒÂ¢Ã¢â€šÂ¬Ã‚Â¢ Healthcare providers and clients feel that raising awareness of general health checks, including their benefits and risks, requires clear information, effective invitation systems and educational efforts. 3. We have low or very low confidence in the following findings. ÃƒÂ¢Ã¢â€šÂ¬Ã‚Â¢ Clients prefer a broad range of tests, while healthcare providers favour more tailored testing, based on the person's needs. ÃƒÂ¢Ã¢â€šÂ¬Ã‚Â¢ For clients, clear explanations of test results and recommendations are important. Everyone agrees that followÃƒÂ¢Ã¢â€šÂ¬Ã‚Âup care is essential to make general health checks meaningful. ÃƒÂ¢Ã¢â€šÂ¬Ã‚Â¢ Clients report that cultural background, social norms, religion, gender and language shape how people perceive prevention and disease, which influences their decision to attend general health checks. ÃƒÂ¢Ã¢â€šÂ¬Ã‚Â¢ PolicyÃƒÂ¢Ã¢â€šÂ¬Ã‚Âmakers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upÃƒÂ¢Ã¢â€šÂ¬Ã‚ÂtoÃƒÂ¢Ã¢â€šÂ¬Ã‚Âdate is this evidence? We searched for studies in January 2022 and August 2022. The studies that we analysed were published between 1995 and 2021.</t>
  </si>
  <si>
    <t>Qualitative evidence synthesis in peer-reviewed journal.</t>
  </si>
  <si>
    <t>J6247</t>
  </si>
  <si>
    <t>Exploring the potential cost-effectiveness and societal burden implications of screening for fracture risk in a UK general radiography setting</t>
  </si>
  <si>
    <t>J6248</t>
  </si>
  <si>
    <t>On the Cusp-A Questionnaire-Based Assessment of Implementing PIVOTAL Into UK Practice</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</si>
  <si>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Ãƒâ€šÃ‚Â© 2025 Wiley Periodicals LLC.</t>
  </si>
  <si>
    <t>J6249</t>
  </si>
  <si>
    <t>Economic Burden and Cost-Effectiveness of Management of Non-Infectious Uveitis: A Systematic Review</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</si>
  <si>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Ãƒâ€šÃ‚Â© 2025 Taylor &amp; Francis Group, LLC.</t>
  </si>
  <si>
    <t>Peer-reviewed systematic review article</t>
  </si>
  <si>
    <t>J6252</t>
  </si>
  <si>
    <t>Design and Rationale of 'A pragmatic approach to the investigation of stable chest pain: a UK, multi-centre, randomised trial to assess patient outcomes, quality of life and cost effectiveness (CE-MARC 3)'</t>
  </si>
  <si>
    <t>&lt;b&gt;RATIONALE&lt;/b&gt;: The optimal non-invasive diagnostic imaging strategy for patients with suspected coronary artery disease (CAD) is widely debated. Computed Tomography Coronary Angiography (CTCA) and functional imaging are both guideline-recommended, although comparative effectiveness in patients with intermediate-high pre-test likelihood (PTL) is limited. Primary Hypothesis: We aim to establish if a personalised investigation strategy compared to CTCA first-line for allcomers, leads to improved patient outcomes._x000D_
&lt;b&gt;DESIGN&lt;/b&gt;: In a multi-centre, randomised trial, 4,000 patients newly referred for the investigation of suspected cardiac chest pain will be recruited and randomised (1:1) to either personalised care (first-line CTCA or functional imaging based on PTL) or CTCA first-line for allcomers. The primary endpoint is time to a composite of cardiovascular death, myocardial infarction, or unobstructed coronary arteries on invasive angiography. Follow up will occur at 6 and 12 months and then annually for up to four years for symptoms, quality of life, and guideline directed medical therapy usage. A cost-effectiveness analysis will be performed capturing impacts on health, measured in quality adjusted life years (QALYs) using the EQ-5D-5L, and costs (including investigations, procedures, procedural complications, medical treatment costs and any future hospital admissions) calculated. It will be possible for the whole trial pathway to be conducted remotely with the option to perform non-face-to-face consent, randomisation, and follow-up data collection including health-related quality of life._x000D_
&lt;b&gt;SITES&lt;/b&gt;: 20 UK sites ENROLMENT: First site opened April 2022 and recruitment is due to complete by July 2025, with an average recruitment of 135 patients a month to date._x000D_
&lt;b&gt;CURRENT STATUS&lt;/b&gt;: 3,407 patients recruited and randomised by the end of February 2025 CONCLUSION: This trial will address whether, in patients with suspected cardiac chest pain, a strategy of personalised investigation according to pre-test likelihood (PTL), compared to CTCA for allcomers, leads to improved patient outcomes, quality of life and cost-effectiveness.</t>
  </si>
  <si>
    <t>J6254</t>
  </si>
  <si>
    <t>Financial Rewards for Smoking Cessation during Pregnancy and Birth Weight: A Meta-Analysis</t>
  </si>
  <si>
    <t>Importance  Offering pregnant women financial rewards to stop smoking is associated with a more than 2-fold increase in smoking cessation and is cost-effective; however, it is possible that the association is the result of gaming of the outcome measure (eg, not smoking for 24 hours before outcome measurement using a carbon monoxide breath test). Birth weight is an outcome measure that is independent of the rewards process.</t>
  </si>
  <si>
    <t>Appears to be a peer-reviewed meta-analysis.</t>
  </si>
  <si>
    <t>J6255</t>
  </si>
  <si>
    <t>Impact and effect of imaging referral guidelines on patients and radiology services: a systematic review</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</si>
  <si>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Ãƒâ€šÃ‚Â© The Author(s) 2024.</t>
  </si>
  <si>
    <t>Systematic review likely peer-reviewed, not a protocol or commentary</t>
  </si>
  <si>
    <t>J6256</t>
  </si>
  <si>
    <t>Identifying and Predicting Risk for Hospital Admission among Patients with Parkinsonism</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</si>
  <si>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Ãƒâ€šÃ‚Â© 2024 The Author(s). Movement Disorders Clinical Practice published by Wiley Periodicals LLC on behalf of International Parkinson and Movement Disorder Society.</t>
  </si>
  <si>
    <t>J6257</t>
  </si>
  <si>
    <t>Interventions to reduce nonÃƒÂ¢Ã¢â€šÂ¬Ã‚Âprescription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</si>
  <si>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'nonÃƒÂ¢Ã¢â€šÂ¬Ã‚Âprescription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nonÃƒÂ¢Ã¢â€šÂ¬Ã‚Âprescription antimicrobial sales in the community setting. Objectives To assess the effects of interventions for reducing nonÃƒÂ¢Ã¢â€šÂ¬Ã‚Âprescription antimicrobial sales by pharmacists and nonÃƒÂ¢Ã¢â€šÂ¬Ã‚Âpharmacists in community pharmacies, drugstores, and other medicine outlets. To assess whether the effects of interventions differ according to types of interventions (single or multicomponent), community pharmacy personnel (pharmacists or nonÃƒÂ¢Ã¢â€šÂ¬Ã‚Âpharmacists), and countries (low to lowerÃƒÂ¢Ã¢â€šÂ¬Ã‚ÂmiddleÃƒÂ¢Ã¢â€šÂ¬Ã‚Âincome and upperÃƒÂ¢Ã¢â€šÂ¬Ã‚Âmiddle to high income). Search methods We searched five databases, including CENTRAL, MEDLINE, and Embase, and two trial registers to 26 September 2022. We also conducted reference checking and citation searches. Selection criteria We included randomized trials, clusterÃƒÂ¢Ã¢â€šÂ¬Ã‚Ârandomized trials, and quasiÃƒÂ¢Ã¢â€šÂ¬Ã‚Ârandomized trials evaluating interventions targeted at pharmacists and nonÃƒÂ¢Ã¢â€šÂ¬Ã‚Âpharmacists in community pharmacies, drugstores, and other medicine outlets. Our primary outcomes were nonÃƒÂ¢Ã¢â€šÂ¬Ã‚Âprescription antimicrobial sales, symptomatic or asymptomatic infections caused by antimicrobialÃƒÂ¢Ã¢â€šÂ¬Ã‚Âresistant pathogens among pharmacy clients or community residents, and adverse events associated with nonÃƒÂ¢Ã¢â€šÂ¬Ã‚Âprescription antimicrobial drug use in pharmacy clients. Our secondary outcomes were history taking and provision of advice to pharmacy clients, and knowledge of pharmacists and nonÃƒÂ¢Ã¢â€šÂ¬Ã‚Âpharmacists.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nonÃƒÂ¢Ã¢â€šÂ¬Ã‚Âpharmacists. One study conducted in Scotland was a fourÃƒÂ¢Ã¢â€šÂ¬Ã‚Âarm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peerÃƒÂ¢Ã¢â€šÂ¬Ã‚Âmonitoring) with a control of no intervention. Only nonÃƒÂ¢Ã¢â€šÂ¬Ã‚Âprescription antimicrobial sales, history taking and provision of advice to pharmacy clients, and knowledge of pharmacists and nonÃƒÂ¢Ã¢â€šÂ¬Ã‚Âpharmacists were assessed in the included studies; no study assessed other outcomes. We judged the overall risk of bias for nonÃƒÂ¢Ã¢â€šÂ¬Ã‚Âprescription antimicrobial sales to be high risk and for the other two outcomes to be some concerns. One study conducted in Scotland assessed singleÃƒÂ¢Ã¢â€šÂ¬Ã‚Âcomponent interventions (in two intervention arms) versus a control of written guidelines, and reported one primary outcome and one secondary outcome. NonÃƒÂ¢Ã¢â€šÂ¬Ã‚Âprescription antimicrobial sales: the study reported the sale or nonÃƒÂ¢Ã¢â€šÂ¬Ã‚Âsale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nonÃƒÂ¢Ã¢â€šÂ¬Ã‚Âpharmacists: the study reported knowledge scores at baseline and followÃƒÂ¢Ã¢â€šÂ¬Ã‚Âup, but did not compare the scores between t o singleÃƒÂ¢Ã¢â€šÂ¬Ã‚Âcomponent intervention arms and the control arm at both time points. Four studies assessed multicomponent interventions versus a control of written guidelines or no intervention, and reported one primary outcome and two secondary outcomes. NonÃƒÂ¢Ã¢â€šÂ¬Ã‚Âprescription antimicrobial sales: two studies conducted in Uganda, Thailand, and Vietnam involving 337 randomized community pharmacies and drugstores reported the proportion of nonÃƒÂ¢Ã¢â€šÂ¬Ã‚Âprescription antimicrobial sales to the total number of requests using a simulated client method. Based on vote counting, both studies favored the intervention, that is multicomponent interventions reduced the sales of nonÃƒÂ¢Ã¢â€šÂ¬Ã‚Âprescription antimicrobial drugs by pharmacists and nonÃƒÂ¢Ã¢â€šÂ¬Ã‚Âpharmacists. The information in the other two studies was inadequate to address this primary outcome. One study in Portugal reported that total antibiotic consumption at the municipal level (comprising both prescribed and nonÃƒÂ¢Ã¢â€šÂ¬Ã‚Âprescribed antibiotic sales) was reduced after a multicomponent intervention. The study conducted in Scotland assessed a multicomponent intervention (in one intervention arm) and reported the sale or nonÃƒÂ¢Ã¢â€šÂ¬Ã‚Âsale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nonÃƒÂ¢Ã¢â€šÂ¬Ã‚Âpharmacists in the intervention groups, while Uganda reported a paradoxical decline. Knowledge of pharmacists and nonÃƒÂ¢Ã¢â€šÂ¬Ã‚Âpharmacists: the study conducted in Scotland reported knowledge scores at baseline and followÃƒÂ¢Ã¢â€šÂ¬Ã‚Âup, but did not compare the scores between the multicomponent intervention arm and control arm at both time points. Authors' conclusions No firm conclusions can be drawn about the effects of singleÃƒÂ¢Ã¢â€šÂ¬Ã‚Âcomponent interventions due to limited evidence. Multicomponent interventions may not reduce the sales of nonÃƒÂ¢Ã¢â€šÂ¬Ã‚Âprescription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ÃƒÂ¢Ã¢â€šÂ¬Ã‚Â¢ There is no clear evidence that the singleÃƒÂ¢Ã¢â€šÂ¬Ã‚Âcomponent interventions targeted at pharmacists and nonÃƒÂ¢Ã¢â€šÂ¬Ã‚Âpharmacists in community pharmacies and drugstores are effective. ÃƒÂ¢Ã¢â€šÂ¬Ã‚Â¢ When multicomponent interventions are used, the sale of antimicrobial drugs without a prescription may not be reduced, but we are very uncertain about the results. ÃƒÂ¢Ã¢â€šÂ¬Ã‚Â¢ BetterÃƒÂ¢Ã¢â€šÂ¬Ã‚Âquality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doctorÃƒÂ¢Ã¢â€šÂ¬Ã¢â€žÂ¢s prescription, but some pharmacists and nonÃƒÂ¢Ã¢â€šÂ¬Ã‚Âpharmacists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nonÃƒÂ¢Ã¢â€šÂ¬Ã‚Âp armacists reduce the sale of antimicrobial drugs without a prescription in countries where laws do not permit the sale of antimicrobial drugs without a prescription. What did we want to find out? In this review we looked at whether interventions that target pharmacists and nonÃƒÂ¢Ã¢â€šÂ¬Ã‚Âpharmacists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peerÃƒÂ¢Ã¢â€šÂ¬Ã‚Âmonitoring for reducing the sales of antimicrobial drugs without a prescription by pharmacists and nonÃƒÂ¢Ã¢â€šÂ¬Ã‚Âpharmacists.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nonÃƒÂ¢Ã¢â€šÂ¬Ã‚Âpharmacists, and peerÃƒÂ¢Ã¢â€šÂ¬Ã‚Âmonitoring on antimicrobial drug sales. When pharmacists and nonÃƒÂ¢Ã¢â€šÂ¬Ã‚Âpharmacists in community pharmacies and drugstores received more than one intervention component, the number of sales of antimicrobial drugs without a prescription may not be reduced, but we are very uncertain about the results. No studies measured drugÃƒÂ¢Ã¢â€šÂ¬Ã‚Âresistant infections or unwanted effects of antimicrobial drugs in pharmacy users. Further studies on this topic are needed, particularly looking at the effects of singleÃƒÂ¢Ã¢â€šÂ¬Ã‚Âcomponent interventions. How upÃƒÂ¢Ã¢â€šÂ¬Ã‚ÂtoÃƒÂ¢Ã¢â€šÂ¬Ã‚Âdate is this review? The evidence is current to September 2022.</t>
  </si>
  <si>
    <t>J6259</t>
  </si>
  <si>
    <t>Using routine primary care data in research: (in)efficient case studies and perspectives from the Asthma UK Centre for Applied Research</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</si>
  <si>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Ãƒâ€šÃ‚Â© Author(s) (or their employer(s)) 2025. Re-use permitted under CC BY-NC. No commercial re-use. See rights and permissions. Published by BMJ Group.</t>
  </si>
  <si>
    <t>Peer-reviewed article in BMJ Group journal.</t>
  </si>
  <si>
    <t>J6260</t>
  </si>
  <si>
    <t>Patient screening and assessment for home dialysis therapies: A scoping review</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</si>
  <si>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Ãƒâ€šÃ‚Â© The Author(s) 2024.</t>
  </si>
  <si>
    <t>Peer-reviewed scoping review article.</t>
  </si>
  <si>
    <t>J6261</t>
  </si>
  <si>
    <t>Physical rehabilitation approaches for the recovery of function and mobility following stroke</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</si>
  <si>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coÃƒÂ¢Ã¢â€šÂ¬Ã‚Âproduce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preÃƒÂ¢Ã¢â€šÂ¬Ã‚Âdefined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metaÃƒÂ¢Ã¢â€šÂ¬Ã‚Âanalyses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lowÃƒÂ¢Ã¢â€šÂ¬Ã‚Âcertainty evidence) and motor function (SMD 1.01, 95% CI 0.80 to 1.22; 50 studies, 5669 participants; lowÃƒÂ¢Ã¢â€šÂ¬Ã‚Âcertainty evidence). There was evidence of longÃƒÂ¢Ã¢â€šÂ¬Ã‚Âterm benefits for these outcomes. Physical rehabilitation may improve balance (MD 4.54, 95% CI 1.36 to 7.72; 9 studies, 452 participants; lowÃƒÂ¢Ã¢â€šÂ¬Ã‚Âcertainty evidence) and likely improves gait velocity (SMD 0.23, 95% CI 0.05 to 0.42; 18 studies, 1131 participants; moderateÃƒÂ¢Ã¢â€šÂ¬Ã‚Âcertainty evidence), but with no evidence of longÃƒÂ¢Ã¢â€šÂ¬Ã‚Âterm benefits. Is physical rehabilitation more effective than attention control? The evidence is very uncertain about the effects of physical rehabilitation, as compared to attention control, on IADL (SMD 0.91, 95% CI 0.06 to 1.75; 2 studies, 106 participants), motor function (SMD 0.13, 95% CI ÃƒÂ¢Ã¢â€šÂ¬Ã‚Â0.13 to 0.38; 5 studies, 237 participants), and balance (MD 6.61, 95% CI ÃƒÂ¢Ã¢â€šÂ¬Ã‚Â0.45 to 13.66; 4 studies, 240 participants). Physical rehabilitation likely improves gait speed when compared to attention control (SMD 0.34, 95% CI 0.14 to 0.54; 7 studies, 405 participants; moderateÃƒÂ¢Ã¢â€šÂ¬Ã‚Âcertainty evidence). Does additional physical rehabilitation improve outcomes? Additional physical rehabilitation may improve IADL (SMD 1.26, 95% CI 0.82 to 1.71; 21 studies, 1972 participants; lowÃƒÂ¢Ã¢â€šÂ¬Ã‚Âcertainty evidence) and motor function (SMD 0.69, 95% CI 0.46 to 0.92; 22 studies, 1965 participants; lowÃƒÂ¢Ã¢â€šÂ¬Ã‚Âcertainty evidence). Very few studies assessed these outcomes at longÃƒÂ¢Ã¢â€šÂ¬Ã‚Âterm followÃƒÂ¢Ã¢â€šÂ¬Ã‚Âup. Additional physical rehabilitation may improve balance (MD 5.74, 95% CI 3.78 to 7.71; 15 studies, 795 participants; lowÃƒÂ¢Ã¢â€šÂ¬Ã‚Âcertainty evidence) and gait velocity (SMD 0.59, 95% CI 0.26 to 0.91; 19 studies, 1004 participants; lowÃƒÂ¢Ã¢â€šÂ¬Ã‚Âcertainty evidence). Very few studies assessed these outcomes at longÃƒÂ¢Ã¢â€šÂ¬Ã‚Âterm followÃƒÂ¢Ã¢â€šÂ¬Ã‚Âup. Is any one approach to physical rehabilitation more effective than any other approach? Compared to other approaches, those that focus on functional task training may improve IADL (SMD 0.58, 95% CI 0.29 to 0.87; 22 studies, 1535 participants; lowÃƒÂ¢Ã¢â€šÂ¬Ã‚Âcertainty evidence) and motor function (SMD 0.72, 95% CI 0.21 to 1.22; 20 studies, 1671 participants; very lowÃƒÂ¢Ã¢â€šÂ¬Ã‚Âcertainty evidence) but the evidence in the latter is very uncertain. The benefit was sustained longÃƒÂ¢Ã¢â€šÂ¬Ã‚Âterm. The evidence is very uncertain about the effect of functional task training on balance (MD 2.16, 95% CI ÃƒÂ¢Ã¢â€šÂ¬Ã‚Â0.24 to 4.55) and gait velocity (SMD 0.28, 95% CI ÃƒÂ¢Ã¢â€šÂ¬Ã‚Â0.01 to 0.56). Compared to other approaches, neurophysiological approaches may be less effective than other approaches in improving IADL (SMD ÃƒÂ¢Ã¢â€šÂ¬Ã‚Â0.34, 95% CI ÃƒÂ¢Ã¢â€šÂ¬Ã‚Â0.63 to ÃƒÂ¢Ã¢â€šÂ¬Ã‚Â0.06; 14 studies, 737 participants; lowÃƒÂ¢Ã¢â€šÂ¬Ã‚Âcertainty evidence), and there may be no difference in improving motor function (SMD ÃƒÂ¢Ã¢â€šÂ¬Ã‚Â0.60, 95% CI ÃƒÂ¢Ã¢â€šÂ¬Ã‚Â1.32 to 0.12; 13 studies, 663 participants; lowÃƒÂ¢Ã¢â€šÂ¬Ã‚Âcertainty evidence), balance (MD ÃƒÂ¢Ã¢â€šÂ¬Ã‚Â0.60, 95% CI ÃƒÂ¢Ã¢â€šÂ¬Ã‚Â5.90 to 6.03; 9 studies, 292 participants; lowÃƒÂ¢Ã¢â€šÂ¬Ã‚Âcertainty evidence), and gait velocity (SMD ÃƒÂ¢Ã¢â€šÂ¬Ã‚Â0.17, 95% CI ÃƒÂ¢Ã¢â€šÂ¬Ã‚Â0.62 to 0.27; 16 studies, 630 participants; very lowÃƒÂ¢Ã¢â€šÂ¬Ã‚Âcertainty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decisionÃƒÂ¢Ã¢â€šÂ¬Ã‚Âmaking. Plain language summary How effective are different physical rehabilitation approaches in the recovery of function, balance, and walking after stroke? Key messages For people who have had a stroke: ÃƒÂ¢Ã¢â€šÂ¬Ã‚Â Physical rehabilitation may improve daily activities, moving legs, balance, and walking, when compared to no physical rehabilitation. There may be greater benefits when more than 2.5 hours/week of physical rehabilitation is delivered. ÃƒÂ¢Ã¢â€šÂ¬Ã‚Â Extra physical rehabilitation, given in addition to 'usual' physical rehabilitation, may also improve outcomes. The greater the amount of extra physical rehabilitation, the greater the benefit may be. ÃƒÂ¢Ã¢â€šÂ¬Ã‚Â Physical rehabilitation focussed on functional task training (the active practice of realÃƒÂ¢Ã¢â€šÂ¬Ã‚Âlife tasks with the aim of acquiring ÃƒÂ¢Ã¢â€šÂ¬Ã‚Â or reacquiring ÃƒÂ¢Ã¢â€šÂ¬Ã‚Â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ÃƒÂ¢Ã¢â€šÂ¬Ã‹Å“BobathÃƒÂ¢Ã¢â€šÂ¬Ã¢â€žÂ¢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ÃƒÂ¢Ã¢â€šÂ¬Ã‚Â Are physical rehabilitation approaches effective in the recovery of function and mobility in people with stroke? ÃƒÂ¢Ã¢â€šÂ¬Ã‚Â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therapistÃƒÂ¢Ã¢â€šÂ¬Ã‚Âdelivered,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inÃƒÂ¢Ã¢â€šÂ¬Ã‚Âpatient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FiftyÃƒÂ¢Ã¢â€šÂ¬Ã‚Âsix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NinetyÃƒÂ¢Ã¢â€šÂ¬Ã‚Âtwo studies compared different physical rehabilitation approaches. There were many variations in the types and amount of physical rehabilitation, and the types of people (e.g. different lengths of time postÃƒÂ¢Ã¢â€šÂ¬Ã‚Âstroke).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longÃƒÂ¢Ã¢â€šÂ¬Ã‚Âterm followÃƒÂ¢Ã¢â€šÂ¬Ã‚Âup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upÃƒÂ¢Ã¢â€šÂ¬Ã‚ÂtoÃƒÂ¢Ã¢â€šÂ¬Ã‚Âdate is this evidence? The evidence is upÃƒÂ¢Ã¢â€šÂ¬Ã‚ÂtoÃƒÂ¢Ã¢â€šÂ¬Ã‚Âdate to November 2022. It is unlikely that any studies published since November 2022 would alter our conclusions.</t>
  </si>
  <si>
    <t>J6262</t>
  </si>
  <si>
    <t>A quality improvement project to re-design the Fibromyalgia Living Well Programme in Musculoskeletal Physiotherapy Services at Solent NHS Trust</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</si>
  <si>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Ãƒâ€šÃ‚Â© 2025"</t>
  </si>
  <si>
    <t>J6263</t>
  </si>
  <si>
    <t>QbTest for ADHD assessment and medication management: A mixed-methods systematic review of impact on clinical outcomes and patient, carer and clinician experiences</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</si>
  <si>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Ãƒâ€šÃ‚Â© Author(s) (or their employer(s)) 2025. Re-use permitted under CC BY. Published by BMJ Group.</t>
  </si>
  <si>
    <t>Peer-reviewed systematic review in BMJ Group journal</t>
  </si>
  <si>
    <t>J6264</t>
  </si>
  <si>
    <t>The Post Op: Delivering the final mile of ERAS in Surgery"</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</si>
  <si>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Ãƒâ€šÃ‚Â© 2024"</t>
  </si>
  <si>
    <t>J6265</t>
  </si>
  <si>
    <t>The Cost Effectiveness of Elective Surgical Procedures with Longer NHS Waiting Lists: A Targeted Review</t>
  </si>
  <si>
    <t>Objectives</t>
  </si>
  <si>
    <t>J6267</t>
  </si>
  <si>
    <t>Experiences of support to return to work after stroke: longitudinal case studies from RETAKE trial</t>
  </si>
  <si>
    <t>Background: Returning to work after stroke has physical, psychological and financial benefits for stroke survivors. However, global evidence estimates return-to-work rates 1 year post stroke at &lt; 50%. Although its importance is acknowledged by policy-makers and healthcare providers, vocational rehabilitation is not always part of National Health Service usual care post stroke. Currently, there is limited evidence of the effectiveness of return-to-work support interventions. RETurn to work After stroKE was a multicentre individually randomised controlled pragmatic trial, with embedded process and health economic evaluations. RETurn to work After stroKE aimed to establish whether Early Stroke Specialist Vocational Rehabilitation plus usual care improves the likelihood of return to work at 12 months post stroke compared to usual care alone. As part of an embedded process evaluation, longitudinal case studies enabled exploration of participants' experiences of support to return to work in the trial. Objective(s): This article aims to understand participants' experiences of being supported to return to work and explores the social and structural factors which support, or act as barriers to, implementation of the Early Stroke Specialist Vocational Rehabilitation intervention. Method(s): A longitudinal case-study approach was used to compare experiences of post-stroke return-to-work support received over 12 months by 15 participants who received the Early Stroke Specialist Vocational Rehabilitation intervention plus usual care, and 11 participants who received usual care only. Data were gathered at three time points using follow-up questionnaires, health records, intervention delivery records and semistructured interviews with participants and seven nominated informal carers. Interviews were also conducted with 1 employer and 11 occupational therapists delivering the intervention. Setting(s): Sixteen National Health Service sites across England and Wales. Finding(s): In the intervention arm, stroke survivors, carers and employers reported benefits from information and support from the treating occupational therapist to facilitate acceptance of, and adaptation to, post-stroke abilities. Participants also valued occupational therapists' provision of sustained and tailored vocational rehabilitation, co-ordinating their care and advocating for them in return-to-work discussions with their employers. Those unable to return to their previous employment were supported to consider alternative options. In contrast, participants who received usual care only reported feeling abandoned when community rehabilitation support ended, typically after 2-8 weeks. Usual care largely focused on restoring physical function, leaving these participants struggling to find return-to-work information, advice and support. Longitudinal case studies enabled psychosocial and environmental factors impacting on participants' return-to-work experiences to be considered. Limitation(s): Recruitment to the process evaluation was impacted by the COVID-19 pandemic. It proved difficult to recruit employers for interview, and fewer women participated in the case studies (21 men, 5 women). Direct observation of intervention delivery could not be carried out as planned due to pandemic restrictions on access to clinical areas. Conclusion(s): These case studies highlighted self-reported differences between recipients of the Early Stroke Specialist Vocational Rehabilitation intervention plus usual care and participants allocated to usual care only. Aspects perceived as important in underpinning the differences in support included the length of Early Stroke Specialist Vocational Rehabilitation intervention, occupational therapist advocacy, employer liaison and ongoing workplace monitoring. Provision of these core components as part of post-stroke services may support and help to sustain return to work, with associated benefits for stroke survivors and wider society. Funding(s): This article presents independent research funded by the National Institute for Health and Care Research (NIHR) Health Technology Assessment programme as award number 15/130/11.</t>
  </si>
  <si>
    <t>Peer-reviewed article from a trial study</t>
  </si>
  <si>
    <t>J6268</t>
  </si>
  <si>
    <t>Cost-effectiveness of a group psychological intervention for postnatal depression in British south Asian women: an economic evaluation from the ROSHNI-2 trial</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</si>
  <si>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Ãƒâ€šÃ‚Â© 2025 Elsevier Ltd</t>
  </si>
  <si>
    <t>Peer-reviewed economic evaluation from a registered trial</t>
  </si>
  <si>
    <t>J6271</t>
  </si>
  <si>
    <t>The structural and organizational aspects of human papillomavirus vaccine affecting immunization coverage in Europe: a systematic review</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</si>
  <si>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Ãƒâ€šÃ‚Â© 2025. The Author(s).</t>
  </si>
  <si>
    <t>Systematic review in reputable journal, likely peer-reviewed.</t>
  </si>
  <si>
    <t>J6272</t>
  </si>
  <si>
    <t>PostÃƒÂ¢Ã¢â€šÂ¬Ã‚Âincident debriefing for people with schizophrenia after coercive measures</t>
  </si>
  <si>
    <t>- Background Schizophrenia and schizophreniaÃƒÂ¢Ã¢â€šÂ¬Ã‚Âtype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postÃƒÂ¢Ã¢â€šÂ¬Ã‚Âincident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postÃƒÂ¢Ã¢â€šÂ¬Ã‚Âincident debriefing is recommended, the limited evidence supporting its efficacy and concerns about its impact on psychological wellÃƒÂ¢Ã¢â€šÂ¬Ã‚Âbeing prompt a comprehensive analysis of existing literature. Objectives To investigate the effects of postÃƒÂ¢Ã¢â€šÂ¬Ã‚Âincident debriefing after coercive measures for people with schizophrenia or schizophreniaÃƒÂ¢Ã¢â€šÂ¬Ã‚Âtype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postÃƒÂ¢Ã¢â€šÂ¬Ã‚Âincident debriefing after coercive measures in adult psychiatric care with participants diagnosed with schizophrenia or schizophreniaÃƒÂ¢Ã¢â€šÂ¬Ã‚Âtype psychosis, encompassing various clinical states and stages. We considered studies if the postÃƒÂ¢Ã¢â€šÂ¬Ã‚Âincident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postÃƒÂ¢Ã¢â€šÂ¬Ã‚Âcoercion review that was conducted until the discharge of the participant. For the primary outcome, we found that there may be an increased risk of being secluded again for those receiving postÃƒÂ¢Ã¢â€šÂ¬Ã‚Âincident debriefing compared to treatment as usual, but the evidence is very uncertain (RR 1.32, 95% CI 0.74 to 2.33; 1 study, 109 participants; very lowÃƒÂ¢Ã¢â€šÂ¬Ã‚Âcertainty evidence). No evidence was found that postÃƒÂ¢Ã¢â€šÂ¬Ã‚Âincident debriefing had an effect in reducing peritraumatic distress (MD ÃƒÂ¢Ã¢â€šÂ¬Ã‚Â1.62, 95% CI ÃƒÂ¢Ã¢â€šÂ¬Ã‚Â7.47 to 4.23; 1 study, 82 participants; very lowÃƒÂ¢Ã¢â€šÂ¬Ã‚Âcertainty evidence) or increasing satisfaction with care (perceived coercion: MD ÃƒÂ¢Ã¢â€šÂ¬Ã‚Â0.37, 95% CI ÃƒÂ¢Ã¢â€šÂ¬Ã‚Â1.59 to 0.85; 1 study, 109 participants; coercion experience: MD ÃƒÂ¢Ã¢â€šÂ¬Ã‚Â1.61, 95% CI ÃƒÂ¢Ã¢â€šÂ¬Ã‚Â13.36 to 10.14; 1 study, 109 participants; very lowÃƒÂ¢Ã¢â€šÂ¬Ã‚Âcertainty evidence) compared to treatment as usual. The evidence is very uncertain about the effect of postÃƒÂ¢Ã¢â€šÂ¬Ã‚Âincident debriefing on these outcomes. No usable data were available for change in patient behaviour or adverse effects. Authors' conclusions Considering the available evidence, it is not possible to arrive at definitive conclusions that postÃƒÂ¢Ã¢â€šÂ¬Ã‚Âincident debriefing after coercive measures is effective for people with schizophrenia or schizophreniaÃƒÂ¢Ã¢â€šÂ¬Ã‚Âtype psychosis. F rther highÃƒÂ¢Ã¢â€šÂ¬Ã‚Âquality studies are warranted to evaluate the effects of postÃƒÂ¢Ã¢â€šÂ¬Ã‚Âincident debriefing in psychiatric inpatient care. Plain language summary Is postÃƒÂ¢Ã¢â€šÂ¬Ã‚Âincident debriefing after coercive measures for people with schizophrenia effective? Key messages ÃƒÂ¢Ã¢â€šÂ¬Ã‚Â¢ Due to a lack of evidence, the benefits of postÃƒÂ¢Ã¢â€šÂ¬Ã‚Âincident debriefing after coercive measures (seclusion: locking someone in a separate room, or restraint: preventing them from moving) for people with schizophrenia or schizophreniaÃƒÂ¢Ã¢â€šÂ¬Ã‚Âtype psychosis are unclear. ÃƒÂ¢Ã¢â€šÂ¬Ã‚Â¢ Future research is needed into the effects of postÃƒÂ¢Ã¢â€šÂ¬Ã‚Âincident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PostÃƒÂ¢Ã¢â€šÂ¬Ã‚Âincident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PostÃƒÂ¢Ã¢â€šÂ¬Ã‚Âincident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postÃƒÂ¢Ã¢â€šÂ¬Ã‚Âincident debriefing after coercive measures for people with schizophrenia or schizophreniaÃƒÂ¢Ã¢â€šÂ¬Ã‚Âtype psychosis. What did we do? We carried out a comprehensive search in specialised databases to identify studies in which people with schizophrenia were randomly assigned to two or more treatment groups to assess postÃƒÂ¢Ã¢â€šÂ¬Ã‚Âincident debriefing in adult psychiatric care. What did we find? We found one relevant study with data for 109 people. This study involved standardised postÃƒÂ¢Ã¢â€šÂ¬Ã‚Âincident debriefing until the person left hospital. People who received postÃƒÂ¢Ã¢â€šÂ¬Ã‚Âincident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postÃƒÂ¢Ã¢â€šÂ¬Ã‚Âincident debriefing is common practice in clinical settings, the evidence is currently not available to support it in current forms. The findings of this review therefore suggest caution in its use. The review highlights the need for further highÃƒÂ¢Ã¢â€šÂ¬Ã‚Âquality studies to thoroughly assess the effects of postÃƒÂ¢Ã¢â€šÂ¬Ã‚Âincident debriefing in psychiatric inpatient care. Any postÃƒÂ¢Ã¢â€šÂ¬Ã‚Âincidence debriefing measures should be clearly defined and described so that people know how and why to use them in daily practice. How up to date is this evidence? This evidence is current to February 2023.</t>
  </si>
  <si>
    <t>J6273</t>
  </si>
  <si>
    <t>AnkleÃƒÂ¢Ã¢â€šÂ¬Ã‚Âfoot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</si>
  <si>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ankleÃƒÂ¢Ã¢â€šÂ¬Ã‚ÂfootÃƒÂ¢Ã¢â€šÂ¬Ã‚Âorthoses (AFOs). Since we are not aware of an upÃƒÂ¢Ã¢â€šÂ¬Ã‚ÂtoÃƒÂ¢Ã¢â€šÂ¬Ã‚Âdate and complete overview of the effects of AFOs used for calf muscle weakness in slowly progressive neuromuscular disorders, we reviewed the evidence for the effectiveness of AFOs to improve walking in this patient group, in order to support clinical decisionÃƒÂ¢Ã¢â€šÂ¬Ã‚Âmaking. Objectives To review the evidence for the effects of ankleÃƒÂ¢Ã¢â€šÂ¬Ã‚Âfoot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crossÃƒÂ¢Ã¢â€šÂ¬Ã‚Âover studies and quasiÃƒÂ¢Ã¢â€šÂ¬Ã‚ÂRCTs, and nonÃƒÂ¢Ã¢â€šÂ¬Ã‚Ârandomised studies (NRSs) that examined the effects of AFO interventions compared with shoesÃƒÂ¢Ã¢â€šÂ¬Ã‚Âonly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metaÃƒÂ¢Ã¢â€šÂ¬Ã‚Âanalysis where possible. We used the GRADE approach to rate the certainty of the evidence. Main results We included four randomised crossÃƒÂ¢Ã¢â€šÂ¬Ã‚Âover studies and six NRSs with 186 participants in total (the smallest study had 8 participants and the largest had 37). All studies were designed as selfÃƒÂ¢Ã¢â€šÂ¬Ã‚Âcontrolled studies and examined the effects of customÃƒÂ¢Ã¢â€šÂ¬Ã‚Âmade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threeÃƒÂ¢Ã¢â€šÂ¬Ã‚Âweek or threeÃƒÂ¢Ã¢â€šÂ¬Ã‚Âmonth followÃƒÂ¢Ã¢â€šÂ¬Ã‚Âup.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ÃƒÂ¢Ã‹â€ Ã¢â‚¬â„¢0.86 J/kg/m, 95% confidence interval (CI) ÃƒÂ¢Ã‹â€ Ã¢â‚¬â„¢1.33 to ÃƒÂ¢Ã‹â€ Ã¢â‚¬â„¢0.39; 2 studies, 45 participants; lowÃƒÂ¢Ã¢â€šÂ¬Ã‚Âcertainty evidence), and may increase walking speed (MD 0.19 m/s, 95% CI 0.11 to 0.27; 4 studies, 71 participants; lowÃƒÂ¢Ã¢â€šÂ¬Ã‚Âcertainty evidence) compared to shoesÃƒÂ¢Ã¢â€šÂ¬Ã‚Âonly walking. We found that leather AFOs may increase walking speed (MD 0.25 m/s, 95% CI 0.07 to 0.43; 1 study, 11 participants; lowÃƒÂ¢Ã¢â€šÂ¬Ã‚Âcertainty evidence). Little or no effect on walking speed was found with polypropylene AFOs (MD 0.00 m/s, 95% CI ÃƒÂ¢Ã‹â€ Ã¢â‚¬â„¢0.11 to 0.11; 2 studies, 25 participants; lowÃƒÂ¢Ã¢â€šÂ¬Ã‚Âcertainty evidence) and elastic AFOs (MD 0.03 m/s, 95% CI ÃƒÂ¢Ã‹â€ Ã¢â‚¬â„¢0.12 to 0.18; 1 study, 14 participants; lowÃƒÂ¢Ã¢â€šÂ¬Ã‚Âcertainty evidence). Carbon AFOs may also enhance satisfaction while walking (1 study, 16 participants; lowÃƒÂ¢Ã¢â€šÂ¬Ã‚Âcertainty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(lowÃƒÂ¢Ã¢â€šÂ¬Ã‚Âcertainty evidence). Authors' conclusions The available evidence for ankleÃƒÂ¢Ã¢â€šÂ¬Ã‚Âfoot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AnkleÃƒÂ¢Ã¢â€šÂ¬Ã‚Âfoot orthoses to improve walking in people with weakness of the calf muscles due to neuromuscular disorders Key messages AnkleÃƒÂ¢Ã¢â€šÂ¬Ã‚Âfoot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AnkleÃƒÂ¢Ã¢â€šÂ¬Ã‚Âfoot orthoses are devices that can be provided to improve walking in people with neuromuscular disorders. There are many different types of ankleÃƒÂ¢Ã¢â€šÂ¬Ã‚Âfoot orthoses and their effects on walking vary considerably. To help healthcare professionals and patients make informed decisions about the use of ankleÃƒÂ¢Ã¢â€šÂ¬Ã‚Âfoot orthoses, we wanted to review the available evidence about their effects on walking. What did we do? We searched the medical literature for all relevant studies that compared walking with ankleÃƒÂ¢Ã¢â€šÂ¬Ã‚Âfoot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ankleÃƒÂ¢Ã¢â€šÂ¬Ã‚Âfoot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ankleÃƒÂ¢Ã¢â€šÂ¬Ã‚Âfoot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crossÃƒÂ¢Ã¢â€šÂ¬Ã‚Âover design; the other six studies were not randomised. Outcomes were assessed at different time points, and most studies did not include followÃƒÂ¢Ã¢â€šÂ¬Ã‚Âup assessments. The ankleÃƒÂ¢Ã¢â€šÂ¬Ã‚Âfoot orthosis types that were examined varied in their design and material. Most ankleÃƒÂ¢Ã¢â€šÂ¬Ã‚ÂfootÃƒÂ¢Ã¢â€šÂ¬Ã‚Âorthosis types, in particular the ankleÃƒÂ¢Ã¢â€šÂ¬Ã‚Âfoot orthoses that were made of carbon, were customÃƒÂ¢Ã¢â€šÂ¬Ã‚Âmade; the remainder were prefabricated. These factors reduced our confidence in the evidence. How up to date is this review? We searched for studies published up to February 2023.</t>
  </si>
  <si>
    <t>J6275</t>
  </si>
  <si>
    <t>A cost-effectiveness analysis comparing single-inhaler extrafine beclomethasone/formoterol/glycopyrronium bromide against other SITTs in adult patients with uncontrolled asthma in England</t>
  </si>
  <si>
    <t>&lt;b&gt;BACKGROUND&lt;/b&gt;: In patients with asthma uncontrolled by a medium or high-strength (MS/HS) inhaled corticosteroid (ICS) plus long-acting beta2-agonist (LABA), according to Global Initiative for Asthma (GINA) guidelines, a maintenance therapy option is the addition of a long-acting muscarinic antagonist (LAMA) via single-inhaler triple therapy (SITT). Evidence has previously been published on the cost-effectiveness of a SITT extra fine formulation of beclomethasone, formoterol and glycopyrronium bromide (BDP/FOR/GLY) vs. dual ICS/LABA combination, using data from two 52-week clinical trials (TRIMARAN and TRIGGER). However, there is limited evidence on the comparative cost-effectiveness of SITTs. The current analysis evaluated the cost-effectiveness of BDP/FOR/GLY versus other SITTs, in the UK setting._x000D_
&lt;b&gt;METHODS&lt;/b&gt;: Markov cohort state-transition model was developed to investigate the cost-effectiveness of BDP/FOR/GLY Medium Strength (MS) vs. fluticasone, umeclidinium, and vilanterol (FF/UMEC/VI) MS and, BDP/FOR/GLY High Strength vs. FF/UMEC/VI HS and vs. indacaterol acetate, glycopyrronium bromide, and mometasone (IND/GLY/MF) HS. A network meta-analysis was performed to estimate comparative efficacy of BDP/FOR/GLY against other SITTs. The model analyzed cost, quality-adjusted life-years (QALYs), and incremental cost-effectiveness ratio (ICER), net monetary benefit (NMB), and was developed from the perspective of England National Health Service (NHS) and Prescribed Specialized Services expenditure (2022 costs). Uncertainty of the inputs was estimated using one-way and probabilistic sensitivity analyses._x000D_
&lt;b&gt;RESULTS&lt;/b&gt;: BDP/FOR/GLY MS was projected to be a dominant treatment alternative against FF/UMEC/VI MS (5,121 less costly, gained 0.065 additional QALYs). Similarly, BDP/FOR/GLY HS was a dominant treatment alternative against FF/UMEC/VI HS (143, 0.003 additional QALYs) and IND/GLY/MF HS (692 less costly, gained 0.023 additional QALYs). BDP/FOR/GLY MS and HS had 77.1%, 51.3%, and 61.2% likelihoods to be cost-effective vs. FF/UMEC/VI MS, FF/UMEC/VI HS, and IND/GLY/MF HS at the defined willingness-to-pay (WTP) threshold of 20,000 per QALY gained, respectively._x000D_
&lt;b&gt;CONCLUSIONS&lt;/b&gt;: BDP/FOR/GLY MS and HS were a dominant treatment alternative compared with FF/UMEC/VI, both MS and HS, and IND/GLY/MF HS in patients with asthma uncontrolled by ICS/LABA.</t>
  </si>
  <si>
    <t>Peer-reviewed cost-effectiveness analysis.</t>
  </si>
  <si>
    <t>J6276</t>
  </si>
  <si>
    <t>Cardiovascular training for fatigue in people with cancer</t>
  </si>
  <si>
    <t>- Rationale CancerÃƒÆ’Ã‚Â¢ÃƒÂ¢Ã¢â‚¬Å¡Ã‚Â¬Ãƒâ€šÃ‚Ârelated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cancerÃƒÆ’Ã‚Â¢ÃƒÂ¢Ã¢â‚¬Å¡Ã‚Â¬Ãƒâ€šÃ‚Ârelated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faceÃƒÆ’Ã‚Â¢ÃƒÂ¢Ã¢â‚¬Å¡Ã‚Â¬Ãƒâ€šÃ‚ÂtoÃƒÆ’Ã‚Â¢ÃƒÂ¢Ã¢â‚¬Å¡Ã‚Â¬Ãƒâ€šÃ‚Âface (via video tools or in person). We excluded studies with fewer than 20 randomised participants per group and where only an abstract was available. Outcomes Our critical outcomes were: shortÃƒÆ’Ã‚Â¢ÃƒÂ¢Ã¢â‚¬Å¡Ã‚Â¬Ãƒâ€šÃ‚Â, mediumÃƒÆ’Ã‚Â¢ÃƒÂ¢Ã¢â‚¬Å¡Ã‚Â¬Ãƒâ€šÃ‚Â, longÃƒÆ’Ã‚Â¢ÃƒÂ¢Ã¢â‚¬Å¡Ã‚Â¬Ãƒâ€šÃ‚Âterm CRF and QoL. Important outcomes were adverse events, and shortÃƒÆ’Ã‚Â¢ÃƒÂ¢Ã¢â‚¬Å¡Ã‚Â¬Ãƒâ€šÃ‚Â, mediumÃƒÆ’Ã‚Â¢ÃƒÂ¢Ã¢â‚¬Å¡Ã‚Â¬Ãƒâ€šÃ‚Â, longÃƒÆ’Ã‚Â¢ÃƒÂ¢Ã¢â‚¬Å¡Ã‚Â¬Ãƒâ€šÃ‚Âterm anxiety and depression. Risk of bias We used the Cochrane RoB 1 tool to assess bias in RCTs. Synthesis methods We used standard Cochrane methodology. We synthesised results for each outcome using metaÃƒÆ’Ã‚Â¢ÃƒÂ¢Ã¢â‚¬Å¡Ã‚Â¬Ãƒâ€šÃ‚Âanalysis where possible (inverse variance or MantelÃƒÆ’Ã‚Â¢ÃƒÂ¢Ã¢â‚¬Å¡Ã‚Â¬Ãƒâ€šÃ‚ÂHaenszel; randomÃƒÆ’Ã‚Â¢ÃƒÂ¢Ã¢â‚¬Å¡Ã‚Â¬Ãƒâ€šÃ‚Âeffects model). We pooled data for the respective assessment periods above. We used GRADE to assess certainty of evidence for each outcome. Included studies We included 23 RCTs with 2135 participants, of whom 96.6% originated from highÃƒÆ’Ã‚Â¢ÃƒÂ¢Ã¢â‚¬Å¡Ã‚Â¬Ãƒâ€šÃ‚Âincome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shortÃƒÆ’Ã‚Â¢ÃƒÂ¢Ã¢â‚¬Å¡Ã‚Â¬Ãƒâ€šÃ‚Âterm CRF slightly (mean difference (MD) 2.85, 95% confidence interval (CI) 1.16 to 4.55, on the Functional Assessment of Cancer Therapy ÃƒÆ’Ã‚Â¢ÃƒÂ¢Ã¢â‚¬Å¡Ã‚Â¬ÃƒÂ¢Ã¢â€šÂ¬Ã…â€œ Fatigue (FACTÃƒÆ’Ã‚Â¢ÃƒÂ¢Ã¢â‚¬Å¡Ã‚Â¬Ãƒâ€šÃ‚ÂF), scale 0 to 52, higher values mean better outcome; minimally important difference (MID) 3; 6 studies, 593 participants) and probably results in little to no difference in shortÃƒÆ’Ã‚Â¢ÃƒÂ¢Ã¢â‚¬Å¡Ã‚Â¬Ãƒâ€šÃ‚Âterm QoL (MD 3.56, 95% CI 0.21 to 6.90, on the European Organisation for Research and Treatment of Cancer Quality of Life Questionnaire C30 (EORTC QLQ CÃƒÆ’Ã‚Â¢ÃƒÂ¢Ã¢â‚¬Å¡Ã‚Â¬Ãƒâ€šÃ‚Â30), scale 0 to 100, higher values mean better outcome, MID 10; 6 studies, 612 participants) (both moderateÃƒÆ’Ã‚Â¢ÃƒÂ¢Ã¢â‚¬Å¡Ã‚Â¬Ãƒâ€šÃ‚Âcertainty evidence). We are uncertain about the effects on mediumÃƒÆ’Ã‚Â¢ÃƒÂ¢Ã¢â‚¬Å¡Ã‚Â¬Ãƒâ€šÃ‚Âterm CRF (MD 2.67, 95% CI ÃƒÆ’Ã‚Â¢Ãƒâ€¹Ã¢â‚¬Â ÃƒÂ¢Ã¢â€šÂ¬Ã¢â€žÂ¢2.58 to 7.92, on FACTÃƒÆ’Ã‚Â¢ÃƒÂ¢Ã¢â‚¬Å¡Ã‚Â¬Ãƒâ€šÃ‚ÂF; MID 3; 1 study, 62 participants), longÃƒÆ’Ã‚Â¢ÃƒÂ¢Ã¢â‚¬Å¡Ã‚Â¬Ãƒâ€šÃ‚Âterm CRF (MD 0.41, 95% CI ÃƒÆ’Ã‚Â¢Ãƒâ€¹Ã¢â‚¬Â ÃƒÂ¢Ã¢â€šÂ¬Ã¢â€žÂ¢2.24 to 3.05, on FACTÃƒÆ’Ã‚Â¢ÃƒÂ¢Ã¢â‚¬Å¡Ã‚Â¬Ãƒâ€šÃ‚ÂF; MID 3; 2 studies, 230 participants), mediumÃƒÆ’Ã‚Â¢ÃƒÂ¢Ã¢â‚¬Å¡Ã‚Â¬Ãƒâ€šÃ‚Âterm QoL (MD 6.79, 95% CI ÃƒÆ’Ã‚Â¢Ãƒâ€¹Ã¢â‚¬Â ÃƒÂ¢Ã¢â€šÂ¬Ã¢â€žÂ¢4.39 to 17.97, on EORTC QLQ CÃƒÆ’Ã‚Â¢ÃƒÂ¢Ã¢â‚¬Å¡Ã‚Â¬Ãƒâ€šÃ‚Â30; MID 10; 1 study, 62 participants), and longÃƒÆ’Ã‚Â¢ÃƒÂ¢Ã¢â‚¬Å¡Ã‚Â¬Ãƒâ€šÃ‚Âterm QoL (MD 1.51, 95% CI ÃƒÆ’Ã‚Â¢Ãƒâ€¹Ã¢â‚¬Â ÃƒÂ¢Ã¢â€šÂ¬Ã¢â€žÂ¢3.40 to 6.42, on EORTC QLQ CÃƒÆ’Ã‚Â¢ÃƒÂ¢Ã¢â‚¬Å¡Ã‚Â¬Ãƒâ€šÃ‚Â30; MID 10; 2 studies, 230 participants) (all very lowÃƒÆ’Ã‚Â¢ÃƒÂ¢Ã¢â‚¬Å¡Ã‚Â¬Ãƒâ€šÃ‚Âcertainty evidence). For adverse events (any grade and followÃƒÆ’Ã‚Â¢ÃƒÂ¢Ã¢â‚¬Å¡Ã‚Â¬Ãƒâ€šÃ‚Âup), we did not perform metaÃƒÆ’Ã‚Â¢ÃƒÂ¢Ã¢â‚¬Å¡Ã‚Â¬Ãƒâ€šÃ‚Âanalysis due to heterogeneous definitions, reporting, and measurement (9 RCTs, 955 participants; very lowÃƒÆ’Ã‚Â¢ÃƒÂ¢Ã¢â‚¬Å¡Ã‚Â¬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shortÃƒÆ’Ã‚Â¢ÃƒÂ¢Ã¢â‚¬Å¡Ã‚Â¬Ãƒâ€šÃ‚Âterm CRF (MD 3.62, 95% CI 0 to 7.13, on FACTÃƒÆ’Ã‚Â¢ÃƒÂ¢Ã¢â‚¬Å¡Ã‚Â¬Ãƒâ€šÃ‚ÂF; MID 3; 6 studies, 497 participants), longÃƒÆ’Ã‚Â¢ÃƒÂ¢Ã¢â‚¬Å¡Ã‚Â¬Ãƒâ€šÃ‚Âterm CRF (MD ÃƒÆ’Ã‚Â¢Ãƒâ€¹Ã¢â‚¬Â ÃƒÂ¢Ã¢â€šÂ¬Ã¢â€žÂ¢0.80, 95% CI ÃƒÆ’Ã‚Â¢Ãƒâ€¹Ã¢â‚¬Â ÃƒÂ¢Ã¢â€šÂ¬Ã¢â€žÂ¢1.72 to 0.13, on the Fatigue Symptom Inventory (FSI), scale 1 to 10, higher values mean worse outcome; MID 1; 2 studies, 262 participants), shortÃƒÆ’Ã‚Â¢ÃƒÂ¢Ã¢â‚¬Å¡Ã‚Â¬Ãƒâ€šÃ‚Âterm QoL (MD 3.70, 95% CI ÃƒÆ’Ã‚Â¢Ãƒâ€¹Ã¢â‚¬Â ÃƒÂ¢Ã¢â€šÂ¬Ã¢â€žÂ¢0.14 to 7.41, on the Functional Assessment of Cancer Therapy ÃƒÆ’Ã‚Â¢ÃƒÂ¢Ã¢â‚¬Å¡Ã‚Â¬ÃƒÂ¢Ã¢â€šÂ¬Ã…â€œ General (FACTÃƒÆ’Ã‚Â¢ÃƒÂ¢Ã¢â‚¬Å¡Ã‚Â¬Ãƒâ€šÃ‚ÂG), scale 0 to 108, higher values mean better outcome; MID 4; 8 studies, 642 participants), longÃƒÆ’Ã‚Â¢ÃƒÂ¢Ã¢â‚¬Å¡Ã‚Â¬Ãƒâ€šÃ‚Âterm QoL (MD 3.10, 95% CI ÃƒÆ’Ã‚Â¢Ãƒâ€¹Ã¢â‚¬Â ÃƒÂ¢Ã¢â€šÂ¬Ã¢â€žÂ¢1.12 to 7.32, on FACTÃƒÆ’Ã‚Â¢ÃƒÂ¢Ã¢â‚¬Å¡Ã‚Â¬Ãƒâ€šÃ‚ÂG; MID 4; 1 study, 201 participants), and adverse events (risk ratio (RR) 2.71, 95% CI 0.58 to 12.67; 1 study, 50 participants) (all very lowÃƒÆ’Ã‚Â¢ÃƒÂ¢Ã¢â‚¬Å¡Ã‚Â¬Ãƒâ€šÃ‚Âcertainty evidence). There were no data for mediumÃƒÆ’Ã‚Â¢ÃƒÂ¢Ã¢â‚¬Å¡Ã‚Â¬Ãƒâ€šÃ‚Âterm CRF and QoL . Authors' conclusions ModerateÃƒÆ’Ã‚Â¢ÃƒÂ¢Ã¢â‚¬Å¡Ã‚Â¬Ãƒâ€šÃ‚Âcertainty evidence shows that cardiovascular training by people with cancer during their anticancer therapy slightly reduces shortÃƒÆ’Ã‚Â¢ÃƒÂ¢Ã¢â‚¬Å¡Ã‚Â¬Ãƒâ€šÃ‚Âterm CRF and results in little to no difference in shortÃƒÆ’Ã‚Â¢ÃƒÂ¢Ã¢â‚¬Å¡Ã‚Â¬Ãƒâ€šÃ‚Âterm QoL . We do not know whether cardiovascular training increases or decreases mediumÃƒÆ’Ã‚Â¢ÃƒÂ¢Ã¢â‚¬Å¡Ã‚Â¬Ãƒâ€šÃ‚Âterm CRF/QoL , and longÃƒÆ’Ã‚Â¢ÃƒÂ¢Ã¢â‚¬Å¡Ã‚Â¬Ãƒâ€šÃ‚Âterm CRF/QoL . There is very lowÃƒÆ’Ã‚Â¢ÃƒÂ¢Ã¢â‚¬Å¡Ã‚Â¬Ãƒâ€šÃ‚Âcertainty evidence (due to heterogeneous definitions, reporting and measurement) evaluating whether the training increases or decreases adverse events . In people with cancer who perform cardiovascular training after anticancer therapy, we are uncertain about the effects on shortÃƒÆ’Ã‚Â¢ÃƒÂ¢Ã¢â‚¬Å¡Ã‚Â¬Ãƒâ€šÃ‚Âterm CRF/QoL , longÃƒÆ’Ã‚Â¢ÃƒÂ¢Ã¢â‚¬Å¡Ã‚Â¬Ãƒâ€šÃ‚Âterm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cancerÃƒÆ’Ã‚Â¢ÃƒÂ¢Ã¢â‚¬Å¡Ã‚Â¬Ãƒâ€šÃ‚Ârelated fatigue before, during, or after anticancer therapy? Key messages Cardiovascular training during anticancer therapy probably reduces cancerÃƒÆ’Ã‚Â¢ÃƒÂ¢Ã¢â‚¬Å¡Ã‚Â¬Ãƒâ€šÃ‚Ârelated fatigue slightly for up to 12 weeks. The longerÃƒÆ’Ã‚Â¢ÃƒÂ¢Ã¢â‚¬Å¡Ã‚Â¬Ãƒâ€šÃ‚Âterm effects of cardiovascular training on cancerÃƒÆ’Ã‚Â¢ÃƒÂ¢Ã¢â‚¬Å¡Ã‚Â¬Ãƒâ€šÃ‚Ârelated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cancerÃƒÆ’Ã‚Â¢ÃƒÂ¢Ã¢â‚¬Å¡Ã‚Â¬Ãƒâ€šÃ‚Ârelated fatigue? CancerÃƒÆ’Ã‚Â¢ÃƒÂ¢Ã¢â‚¬Å¡Ã‚Â¬Ãƒâ€šÃ‚Ârelated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cancerÃƒÆ’Ã‚Â¢ÃƒÂ¢Ã¢â‚¬Å¡Ã‚Â¬Ãƒâ€šÃ‚Ârelated fatigue? CancerÃƒÆ’Ã‚Â¢ÃƒÂ¢Ã¢â‚¬Å¡Ã‚Â¬Ãƒâ€šÃ‚Ârelated fatigue is linked to the body's response to cytokines, which regulate how tissues and organs increase in size (called cell growth). Cancer or cancer therapy may produce proteins called proÃƒÆ’Ã‚Â¢ÃƒÂ¢Ã¢â‚¬Å¡Ã‚Â¬Ãƒâ€šÃ‚Âinflammatory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cancerÃƒÆ’Ã‚Â¢ÃƒÂ¢Ã¢â‚¬Å¡Ã‚Â¬Ãƒâ€šÃ‚Ârelated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cancerÃƒÆ’Ã‚Â¢ÃƒÂ¢Ã¢â‚¬Å¡Ã‚Â¬Ãƒâ€šÃ‚Ârelated fatigue or quality of life, or both. The cardiovascular training had to have at least five sessions of exercise and had to be given by faceÃƒÆ’Ã‚Â¢ÃƒÂ¢Ã¢â‚¬Å¡Ã‚Â¬Ãƒâ€šÃ‚ÂtoÃƒÆ’Ã‚Â¢ÃƒÂ¢Ã¢â‚¬Å¡Ã‚Â¬Ãƒâ€šÃ‚Âface instruction (either by video or in person). We did not consider studies with fewer than 20 people per group, or that were available in a short summary form only. What did we find? We found 23 studies with 2135 people. Most studies were conducted in highÃƒÆ’Ã‚Â¢ÃƒÂ¢Ã¢â‚¬Å¡Ã‚Â¬Ãƒâ€šÃ‚Âincome countries (97%; where people have easy access to goodÃƒÆ’Ã‚Â¢ÃƒÂ¢Ã¢â‚¬Å¡Ã‚Â¬Ãƒâ€šÃ‚Âquality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shortÃƒÆ’Ã‚Â¢ÃƒÂ¢Ã¢â‚¬Å¡Ã‚Â¬Ãƒâ€šÃ‚Âterm cancerÃƒÆ’Ã‚Â¢ÃƒÂ¢Ã¢â‚¬Å¡Ã‚Â¬Ãƒâ€šÃ‚Ârelated fatigue slightly (6 studies, 593 people); probably results in little to no difference in shortÃƒÆ’Ã‚Â¢ÃƒÂ¢Ã¢â‚¬Å¡Ã‚Â¬Ãƒâ€šÃ‚Âterm quality of life (6 studies, 612 people); we do not know if cardiovascular training increases or decreases mediumÃƒÆ’Ã‚Â¢ÃƒÂ¢Ã¢â‚¬Å¡Ã‚Â¬Ãƒâ€šÃ‚Â and longÃƒÆ’Ã‚Â¢ÃƒÂ¢Ã¢â‚¬Å¡Ã‚Â¬Ãƒâ€šÃ‚Âterm cancerÃƒÆ’Ã‚Â¢ÃƒÂ¢Ã¢â‚¬Å¡Ã‚Â¬Ãƒâ€šÃ‚Ârelated fatigue and quality of life , and any unwanted effects. Cardiovascular training after anticancer therapy versus no training: we do not know if cardiovascular training increases or decreases shortÃƒÆ’Ã‚Â¢ÃƒÂ¢Ã¢â‚¬Å¡Ã‚Â¬Ãƒâ€šÃ‚Â and longÃƒÆ’Ã‚Â¢ÃƒÂ¢Ã¢â‚¬Å¡Ã‚Â¬Ãƒâ€šÃ‚Âterm cancerÃƒÆ’Ã‚Â¢ÃƒÂ¢Ã¢â‚¬Å¡Ã‚Â¬Ãƒâ€šÃ‚Ârelated fatigue and quality of life , and any unwanted effects; we could not find any data for mediumÃƒÆ’Ã‚Â¢ÃƒÂ¢Ã¢â‚¬Å¡Ã‚Â¬Ãƒâ€šÃ‚Âterm cancerÃƒÆ’Ã‚Â¢ÃƒÂ¢Ã¢â‚¬Å¡Ã‚Â¬Ãƒâ€šÃ‚Ârelated fatigue and quality of life. What are the limitations of the evidence? We are moderately confident in the evidence about the effect of cardiovascular training during anticancer therapy on shortÃƒÆ’Ã‚Â¢ÃƒÂ¢Ã¢â‚¬Å¡Ã‚Â¬Ãƒâ€šÃ‚Âterm cancerÃƒÆ’Ã‚Â¢ÃƒÂ¢Ã¢â‚¬Å¡Ã‚Â¬Ãƒâ€šÃ‚Ârelated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mediumÃƒÆ’Ã‚Â¢ÃƒÂ¢Ã¢â‚¬Å¡Ã‚Â¬Ãƒâ€šÃ‚Âterm cancerÃƒÆ’Ã‚Â¢ÃƒÂ¢Ã¢â‚¬Å¡Ã‚Â¬Ãƒâ€šÃ‚Ârelated fatigue and quality of life . How up to date is this evidence? Our evidence is up to date to 16 October 2023.</t>
  </si>
  <si>
    <t>Peer-reviewed article evaluating RCTs on cardiovascular training for cancer-related fatigue.</t>
  </si>
  <si>
    <t>J6277</t>
  </si>
  <si>
    <t>Patient and practitioner perceptions around use of artificial intelligence within the English NHS diabetic eye screening programme</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</si>
  <si>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Ãƒâ€šÃ‚Â© 2024</t>
  </si>
  <si>
    <t>J6278</t>
  </si>
  <si>
    <t>Cost effectiveness of different treatment strategies with natalizumab for pregnant women with multiple sclerosis</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</si>
  <si>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Ãƒâ€šÃ‚Â© The Author(s) 2024.</t>
  </si>
  <si>
    <t>J6279</t>
  </si>
  <si>
    <t>A personalized and systematically designed adherence intervention improves photoprotection in adults with xeroderma pigmentosum (XP): results of the XPAND randomized controlled trial</t>
  </si>
  <si>
    <t>&lt;b&gt;BACKGROUND&lt;/b&gt;: Poor adherence to photoprotection in xeroderma pigmentosum (XP) increases morbidity and shortens lifespan due to skin cancers._x000D_
&lt;b&gt;OBJECTIVES&lt;/b&gt;: To test a highly personalized intervention (XPAND) to reduce the dose of ultraviolet radiation (UVR) reaching the face in adults with XP, designed using known psychosocial determinants of poor photoprotection._x000D_
&lt;b&gt;METHODS&lt;/b&gt;: A two-arm parallel group randomized controlled trial, including patients with suboptimal photoprotection to receive XPAND or a delayed-intervention control arm that received XPAND the following year. XPAND comprises seven 1 : 1 sessions targeting photoprotection barriers (e.g. misconceptions about UVR) supported by personalized text messages, activity sheets and educational materials incorporating behaviour change techniques. The primary outcome, mean daily UVR dose to face across 21 days in June-July 2018, was calculated by combining UVR exposure at the wrist with a face photoprotection activity diary. Secondary outcomes were UVR dose to face across 21 days in August 2018, time spent outside, photoprotective measures used outside, mood, automaticity and confidence to photoprotect. Financial costs and quality-adjusted life years (QALYs) were calculated._x000D_
&lt;b&gt;RESULTS&lt;/b&gt;: Sixteen patients were randomized; 13 provided sufficient data for primary outcome analysis. The XPAND group (n = 8) had lower mean daily UVR dose to face [0.03 standard error of difference (SED) (SD 0.02)] compared with controls (n = 7) [0.43 SED (SD 0.17)] (adjusted difference = -0.25, P &lt; 0.001, Hedge's g = 2.21) at the June 2018 assessment. No significant between-group differences were observed in time spent outside, photoprotection outside, mood or confidence. The delayed-intervention control showed improvements in UVR dose to face (adjusted difference = -0.05; Hedge's g = -0.1), time outside (adjusted difference = -69.9; Hedge's g = -0.28) and photoprotection (adjusted difference = -0.23, Hedge's g = 0.45) after receiving XPAND (June 2019 assessment). XPAND was associated with lower treatment costs [-2642; 95% confidence interval (CI) -8715 to 3873] and fewer QALYs (-0.0141; 95% CI -0.0369 to 0.0028)._x000D_
&lt;b&gt;CONCLUSIONS&lt;/b&gt;: XPAND was associated with a lower UVR dose to face in patients with XP and was cost-effective.</t>
  </si>
  <si>
    <t>Appears to be a peer-reviewed article with study results.</t>
  </si>
  <si>
    <t>J6280</t>
  </si>
  <si>
    <t>Effectiveness of biomarker-guided duration of antibiotic treatment in children hospitalised with confirmed or suspected bacterial infection: the BATCH RCT</t>
  </si>
  <si>
    <t>&lt;b&gt;Background&lt;/b&gt;: Procalcitonin is a biomarker specific for bacterial infection, with a more rapid response than other commonly used biomarkers, such as C-reactive protein, but it is not routinely used in the National Health Service._x000D_
&lt;b&gt;Objective&lt;/b&gt;: To determine if using a procalcitonin-guided algorithm may safely reduce duration of antibiotic therapy compared to standard of care in hospitalised children with suspected or confirmed infection._x000D_
&lt;b&gt;Design&lt;/b&gt;: A pragmatic, multicentre, open-label, parallel two-arm, individually randomised controlled trial with internal pilot phase, qualitative study and health economic evaluations._x000D_
&lt;b&gt;Setting&lt;/b&gt;: Paediatric wards or paediatric intensive care units within children's hospitals (n = 6) and district general hospitals (n = 9) in the United Kingdom._x000D_
&lt;b&gt;Participants&lt;/b&gt;: Children aged between 72 hours and 18 years admitted to hospital and being treated with intravenous antibiotics for suspected or confirmed bacterial infection._x000D_
&lt;b&gt;Interventions&lt;/b&gt;: Procalcitonin-guided algorithm versus usual standard care alone._x000D_
&lt;b&gt;Main outcome measures&lt;/b&gt;: Coprimary outcomes were duration of intravenous antibiotic use and a composite safety measure._x000D_
&lt;b&gt;Results&lt;/b&gt;: Between 11 June 2018 and 12 October 2022, 1949 children were recruited: 977 to the procalcitonin group [427 female (43.7%), 550 male (56.3%)], and 972 to the usual care group [478 female (49.2%), 494 male (50.8%)]. Duration of intravenous antibiotics was not significantly different between the procalcitonin group (median 96.0 hours) and the usual care group (median 99.7 hours) [hazard ratio = 0.96 (0.87, 1.05)], and the procalcitonin-guided algorithm was non-inferior to usual care [risk difference = -0.81% (95% confidence interval upper bound 1.11%)]. At clinical review, a procalcitonin result was available for 81.8% of the time, which was considered as part of clinical decision-making 66.6% of the time, and the algorithm was adhered to 57.2% of the time. Incremental cost-effectiveness ratio per duration of intravenous antibiotics hour avoided from bootstrapped samples was 467.62 per intravenous antibiotic hour avoided. Cost analysis of complete cases was also higher in the procalcitonin arm for all age groups, and for children aged 5 years and over. The intervention is not cost-effective as it is more expensive with no significant improvement in intravenous antibiotic duration._x000D_
&lt;b&gt;Limitations&lt;/b&gt;: Robust antimicrobial stewardship programmes were already implemented in the lead recruiting sites, and adherence to the algorithm was poor. Clinicians may be reluctant to adhere to biomarker-guided algorithms, due to unfamiliarity with interpreting the test result._x000D_
&lt;b&gt;Conclusions&lt;/b&gt;: In children hospitalised with confirmed or suspected bacterial infection, the addition of a procalcitonin-guided algorithm to usual care is non-inferior in terms of safety, but does not reduce duration of intravenous antibiotics, and is not cost-effective. In the presence of robust antimicrobial stewardship programmes to reduce antibiotic use, a procalcitonin-guided algorithm may offer little added value._x000D_
&lt;b&gt;Future work&lt;/b&gt;: Future trials must include an implementation framework to improve trial intervention fidelity, and repeated cycles of education and training to facilitate implementation of biomarker-guided algorithms into routine clinical care._x000D_
&lt;b&gt;Trial registration&lt;/b&gt;: This trial is registered as ISRCTN11369832._x000D_
&lt;b&gt;Funding&lt;/b&gt;: This award was funded by the National Institute for Health and Care Research (NIHR) Health Technology Assessment programme (NIHR award ref: 15/188/42) and is published in full in Health Technology Assessment; Vol. 29, No. 16. See the NIHR Funding and Awards website for further award information.</t>
  </si>
  <si>
    <t>Peer-reviewed RCT published in Health Technology Assessment journal.</t>
  </si>
  <si>
    <t>J6281</t>
  </si>
  <si>
    <t>Clinical and cost-effectiveness of a home-based health promotion intervention for older people with mild frailty in England: a multicentre, parallel-group, randomised controlled trial</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</si>
  <si>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Ãƒâ€šÃ‚Â© 2024 The Author(s)</t>
  </si>
  <si>
    <t>Peer-reviewed article reporting a randomized controlled trial.</t>
  </si>
  <si>
    <t>J6282</t>
  </si>
  <si>
    <t>Impact and cost-effectiveness of scaling up HCV testing and treatment strategies for achieving HCV elimination among people who inject drugs in England: a mathematical modelling study</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</si>
  <si>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Ãƒâ€šÃ‚Â© 2024 The Authors</t>
  </si>
  <si>
    <t>Peer-reviewed article on HCV elimination strategies.</t>
  </si>
  <si>
    <t>J6284</t>
  </si>
  <si>
    <t>Gonadotropins for ovulation induction in women with polycystic ovary syndrome</t>
  </si>
  <si>
    <t>- Rationale Ovulation induction with follicleÃƒÂ¢Ã¢â€šÂ¬Ã‚Âstimulating hormone (FSH) is a secondÃƒÂ¢Ã¢â€šÂ¬Ã‚Âline treatment in women with polycystic ovary syndrome (PCOS) who do not ovulate or conceive on clomiphene citrate or letrozole, though induction protocols and types of gonadotropins used vary greatly. Objectives To compare the effectiveness and safety of gonadotropins as a secondÃƒÂ¢Ã¢â€šÂ¬Ã‚Âline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urinaryÃƒÂ¢Ã¢â€šÂ¬Ã‚Âderived gonadotropins, including urofollitropin in purified FSH (uFSH) or highly purified FSH (HPÃƒÂ¢Ã¢â€šÂ¬Ã‚ÂFSH) form, human menopausal gonadotropin (HMG) and highly purified human menopausal gonadotropin (HPÃƒÂ¢Ã¢â€šÂ¬Ã‚ÂHMG), or recombinant FSH (rFSH) were eligible. We included trials reporting on ovulation induction followed by intercourse or intrauterine insemination. We excluded studies that described coÃƒÂ¢Ã¢â€šÂ¬Ã‚Âtreatment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metaÃƒÂ¢Ã¢â€šÂ¬Ã‚Âanalysis was possible, we combined data using a fixedÃƒÂ¢Ã¢â€šÂ¬Ã‚Âeffect model to calculate the risk ratio (RR) or mean difference. We summarised the overall certainty of evidence for the main outcomes using GRADE criteria. Included studies We included 15 studies with 2348 women. Ten trials compared rFSH with urinaryÃƒÂ¢Ã¢â€šÂ¬Ã‚Âderived gonadotropins (one compared rFSH with human menopausal gonadotropin (HMG), and nine compared rFSH with urinary FSH). Three trials compared HMG with purified FSH (uFSH). One trial compared HPÃƒÂ¢Ã¢â€šÂ¬Ã‚ÂFSH with purified FSH (uFSH) and one trial compared gonadotropins with continued clomiphene citrate. Synthesis of results Recombinant FSH (rFSH) versus urinaryÃƒÂ¢Ã¢â€šÂ¬Ã‚Âderived gonadotropins There may be little or no difference in the birth rate between rFSH and urinaryÃƒÂ¢Ã¢â€šÂ¬Ã‚Âderived gonadotropins (RR 1.21, 95% confidence interval (CI) 0.83 to 1.78; 5 RCTs, 505 participants; lowÃƒÂ¢Ã¢â€šÂ¬Ã‚Âcertainty evidence). This suggests that if the observed average live birth per woman who used urinaryÃƒÂ¢Ã¢â€šÂ¬Ã‚Âderived gonadotropins is 16%, the chance of live birth with rFSH is between 13% and 28%. There may be little or no difference between groups in multiple pregnancy (RR 0.86, 95% CI 0.46 to 1.61; 8 RCTs, 1368 participants; lowÃƒÂ¢Ã¢â€šÂ¬Ã‚Âcertainty evidence), clinical pregnancy rate (RR 1.05, 95% CI 0.88 to 1.27; 8 RCTs, 1330 participants; lowÃƒÂ¢Ã¢â€šÂ¬Ã‚Âcertainty evidence), or miscarriage rate (RR 1.20, 95% CI 0.71 to 2.04; 7 RCTs, 970 participants; lowÃƒÂ¢Ã¢â€šÂ¬Ã‚Âcertainty evidence). We are uncertain whether rFSH reduces ectopic pregnancy (RR 2.81, 95% CI 0.12 to 67.90; 1 RCT, 151 participants; veryÃƒÂ¢Ã¢â€šÂ¬Ã‚Âlow certainty evidence) or the incidence of OHSS (RR 1.48, 95% CI 0.82 to 2.65; 10 RCTs, 1565 participants; very lowÃƒÂ¢Ã¢â€šÂ¬Ã‚Âcertainty evidence) when compared to urinaryÃƒÂ¢Ã¢â€šÂ¬Ã‚Âderived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moderateÃƒÂ¢Ã¢â€šÂ¬Ã‚Âcertainty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lowÃƒÂ¢Ã¢â€šÂ¬Ã‚Âcertainty evidence). Gonadotropins probably result in more clinical pregnancies than continued clomiphene citrate (RR 1.31, 95% CI 1.13 to 1.52; 1 RCT, 661 participants; moderateÃƒÂ¢Ã¢â€šÂ¬Ã‚Âcertainty evidence), and may result in more miscarriages (RR 2.23, 95% CI 1.11 to 4.47; 1 RCT, 661 participants; lowÃƒÂ¢Ã¢â€šÂ¬Ã‚Âcertainty evidence). We are uncertain if there is a difference in ectopic pregnancy between the groups (RR 0.51, 95% CI 0.09 to 2.77; 1 RCT, 661 participants; very lowÃƒÂ¢Ã¢â€šÂ¬Ã‚Âcertainty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urinaryÃƒÂ¢Ã¢â€šÂ¬Ã‚Âderived gonadotropins (derived from urine from menopausal women) and recombinant follicleÃƒÂ¢Ã¢â€šÂ¬Ã‚Âstimulating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soÃƒÂ¢Ã¢â€šÂ¬Ã‚Âcalled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follicleÃƒÂ¢Ã¢â€šÂ¬Ã‚Âstimulating hormone. Finally, recombinant follicleÃƒÂ¢Ã¢â€šÂ¬Ã‚Âstimulating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urinaryÃƒÂ¢Ã¢â€šÂ¬Ã‚Âderived gonadotropins. Three trials compared human menopausal gonadotropin with purified urinary follicleÃƒÂ¢Ã¢â€šÂ¬Ã‚Âstimulating hormone and one trial compared gonadotropins with continued clomiphene citrate. Main results There may be little or no difference in live birth, multiple pregnancy, clinical pregnancy, or miscarriage rate between purified urinaryÃƒÂ¢Ã¢â€šÂ¬Ã‚Âderived gonadotropins and recombinant follicleÃƒÂ¢Ã¢â€šÂ¬Ã‚Âstimulating hormone. We are uncertain whether human menopausal gonadotropin improves pregnancy outcomes in women with PCOS compared to urinary follicleÃƒÂ¢Ã¢â€šÂ¬Ã‚Âstimulating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</si>
  <si>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Appears to be a peer-reviewed article with research findings.</t>
  </si>
  <si>
    <t>J6288</t>
  </si>
  <si>
    <t>Stem cell injections for osteoarthritis of the knee</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</si>
  <si>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quasiÃƒÂ¢Ã¢â€šÂ¬Ã‚Ârandomised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participantÃƒÂ¢Ã¢â€šÂ¬Ã‚Âreported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plateletÃƒÂ¢Ã¢â€šÂ¬Ã‚Ârich plasma injections (two trials), oral acetaminophen (paracetamol) (one trial), nonÃƒÂ¢Ã¢â€šÂ¬Ã‚Âsteroidal antiÃƒÂ¢Ã¢â€šÂ¬Ã‚Âinflammatory drugs plus physical therapy plus hyaluronic acid injection (one trial) and stem cell injection plus intraÃƒÂ¢Ã¢â€šÂ¬Ã‚Âarticular coÃƒÂ¢Ã¢â€šÂ¬Ã‚Âintervention versus coÃƒÂ¢Ã¢â€šÂ¬Ã‚Âintervention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PlaceboÃƒÂ¢Ã¢â€šÂ¬Ã‚Âcontrolled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followÃƒÂ¢Ã¢â€šÂ¬Ã‚Âup. At the end of followÃƒÂ¢Ã¢â€šÂ¬Ã‚Âup,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followÃƒÂ¢Ã¢â€šÂ¬Ã‚Âup,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lowÃƒÂ¢Ã¢â€šÂ¬Ã‚Âcertainty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ÃƒÂ¢Ã¢â€šÂ¬Ã‚Â¢ Compared with placebo injection, stem cell injection for people with knee osteoarthritis may slightly improve pain and function. ÃƒÂ¢Ã¢â€šÂ¬Ã‚Â¢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intraÃƒÂ¢Ã¢â€šÂ¬Ã‚Âarticular glucocorticoid injection (1 study, 33 participants), hyaluronic acid injection (7 studies, 429 participants), plateletÃƒÂ¢Ã¢â€šÂ¬Ã‚Ârich plasma injection (2 studies, 142 participants), oral acetaminophen (paracetamol; 1 study, 51 participants), NSAIDs (nonÃƒÂ¢Ã¢â€šÂ¬Ã‚Âsteroidal antiÃƒÂ¢Ã¢â€šÂ¬Ã‚Âinflammatory drugs) plus physical therapy plus hyaluronic acid injection (1 study, 57 participants) and stem cell injection plus intraÃƒÂ¢Ã¢â€šÂ¬Ã‚Âarticular coÃƒÂ¢Ã¢â€šÂ¬Ã‚Âintervention versus coÃƒÂ¢Ã¢â€šÂ¬Ã‚Âintervention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ÃƒÂ¢Ã¢â€šÂ¬Ã‚Â¢ People who had stem cell injection rated their pain as 3.3 points. ÃƒÂ¢Ã¢â€šÂ¬Ã‚Â¢ People who had placebo injection rated their pain as 4.5 points. Function measured on a 0 to 100 scale (0 is best function) at six months was 14.2 points better with stem cell injection. ÃƒÂ¢Ã¢â€šÂ¬Ã‚Â¢ People who had stem cell injection rated their function as 32.1 points. ÃƒÂ¢Ã¢â€šÂ¬Ã‚Â¢ People who had placebo injection rated their function as 46.3 points. Quality of life measured on a 0 to 100 scale (0 is best function) at six months was 22.8 points better with stem cell injection. ÃƒÂ¢Ã¢â€šÂ¬Ã‚Â¢ People who had stem cell injection rated their quality of life as 68.1 points. ÃƒÂ¢Ã¢â€šÂ¬Ã‚Â¢ People who had placebo injection rated their quality of life as 45.3 points. After stem cell injection, 153 more people per 1000 rated their treatment a success at 12 months. ÃƒÂ¢Ã¢â€šÂ¬Ã‚Â¢ 683 per 1000 reported treatment success with stem cell injection. ÃƒÂ¢Ã¢â€šÂ¬Ã‚Â¢ 530 per 1000 reported treatment success with placebo injection. After stem cell injection, seven fewer people per 1000 had serious adverse events at 12 months. ÃƒÂ¢Ã¢â€šÂ¬Ã‚Â¢ 16 per 1000 people experienced a serious adverse event with stem cell injection. ÃƒÂ¢Ã¢â€šÂ¬Ã‚Â¢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upÃƒÂ¢Ã¢â€šÂ¬Ã‚ÂtoÃƒÂ¢Ã¢â€šÂ¬Ã‚Âdate is this evidence? The evidence is upÃƒÂ¢Ã¢â€šÂ¬Ã‚ÂtoÃƒÂ¢Ã¢â€šÂ¬Ã‚Âdate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</si>
  <si>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J6289</t>
  </si>
  <si>
    <t>European strategies in the screening of biliary atresia: A scoping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</si>
  <si>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Ãƒâ€šÃ‚Â© Author(s) (or their employer(s)) 2025.</t>
  </si>
  <si>
    <t>Scoping review likely peer-reviewed, not a protocol or commentary.</t>
  </si>
  <si>
    <t>J6290</t>
  </si>
  <si>
    <t>Transfusion of blood and blood products for the management of postpartum haemorrhage</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</si>
  <si>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clusterÃƒÂ¢Ã¢â€šÂ¬Ã‚Ârandomised trials, or controlled nonÃƒÂ¢Ã¢â€šÂ¬Ã‚Ârandomised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NonÃƒÂ¢Ã¢â€šÂ¬Ã‚Ârandomized Studies of Interventions (ROBINSÃƒÂ¢Ã¢â€šÂ¬Ã‚ÂI) tool. Synthesis methods We synthesised results for each outcome within each comparison using metaÃƒÂ¢Ã¢â€šÂ¬Ã‚Âanalysis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OneÃƒÂ¢Ã¢â€šÂ¬Ã‚Â to twoÃƒÂ¢Ã¢â€šÂ¬Ã‚Âunit RBCs versus no transfusion Among women with moderate blood loss, lowÃƒÂ¢Ã¢â€šÂ¬Ã‚Âcertainty evidence from one NRSI found that transfusing 1 to 2 units of RBCs to treat PPH may increase severe maternal morbidity ÃƒÂ¢Ã¢â€šÂ¬Ã¢â‚¬Å“ composite excluding intensive care unit (ICU) admission (risk ratio (RR) 7.00, 95% confidence interval (CI) 2.75 to 17.80; 2130 women) and severe maternal morbidity ÃƒÂ¢Ã¢â€šÂ¬Ã¢â‚¬Å“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lowÃƒÂ¢Ã¢â€šÂ¬Ã‚Âcertainty evidence). Fibrinogen concentrate probably results in little to no difference in severe maternal morbidity ÃƒÂ¢Ã¢â€šÂ¬Ã¢â‚¬Å“ ICU admission (RR 1.09,0 95% CI 0.80 to 1.49; 2 studies, 485 women; moderateÃƒÂ¢Ã¢â€šÂ¬Ã‚Âcertainty evidence). The evidence is very uncertain about the effect of fibrinogen concentrate on severe maternal morbidity ÃƒÂ¢Ã¢â€šÂ¬Ã¢â‚¬Å“ arterial embolisation (1 study, 430 women; very lowÃƒÂ¢Ã¢â€šÂ¬Ã‚Âcertainty evidence). One RCT (430 women) and one NRSI (730 women) reported severe maternal morbidity ÃƒÂ¢Ã¢â€šÂ¬Ã¢â‚¬Å“ hysterectomy , each of which reported different directions of effect with lowÃƒÂ¢Ã¢â€šÂ¬Ã‚Âcertainty evidence. Fibrinogen concentrate may result in little to no difference in adverse effect ÃƒÂ¢Ã¢â€šÂ¬Ã¢â‚¬Å“ thromboembolic events (RR 0.19, 95% CI 0.01 to 3.95; 2 studies, 674 women; l wÃƒÂ¢Ã¢â€šÂ¬Ã‚Âcertainty evidence). The evidence is very uncertain about the effects of fibrinogen concentrate on additional adverse effects, such as shivering or fever (1 study, 244 women; very lowÃƒÂ¢Ã¢â€šÂ¬Ã‚Âcertainty evidence). Cryoprecipitate versus no cryoprecipitate The evidence is very uncertain about the effect of cryoprecipitate on maternal death . One RCT (0 deaths; 180 women; very lowÃƒÂ¢Ã¢â€šÂ¬Ã‚Âcertainty evidence) and one NRSI (0 deaths; 157 women; very lowÃƒÂ¢Ã¢â€šÂ¬Ã‚Âcertainty evidence) reported this outcomes. The evidence is also very uncertain about the effects of cryoprecipitate on severe maternal morbidity ÃƒÂ¢Ã¢â€šÂ¬Ã¢â‚¬Å“ ICU admission , severe maternal morbidity ÃƒÂ¢Ã¢â€šÂ¬Ã¢â‚¬Å“ any organ failure , severe maternal morbidity ÃƒÂ¢Ã¢â€šÂ¬Ã¢â‚¬Å“ laparotomy , or severe maternal morbidity ÃƒÂ¢Ã¢â€šÂ¬Ã¢â‚¬Å“ uterine artery embolisation (1 study, 180 women; very lowÃƒÂ¢Ã¢â€šÂ¬Ã‚Âcertainty evidence). One RCT (180 women; very lowÃƒÂ¢Ã¢â€šÂ¬Ã‚Âcertainty evidence) and one NRSI (157 women; very lowÃƒÂ¢Ã¢â€šÂ¬Ã‚Âcertainty evidence) reported severe maternal morbidity ÃƒÂ¢Ã¢â€šÂ¬Ã¢â‚¬Å“ hysterectomy and the evidence is very uncertain. The evidence is also very uncertain about the effects of cryoprecipitate on adverse effects, such as thromboembolic events or transfusionÃƒÂ¢Ã¢â€šÂ¬Ã‚Ârelated reactions (1 study, 180 women; very lowÃƒÂ¢Ã¢â€šÂ¬Ã‚Âcertainty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LowÃƒÂ¢Ã¢â€šÂ¬Ã‚Âcertainty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</si>
  <si>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J6293</t>
  </si>
  <si>
    <t>Economic evaluation of personalised versus conventional risk assessment for women who have undergone testing for hereditary breast and ovarian cancer genes: A modelling study</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</si>
  <si>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Ãƒâ€šÃ‚Â© Author(s) (or their employer(s)) 2025. Re-use permitted under CC BY. Published by BMJ Group.</t>
  </si>
  <si>
    <t>Peer-reviewed article in BMJ Group journal</t>
  </si>
  <si>
    <t>J6295</t>
  </si>
  <si>
    <t>Cross language transformation of free text into structured lobectomy surgical records from a multi center study</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</si>
  <si>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Ãƒâ€šÃ‚Â© 2025. The Author(s).</t>
  </si>
  <si>
    <t>Peer-reviewed article on surgical records transformation</t>
  </si>
  <si>
    <t>J6296</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</si>
  <si>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t>
  </si>
  <si>
    <t>J6297</t>
  </si>
  <si>
    <t>TCTAP A-086 Implementing Vascular Scientist-Led Contrast-Enhanced Ultrasound (CEUS) Endovascular Aneurysm Repair (EVAR) Scans to Enhance the Patient Pathway in the United Kingdom</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</si>
  <si>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Ãƒâ€šÃ‚Â© 2025</t>
  </si>
  <si>
    <t>Appears to be a conference abstract, likely grey literature.</t>
  </si>
  <si>
    <t>J6299</t>
  </si>
  <si>
    <t>Economic evaluation of non-invasive test pathways for high-risk metabolic dysfunction-associated steatotic liver disease (MASLD) in the United Kingdom (UK)</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</si>
  <si>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Ãƒâ€šÃ‚Â© 2025 Fundacion Clinica Medica Sur, A.C.</t>
  </si>
  <si>
    <t>Appears to be a peer-reviewed economic evaluation study.</t>
  </si>
  <si>
    <t>J1785</t>
  </si>
  <si>
    <t>Ankle Home Stay Programme:- A review of ankle fracture management and costs at a busy district general hospital</t>
  </si>
  <si>
    <t>Introduction:</t>
  </si>
  <si>
    <t>J1787</t>
  </si>
  <si>
    <t>Is Protocolised Weaning that Includes Early Extubation Onto Non-Invasive Ventilation More Cost Effective Than Protocolised Weaning Without Non-Invasive Ventilation? Findings from the Breathe Study</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</si>
  <si>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Ãƒâ€šÃ‚Â© 2020, The Author(s).</t>
  </si>
  <si>
    <t>Peer-reviewed article with economic evaluation study.</t>
  </si>
  <si>
    <t>J1788</t>
  </si>
  <si>
    <t>Cost-effectiveness and financial risks associated with immune checkpoint inhibitor therapy</t>
  </si>
  <si>
    <t>The reimbursement of immune checkpoint inhibitors is challenging. Funding these technologies involves the careful balance between awarding innovation and ensuring affordability as increases in drug spending compete directly with other health care and social expenditure. This narrative review examines the recommendations of 2 health technology assessment agencies-the Australian Pharmaceutical Benefits Advisory Committee and the British National Institute of Clinical Excellence-to determine the factors that contribute to the approval and rejection of immune checkpoint inhibitors as well as the use of manage entry schemes and risk management strategies to control expenditure. Reimbursement decisions from 6 immune checkpoint inhibitor drugs (ipilimumab, pembrolizumab, nivolumab, durvalumab, atezolizumab, avelumab) covering 10 different cancers were examined. The extrapolation of survival beyond the clinical trial and lack of head-to-head evidence are some of the main issues relating to cost effectiveness. Payers managed financial risks using different mechanisms such as risk share agreements and financial caps. This review of the reimbursement decisions and subsequent financial impact in Australia and the UK suggests budgets for immune checkpoint inhibitor therapy have been well managed so far. Through risk agreements and managed entry programmes, the example of immune checkpoint inhibitor therapies illustrates that industry and payers can effectively collaborate to ensure that innovative, but expensive, drugs can be made readily available to patients. Copyright Ãƒâ€šÃ‚Â© 2020 The British Pharmacological Society</t>
  </si>
  <si>
    <t>J1789</t>
  </si>
  <si>
    <t>Self-Monitoring and Management of Blood Pressure in Patients with Stroke or TIA: An Economic Evaluation of TEST-BP, A Randomised Controlled Trial</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</si>
  <si>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Ãƒâ€šÃ‚Â© 2020, The Author(s).</t>
  </si>
  <si>
    <t>Peer-reviewed article from a randomized controlled trial.</t>
  </si>
  <si>
    <t>J1792</t>
  </si>
  <si>
    <t>Can network science reveal structure in a complex healthcare system? A network analysis using data from emergency surgical services</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</si>
  <si>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Ãƒâ€šÃ‚Â© Author(s) (or their employer(s)) 2020. Re-use permitted under CC BY. Published by BMJ.</t>
  </si>
  <si>
    <t>Published in BMJ, a reputable peer-reviewed journal.</t>
  </si>
  <si>
    <t>J1793</t>
  </si>
  <si>
    <t>Antibiotic prophylaxis to prevent spontaneous bacterial peritonitis in people with liver cirrhosis: a network metaÃƒÂ¢Ã¢â€šÂ¬Ã‚Âanalysis</t>
  </si>
  <si>
    <t>- Background Approximately 2.5% of all hospitalisations in people with liver cirrhosis are for spontaneous bacterial peritonitis. Spontaneous bacterial peritonitis is associated with significant shortÃƒÂ¢Ã¢â€šÂ¬Ã‚Âterm mortality; therefore, it is important to prevent spontaneous bacterial peritonitis in people at high risk of developing it. Antibiotic prophylaxis forms the mainstay preventive method, but this has to be balanced against the development of drugÃƒÂ¢Ã¢â€šÂ¬Ã‚Âresistant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metaÃƒÂ¢Ã¢â€šÂ¬Ã‚Âanalysis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metaÃƒÂ¢Ã¢â€šÂ¬Ã‚Âanalysis with OpenBUGS using Bayesian methods and calculated the odds ratio, rate ratio, and hazard ratio (HR) with 95% credible intervals (CrI) based on an availableÃƒÂ¢Ã¢â€šÂ¬Ã‚Âcase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TwentyÃƒÂ¢Ã¢â€šÂ¬Ã‚Âthree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followÃƒÂ¢Ã¢â€šÂ¬Ã‚Âup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healthÃƒÂ¢Ã¢â€šÂ¬Ã‚Ârelated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healthÃƒÂ¢Ã¢â€šÂ¬Ã‚Ârelated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lowÃƒÂ¢Ã¢â€šÂ¬Ã‚Âcertainty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intentionÃƒÂ¢Ã¢â€šÂ¬Ã‚ÂtoÃƒÂ¢Ã¢â€šÂ¬Ã‚Âtreat analysis), and use clinically important outcomes such as mortality, healthÃƒÂ¢Ã¢â€šÂ¬Ã‚Ârelated quality of life, and decompensation events. Plain language summary Use of antibiotics to prevent spontaneous bacterial peritonitis in people with advanced liver disease What was the aim of this Cochrane Review? People with advanced liver disease (liver cirrhosis, or lateÃƒÂ¢Ã¢â€šÂ¬Ã‚Âstage scarring of the liver with complications) are at risk of developing an abnormal buildÃƒÂ¢Ã¢â€šÂ¬Ã‚Âup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metaÃƒÂ¢Ã¢â€šÂ¬Ã‚Âanalysis').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nonÃƒÂ¢Ã¢â€šÂ¬Ã‚Âserious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TwentyÃƒÂ¢Ã¢â€šÂ¬Ã‚Âthree studies with 2587 participants provided data for analyses. The followÃƒÂ¢Ã¢â€šÂ¬Ã‚Âup in the trials ranged from 1 to 12 months. The review shows that: ÃƒÂ¢Ã¢â€šÂ¬Ã‚Â of the 10 different antibiotics compared in the trials, norfloxacin and rifaximin were most commonly used;ÃƒÂ¢Ã¢â€šÂ¬Ã‚Â¨ ÃƒÂ¢Ã¢â€šÂ¬Ã‚Â 15 of every 100 people died within 12 months, and 10 of every 100 people developed spontaneous bacterial peritonitis;ÃƒÂ¢Ã¢â€šÂ¬Ã‚Â¨ ÃƒÂ¢Ã¢â€šÂ¬Ã‚Â giving preventive antibiotics may make no difference to the percentage of deaths or people with serious complications; however, potentially important differences cannot be ruled out;ÃƒÂ¢Ã¢â€šÂ¬Ã‚Â¨ ÃƒÂ¢Ã¢â€šÂ¬Ã‚Â none of the trials reported quality of life or symptomatic development of spontaneous bacterial peritonitis;ÃƒÂ¢Ã¢â€šÂ¬Ã‚Â¨ ÃƒÂ¢Ã¢â€šÂ¬Ã‚Â there was evidence showing that the percentage of people who developed spontaneous bacterial peritonitis as per laboratory criteria may be reduced with sulfonamides compared with no use of antibiotics (difficult to estimate how much reduction);ÃƒÂ¢Ã¢â€šÂ¬Ã‚Â¨ ÃƒÂ¢Ã¢â€šÂ¬Ã‚Â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are;ÃƒÂ¢Ã¢â€šÂ¬Ã‚Â¨ ÃƒÂ¢Ã¢â€šÂ¬Ã‚Â future wellÃƒÂ¢Ã¢â€šÂ¬Ã‚Âdesigned trials are needed. Quality of the evidence We cannot draw any conclusions from these trials due to the sparse data.</t>
  </si>
  <si>
    <t>Peer-reviewed article identified through network meta-analysis.</t>
  </si>
  <si>
    <t>J1794</t>
  </si>
  <si>
    <t>Stratified care versus usual care for management of patients presenting with sciatica in primary care (SCOPiC): a randomised controlled trial</t>
  </si>
  <si>
    <t>Randomised controlled trial likely peer-reviewed.</t>
  </si>
  <si>
    <t>J1795</t>
  </si>
  <si>
    <t>A greener NHS: An overview of sustainable development practices in a rural district general hospital</t>
  </si>
  <si>
    <t>Aim: To assess the impact of sustainable changes to waste management and energy consumption in a rural District General Hospital in the South West of England and discuss the long-term contributions of this to a 'Greener NHS'. Method(s): Information regarding new recycling practices was obtained from the Endoscopy Department, the front runners in sustainable waste management. The Facilities Department provided the quantity of recycled waste, financial data, energy usage statistics and the measures undertaken to reduce the carbon footprint. Result(s): The key recycling interventions introduced included: substituting most single-use plastics to reusable alternatives; adjusting catering practices towards recyclable products and educating personnel to correctly recognise recyclable materials. From 2018 to 2019, there was a substantial 32% increase in recycled waste.This corresponded to an 8%reduction in waste sent to landfill and a total saving of 3051.The introduction of a 700,000 per annum saving Energy Performance Contract has resulted in a 13% improvement in carbon equivalents over the last four years.This is a result of positive steps such as using solar power, a Combined Heat and Power engine, biomass boilers and LED fittings. Conclusion(s): The implementation of a sustainability-focused action plan at grass-roots level towards is both cost-effective and vital towards achieving a 'Greener NHS'.</t>
  </si>
  <si>
    <t>Appears to be a peer-reviewed article on sustainable practices.</t>
  </si>
  <si>
    <t>J1796</t>
  </si>
  <si>
    <t>Protocol for an economic analysis of the randomised controlled trial of Improving the Well-being of people with Opioid Treated CHronic pain: I-WOTCH Study</t>
  </si>
  <si>
    <t>Introduction Over the last two decades, the use of opioids for the treatment of chronic pain in England has steadily increased despite lack of evidence of both long-term effectiveness in pain relief and significant, well-documented physical and mental adverse events. Guidelines recommend tapering when harms outweigh benefits, but the addictive nature of opioids hinders simple dose-reduction strategies. Improving the Well-being of people with Opioid Treated CHronic pain (I-WOTCH) trial tests a multicomponent self-management intervention aimed to help patients with chronic non-malignant pain taper opioid doses. This paper outlines the methods to be used for the economic analysis of the I-WOTCH intervention compared with the best usual care.</t>
  </si>
  <si>
    <t>J1800</t>
  </si>
  <si>
    <t>Interventions to reduce contaminated aerosols produced during dental procedures for preventing infectious diseases</t>
  </si>
  <si>
    <t>- Background Many dental procedures produce aerosols (droplets, droplet nuclei and splatter) that harbour various pathogenic microÃƒÆ’Ã‚Â¢ÃƒÂ¢Ã¢â‚¬Å¡Ã‚Â¬Ãƒâ€šÃ‚Âorganisms and may pose a risk for the spread of infections between dentist and patient. The COVIDÃƒÆ’Ã‚Â¢ÃƒÂ¢Ã¢â‚¬Å¡Ã‚Â¬Ãƒâ€šÃ‚Â19 pandemic has led to greater concern about this risk. Objectives To assess the effectiveness of methods used during dental treatment procedures to minimize aerosol production and reduce or neutralize contamination in aerosols. Search methods Cochrane Oral HealthÃƒÆ’Ã‚Â¢ÃƒÂ¢Ã¢â‚¬Å¡Ã‚Â¬ÃƒÂ¢Ã¢â‚¬Å¾Ã‚Â¢s Information Specialist searched the following databases on 17 September 2020: Cochrane Oral HealthÃƒÆ’Ã‚Â¢ÃƒÂ¢Ã¢â‚¬Å¡Ã‚Â¬ÃƒÂ¢Ã¢â‚¬Å¾Ã‚Â¢s Trials Register, the Cochrane Central Register of Controlled Trials (CENTRAL) (in the Cochrane Library, 2020, Issue 8), MEDLINE Ovid (from 1946); Embase Ovid (from 1980); the WHO COVIDÃƒÆ’Ã‚Â¢ÃƒÂ¢Ã¢â‚¬Å¡Ã‚Â¬Ãƒâ€šÃ‚Â19 Global literature on coronavirus disease; the US National Institutes of Health Trials Registry (ClinicalTrials.gov); and the Cochrane COVIDÃƒÆ’Ã‚Â¢ÃƒÂ¢Ã¢â‚¬Å¡Ã‚Â¬Ãƒâ€šÃ‚Â19 Study Register. We placed no restrictions on the language or date of publication. Selection criteria We included randomized controlled trials (RCTs) and controlled clinical trials (CCTs) on aerosolÃƒÆ’Ã‚Â¢ÃƒÂ¢Ã¢â‚¬Å¡Ã‚Â¬Ãƒâ€šÃ‚Âgenerating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randomÃƒÆ’Ã‚Â¢ÃƒÂ¢Ã¢â‚¬Å¡Ã‚Â¬Ãƒâ€šÃ‚Âeffects metaÃƒÆ’Ã‚Â¢ÃƒÂ¢Ã¢â‚¬Å¡Ã‚Â¬Ãƒâ€šÃ‚Âanalysis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colonyÃƒÆ’Ã‚Â¢ÃƒÂ¢Ã¢â‚¬Å¡Ã‚Â¬Ãƒâ€šÃ‚Âforming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HighÃƒÆ’Ã‚Â¢ÃƒÂ¢Ã¢â‚¬Å¡Ã‚Â¬Ãƒâ€šÃ‚Âvolume evacuator Use of a highÃƒÆ’Ã‚Â¢ÃƒÂ¢Ã¢â‚¬Å¡Ã‚Â¬Ãƒâ€šÃ‚Âvolume evacuator (HVE) may reduce bacterial contamination in aerosols less than one foot (~ 30 cm) from a patient's mouth (MD ÃƒÆ’Ã‚Â¢Ãƒâ€¹Ã¢â‚¬Â ÃƒÂ¢Ã¢â€šÂ¬Ã¢â€žÂ¢47.41, 95% CI ÃƒÆ’Ã‚Â¢Ãƒâ€¹Ã¢â‚¬Â ÃƒÂ¢Ã¢â€šÂ¬Ã¢â€žÂ¢92.76 to ÃƒÆ’Ã‚Â¢Ãƒâ€¹Ã¢â‚¬Â ÃƒÂ¢Ã¢â€šÂ¬Ã¢â€žÂ¢2.06; 3 splitÃƒÆ’Ã‚Â¢ÃƒÂ¢Ã¢â‚¬Å¡Ã‚Â¬Ãƒâ€šÃ‚Âmouth RCTs, 122 participants; very high heterogeneity IÃƒÆ’Ã¢â‚¬Å¡Ãƒâ€šÃ‚Â² = 95%), but not at longer distances (MD ÃƒÆ’Ã‚Â¢Ãƒâ€¹Ã¢â‚¬Â ÃƒÂ¢Ã¢â€šÂ¬Ã¢â€žÂ¢1.00, ÃƒÆ’Ã‚Â¢Ãƒâ€¹Ã¢â‚¬Â ÃƒÂ¢Ã¢â€šÂ¬Ã¢â€žÂ¢2.56 to 0.56; 1 RCT, 80 participants). One splitÃƒÆ’Ã‚Â¢ÃƒÂ¢Ã¢â‚¬Å¡Ã‚Â¬Ãƒâ€šÃ‚Âmouth RCT (six participants) found that HVE may not be more effective than conventional dental suction (saliva ejector or lowÃƒÆ’Ã‚Â¢ÃƒÂ¢Ã¢â‚¬Å¡Ã‚Â¬Ãƒâ€šÃ‚Âvolume evacuator) at 40 cm (MD CFU ÃƒÆ’Ã‚Â¢Ãƒâ€¹Ã¢â‚¬Â ÃƒÂ¢Ã¢â€šÂ¬Ã¢â€žÂ¢2.30, 95% CI ÃƒÆ’Ã‚Â¢Ãƒâ€¹Ã¢â‚¬Â ÃƒÂ¢Ã¢â€šÂ¬Ã¢â€žÂ¢5.32 to 0.72) or 150 cm (MD ÃƒÆ’Ã‚Â¢Ãƒâ€¹Ã¢â‚¬Â ÃƒÂ¢Ã¢â€šÂ¬Ã¢â€žÂ¢2.20, 95% CI ÃƒÆ’Ã‚Â¢Ãƒâ€¹Ã¢â‚¬Â ÃƒÂ¢Ã¢â€šÂ¬Ã¢â€žÂ¢14.01 to 9.61). Dental isolation combination system One RCT (50 participants) found that there may be no difference in CFU between a combination system (Isolite) and a saliva ejector (lowÃƒÆ’Ã‚Â¢ÃƒÂ¢Ã¢â‚¬Å¡Ã‚Â¬Ãƒâ€šÃ‚Âvolume evacuator) during AGPs (MD ÃƒÆ’Ã‚Â¢Ãƒâ€¹Ã¢â‚¬Â ÃƒÂ¢Ã¢â€šÂ¬Ã¢â€žÂ¢0.31, 95% CI ÃƒÆ’Ã‚Â¢Ãƒâ€¹Ã¢â‚¬Â ÃƒÂ¢Ã¢â€šÂ¬Ã¢â€žÂ¢0.82 to 0.20) or after AGPs (MD ÃƒÆ’Ã‚Â¢Ãƒâ€¹Ã¢â‚¬Â ÃƒÂ¢Ã¢â€šÂ¬Ã¢â€žÂ¢0.35, ÃƒÆ’Ã‚Â¢Ãƒâ€¹Ã¢â‚¬Â ÃƒÂ¢Ã¢â€šÂ¬Ã¢â€žÂ¢0.99 to 0.29). However, an 'n of 1' design study showed that the combination system may reduce CFU compared with rubber dam plus HVE (MD ÃƒÆ’Ã‚Â¢Ãƒâ€¹Ã¢â‚¬Â ÃƒÂ¢Ã¢â€šÂ¬Ã¢â€žÂ¢125.20, 95% CI ÃƒÆ’Ã‚Â¢Ãƒâ€¹Ã¢â‚¬Â ÃƒÂ¢Ã¢â€šÂ¬Ã¢â€žÂ¢174.02 to ÃƒÆ’Ã‚Â¢Ãƒâ€¹Ã¢â‚¬Â ÃƒÂ¢Ã¢â€šÂ¬Ã¢â€žÂ¢76.38) or HVE (MD ÃƒÆ’Ã‚Â¢Ãƒâ€¹Ã¢â‚¬Â ÃƒÂ¢Ã¢â€šÂ¬Ã¢â€žÂ¢109.30, 95% CI ÃƒÆ’Ã‚Â¢Ãƒâ€¹Ã¢â‚¬Â ÃƒÂ¢Ã¢â€šÂ¬Ã¢â€žÂ¢153.01 to ÃƒÆ’Ã‚Â¢Ãƒâ€¹Ã¢â‚¬Â ÃƒÂ¢Ã¢â€šÂ¬Ã¢â€žÂ¢65.59). Rubber dam One splitÃƒÆ’Ã‚Â¢ÃƒÂ¢Ã¢â‚¬Å¡Ã‚Â¬Ãƒâ€šÃ‚Âmouth RCT (10 participants) receiving dental treatment, found that there may be a reduction in CFU with rubber dam at oneÃƒÆ’Ã‚Â¢ÃƒÂ¢Ã¢â‚¬Å¡Ã‚Â¬Ãƒâ€šÃ‚Âmetre (MD ÃƒÆ’Ã‚Â¢Ãƒâ€¹Ã¢â‚¬Â ÃƒÂ¢Ã¢â€šÂ¬Ã¢â€žÂ¢16.20, 95% CI ÃƒÆ’Ã‚Â¢Ãƒâ€¹Ã¢â‚¬Â ÃƒÂ¢Ã¢â€šÂ¬Ã¢â€žÂ¢19.36 to ÃƒÆ’Ã‚Â¢Ãƒâ€¹Ã¢â‚¬Â ÃƒÂ¢Ã¢â€šÂ¬Ã¢â€žÂ¢13.04) and twoÃƒÆ’Ã‚Â¢ÃƒÂ¢Ã¢â‚¬Å¡Ã‚Â¬Ãƒâ€šÃ‚Âmetre distance (MD ÃƒÆ’Ã‚Â¢Ãƒâ€¹Ã¢â‚¬Â ÃƒÂ¢Ã¢â€šÂ¬Ã¢â€žÂ¢11.70, 95% CI ÃƒÆ’Ã‚Â¢Ãƒâ€¹Ã¢â‚¬Â  15.82 to ÃƒÆ’Ã‚Â¢Ãƒâ€¹Ã¢â‚¬Â ÃƒÂ¢Ã¢â€šÂ¬Ã¢â€žÂ¢7.58). One RCT of 47 dental students found use of rubber dam may make no difference in CFU at the forehead (MD 0.98, 95% CI ÃƒÆ’Ã‚Â¢Ãƒâ€¹Ã¢â‚¬Â ÃƒÂ¢Ã¢â€šÂ¬Ã¢â€žÂ¢0.73 to 2.70) and occipital region of the operator (MD 0.77, 95% CI ÃƒÆ’Ã‚Â¢Ãƒâ€¹Ã¢â‚¬Â ÃƒÂ¢Ã¢â€šÂ¬Ã¢â€žÂ¢0.46 to 2.00). One splitÃƒÆ’Ã‚Â¢ÃƒÂ¢Ã¢â‚¬Å¡Ã‚Â¬Ãƒâ€šÃ‚Âmouth RCT (21 participants) found that rubber dam plus HVE may reduce CFU more than cotton roll plus HVE on the patient's chest (MD ÃƒÆ’Ã‚Â¢Ãƒâ€¹Ã¢â‚¬Â ÃƒÂ¢Ã¢â€šÂ¬Ã¢â€žÂ¢251.00, 95% CI ÃƒÆ’Ã‚Â¢Ãƒâ€¹Ã¢â‚¬Â ÃƒÂ¢Ã¢â€šÂ¬Ã¢â€žÂ¢267.95 to ÃƒÆ’Ã‚Â¢Ãƒâ€¹Ã¢â‚¬Â ÃƒÂ¢Ã¢â€šÂ¬Ã¢â€žÂ¢234.05) and dental unit light (MD ÃƒÆ’Ã‚Â¢Ãƒâ€¹Ã¢â‚¬Â ÃƒÂ¢Ã¢â€šÂ¬Ã¢â€žÂ¢12.70, 95% CI ÃƒÆ’Ã‚Â¢Ãƒâ€¹Ã¢â‚¬Â ÃƒÂ¢Ã¢â€šÂ¬Ã¢â€žÂ¢12.85 to ÃƒÆ’Ã‚Â¢Ãƒâ€¹Ã¢â‚¬Â ÃƒÂ¢Ã¢â€šÂ¬Ã¢â€žÂ¢12.55). Air cleaning systems One splitÃƒÆ’Ã‚Â¢ÃƒÂ¢Ã¢â‚¬Å¡Ã‚Â¬Ãƒâ€šÃ‚Âmouth CCT (two participants) used a local standÃƒÆ’Ã‚Â¢ÃƒÂ¢Ã¢â‚¬Å¡Ã‚Â¬Ãƒâ€šÃ‚Âalone air cleaning system (ACS), which may reduce aerosol contamination during cavity preparation (MD ÃƒÆ’Ã‚Â¢Ãƒâ€¹Ã¢â‚¬Â ÃƒÂ¢Ã¢â€šÂ¬Ã¢â€žÂ¢66.70 CFU, 95% CI ÃƒÆ’Ã‚Â¢Ãƒâ€¹Ã¢â‚¬Â ÃƒÂ¢Ã¢â€šÂ¬Ã¢â€žÂ¢120.15 to ÃƒÆ’Ã‚Â¢Ãƒâ€¹Ã¢â‚¬Â ÃƒÂ¢Ã¢â€šÂ¬Ã¢â€žÂ¢13.25 per cubic metre) or ultrasonic scaling (MD ÃƒÆ’Ã‚Â¢Ãƒâ€¹Ã¢â‚¬Â ÃƒÂ¢Ã¢â€šÂ¬Ã¢â€žÂ¢32.40, 95% CI ÃƒÆ’Ã‚Â¢ÃƒÂ¢Ã¢â‚¬Å¡Ã‚Â¬Ãƒâ€šÃ‚Â 51.55 to ÃƒÆ’Ã‚Â¢Ãƒâ€¹Ã¢â‚¬Â ÃƒÂ¢Ã¢â€šÂ¬Ã¢â€žÂ¢13.25). Another CCT (50 participants) found that laminar flow in the dental clinic combined with a HEPA filter may reduce contamination approximately 76 cm from the floor (MD ÃƒÆ’Ã‚Â¢Ãƒâ€¹Ã¢â‚¬Â ÃƒÂ¢Ã¢â€šÂ¬Ã¢â€žÂ¢483.56 CFU, 95% CI ÃƒÆ’Ã‚Â¢Ãƒâ€¹Ã¢â‚¬Â ÃƒÂ¢Ã¢â€šÂ¬Ã¢â€žÂ¢550.02 to ÃƒÆ’Ã‚Â¢Ãƒâ€¹Ã¢â‚¬Â ÃƒÂ¢Ã¢â€šÂ¬Ã¢â€žÂ¢417.10 per cubic feet per minute per patient) and 20 cm to 30 cm from the patient's mouth (MD ÃƒÆ’Ã‚Â¢Ãƒâ€¹Ã¢â‚¬Â ÃƒÂ¢Ã¢â€šÂ¬Ã¢â€žÂ¢319.14 CFU, 95% CI ÃƒÆ’Ã‚Â¢ÃƒÂ¢Ã¢â‚¬Å¡Ã‚Â¬Ãƒâ€šÃ‚Â 385.60 to ÃƒÆ’Ã‚Â¢Ãƒâ€¹Ã¢â‚¬Â ÃƒÂ¢Ã¢â€šÂ¬Ã¢â€žÂ¢252.68). Disinfectants ÃƒÆ’Ã‚Â¢ÃƒÂ¢Ã¢â‚¬Å¡Ã‚Â¬ÃƒÂ¢Ã¢â€šÂ¬Ã¢â€žÂ¢ antimicrobial coolants Two RCTs evaluated use of antimicrobial coolants during ultrasonic scaling. Compared with distilled water, coolant containing chlorhexidine (CHX), cinnamon extract coolant or povidone iodine may reduce CFU: CHX (MD ÃƒÆ’Ã‚Â¢Ãƒâ€¹Ã¢â‚¬Â ÃƒÂ¢Ã¢â€šÂ¬Ã¢â€žÂ¢124.00, 95% CI ÃƒÆ’Ã‚Â¢Ãƒâ€¹Ã¢â‚¬Â ÃƒÂ¢Ã¢â€šÂ¬Ã¢â€žÂ¢135.78 to ÃƒÆ’Ã‚Â¢Ãƒâ€¹Ã¢â‚¬Â ÃƒÂ¢Ã¢â€šÂ¬Ã¢â€žÂ¢112.22; 20 participants), povidone iodine (MD ÃƒÆ’Ã‚Â¢Ãƒâ€¹Ã¢â‚¬Â ÃƒÂ¢Ã¢â€šÂ¬Ã¢â€žÂ¢656.45, 95% CI ÃƒÆ’Ã‚Â¢Ãƒâ€¹Ã¢â‚¬Â ÃƒÂ¢Ã¢â€šÂ¬Ã¢â€žÂ¢672.74 to ÃƒÆ’Ã‚Â¢Ãƒâ€¹Ã¢â‚¬Â ÃƒÂ¢Ã¢â€šÂ¬Ã¢â€žÂ¢640.16; 40 participants), cinnamon (MD ÃƒÆ’Ã‚Â¢Ãƒâ€¹Ã¢â‚¬Â ÃƒÂ¢Ã¢â€šÂ¬Ã¢â€žÂ¢644.55, 95% CI ÃƒÆ’Ã‚Â¢Ãƒâ€¹Ã¢â‚¬Â ÃƒÂ¢Ã¢â€šÂ¬Ã¢â€žÂ¢668.70 to ÃƒÆ’Ã‚Â¢Ãƒâ€¹Ã¢â‚¬Â ÃƒÂ¢Ã¢â€šÂ¬Ã¢â€žÂ¢620.40; 40 participants). CHX coolant may reduce CFU more than povidone iodine (MD ÃƒÆ’Ã‚Â¢Ãƒâ€¹Ã¢â‚¬Â ÃƒÂ¢Ã¢â€šÂ¬Ã¢â€žÂ¢59.30, 95% CI ÃƒÆ’Ã‚Â¢Ãƒâ€¹Ã¢â‚¬Â ÃƒÂ¢Ã¢â€šÂ¬Ã¢â€žÂ¢64.16 to ÃƒÆ’Ã‚Â¢Ãƒâ€¹Ã¢â‚¬Â ÃƒÂ¢Ã¢â€šÂ¬Ã¢â€žÂ¢54.44; 20 participants), but not more than cinnamon extract (MD ÃƒÆ’Ã‚Â¢Ãƒâ€¹Ã¢â‚¬Â ÃƒÂ¢Ã¢â€šÂ¬Ã¢â€žÂ¢11.90, 95% CI ÃƒÆ’Ã‚Â¢Ãƒâ€¹Ã¢â‚¬Â ÃƒÂ¢Ã¢â€šÂ¬Ã¢â€žÂ¢35.88 to 12.08; 40 participants). Authors' conclusions We found no studies that evaluated disease transmission via aerosols in a dental setting; and no evidence about viral contamination in aerosols. All of the included studies measured bacterial contamination using colonyÃƒÆ’Ã‚Â¢ÃƒÂ¢Ã¢â‚¬Å¡Ã‚Â¬Ãƒâ€šÃ‚Âforming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COVIDÃƒÆ’Ã‚Â¢ÃƒÂ¢Ã¢â‚¬Å¡Ã‚Â¬Ãƒâ€šÃ‚Â19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patientÃƒÆ’Ã‚Â¢ÃƒÂ¢Ã¢â‚¬Å¡Ã‚Â¬ÃƒÂ¢Ã¢â‚¬Å¾Ã‚Â¢s saliva, which may also contain microÃƒÆ’Ã‚Â¢ÃƒÂ¢Ã¢â‚¬Å¡Ã‚Â¬Ãƒâ€šÃ‚Âorganisms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ÃƒÆ’Ã‚Â¢ÃƒÂ¢Ã¢â‚¬Å¡Ã‚Â¬Ãƒâ€šÃ‚Â ways to decontaminate the mouth before aerosols are produced, for example by using antiÃƒÆ’Ã‚Â¢ÃƒÂ¢Ã¢â‚¬Å¡Ã‚Â¬Ãƒâ€šÃ‚Âmicrobial mouthwash; ÃƒÆ’Ã‚Â¢ÃƒÂ¢Ã¢â‚¬Å¡Ã‚Â¬Ãƒâ€šÃ‚Â ways to prevent aerosols from leaving the mouth (for example, placing a rubber sheet ÃƒÆ’Ã‚Â¢ÃƒÂ¢Ã¢â‚¬Å¡Ã‚Â¬ÃƒÂ¢Ã¢â€šÂ¬Ã…â€œ known as a ÃƒÆ’Ã‚Â¢ÃƒÂ¢Ã¢â‚¬Å¡Ã‚Â¬Ãƒâ€¹Ã…â€œdamÃƒÆ’Ã‚Â¢ÃƒÂ¢Ã¢â‚¬Å¡Ã‚Â¬ÃƒÂ¢Ã¢â‚¬Å¾Ã‚Â¢ ÃƒÆ’Ã‚Â¢ÃƒÂ¢Ã¢â‚¬Å¡Ã‚Â¬ÃƒÂ¢Ã¢â€šÂ¬Ã…â€œ around the tooth that is to be treated, to isolate the treatment zone from saliva; or using a strawÃƒÆ’Ã‚Â¢ÃƒÂ¢Ã¢â‚¬Å¡Ã‚Â¬Ãƒâ€šÃ‚Âlike suction tube known as a saliva ejector); ÃƒÆ’Ã‚Â¢ÃƒÂ¢Ã¢â‚¬Å¡Ã‚Â¬Ãƒâ€šÃ‚Â local ventilation using a suction device (known as a highÃƒÆ’Ã‚Â¢ÃƒÂ¢Ã¢â‚¬Å¡Ã‚Â¬Ãƒâ€šÃ‚Âvolume evacuator) that draws up a large volume of air and evacuates aerosols from the treatment zone; ÃƒÆ’Ã‚Â¢ÃƒÂ¢Ã¢â‚¬Å¡Ã‚Â¬Ãƒâ€šÃ‚Â general ventilation, to reduce the concentration of aerosols in t e air, for example by keeping windows open; ÃƒÆ’Ã‚Â¢ÃƒÂ¢Ã¢â‚¬Å¡Ã‚Â¬Ãƒâ€šÃ‚Â decontamination of airÃƒÆ’Ã‚Â¢ÃƒÂ¢Ã¢â‚¬Å¡Ã‚Â¬Ãƒâ€šÃ‚Âborne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ÃƒÆ’Ã‚Â¢ÃƒÂ¢Ã¢â‚¬Å¡Ã‚Â¬Ãƒâ€šÃ‚Â highÃƒÆ’Ã‚Â¢ÃƒÂ¢Ã¢â‚¬Å¡Ã‚Â¬Ãƒâ€šÃ‚Âvolume evacuator (7 studies); ÃƒÆ’Ã‚Â¢ÃƒÂ¢Ã¢â‚¬Å¡Ã‚Â¬Ãƒâ€šÃ‚Â handsÃƒÆ’Ã‚Â¢ÃƒÂ¢Ã¢â‚¬Å¡Ã‚Â¬Ãƒâ€šÃ‚Âfree suction device (2 studies); ÃƒÆ’Ã‚Â¢ÃƒÂ¢Ã¢â‚¬Å¡Ã‚Â¬Ãƒâ€šÃ‚Â saliva ejector (1 study); ÃƒÆ’Ã‚Â¢ÃƒÂ¢Ã¢â‚¬Å¡Ã‚Â¬Ãƒâ€šÃ‚Â rubber dam (3 studies); ÃƒÆ’Ã‚Â¢ÃƒÂ¢Ã¢â‚¬Å¡Ã‚Â¬Ãƒâ€šÃ‚Â rubber dam with a highÃƒÆ’Ã‚Â¢ÃƒÂ¢Ã¢â‚¬Å¡Ã‚Â¬Ãƒâ€šÃ‚Âvolume evacuator (1 study); or ÃƒÆ’Ã‚Â¢ÃƒÂ¢Ã¢â‚¬Å¡Ã‚Â¬Ãƒâ€šÃ‚Â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betterÃƒÆ’Ã‚Â¢ÃƒÂ¢Ã¢â‚¬Å¡Ã‚Â¬Ãƒâ€šÃ‚Âquality studies in this area. How up to date is this review? The evidence in this Cochrane Review is current to September 2020.</t>
  </si>
  <si>
    <t>Peer-reviewed article from Cochrane database</t>
  </si>
  <si>
    <t>J1801</t>
  </si>
  <si>
    <t>Improving Workflow Efficiency for Mammography Using Machine Learning</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</si>
  <si>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Ãƒâ€šÃ‚Â© 2019 American College of Radiology</t>
  </si>
  <si>
    <t>Peer-reviewed research article in a reputable journal</t>
  </si>
  <si>
    <t>J1803</t>
  </si>
  <si>
    <t>Newborn screening for galactosaemia</t>
  </si>
  <si>
    <t>- Background Classical galactosaemia is an autosomal recessive inborn error of metabolism caused by a deficiency of the enzyme galactoseÃƒÂ¢Ã¢â€šÂ¬Ã‚Â1ÃƒÂ¢Ã¢â€šÂ¬Ã‚Âphosphate uridyltransferase. This is a rare and potentially lethal condition that classically presents in the first week of life once milk feeds have commenced. Affected babies may present with any or all of the following: cataracts; fulminant liver failure; prolonged jaundice; or Escherichia coli sepsis. Once the diagnosis is suspected, feeds containing galactose must be stopped immediately and replaced with a soyaÃƒÂ¢Ã¢â€šÂ¬Ã‚Âbased formula. The majority of babies will recover, however a number will not survive. There are longÃƒÂ¢Ã¢â€šÂ¬Ã‚Âterm complications of galactosaemia, despite treatment, including learning disabilities and female infertility. It has been postulated that galactosaemia could be detected on newborn screening and this would prevent the immediate severe liver dysfunction and sepsis. This is an update of a previously published review. Objectives To assess whether there is evidence that newborn screening for galactosaemia prevents or reduces mortality and morbidity and improves clinical outcomes in affected neonates and the quality of life in older children. Search methods We searched the Cochrane Cystic Fibrosis and Genetic Disorders Group Trials Register comprising references identified from electronic database searches, handsearches of relevant journals and conference abstract books. We also searched online trials registries and the reference lists of relevant articles and reviews. Date of the most recent search of Cochrane Cystic Fibrosis Group's Trials Register: 12 December 2019. Date of the most recent search of additional resources: 02 February 2020. Selection criteria Randomised controlled studies and controlled clinical studies, published or unpublished comparing the use of any newborn screening test to diagnose infants with galactosaemia and presenting a comparison between a screened population versus a nonÃƒÂ¢Ã¢â€šÂ¬Ã‚Âscreened population. Data collection and analysis No studies of newborn screening for galactosaemia were found. Main results No studies were identified for inclusion in the review. Authors' conclusions We were unable to identify any eligible studies for inclusion in this review and hence it is not possible to draw any conclusions based on randomised controlled studies. However, we are aware of uncontrolled studies which support the efficacy of newborn screening for galactosaemia. There are a number of reviews and economic analyses of nonÃƒÂ¢Ã¢â€šÂ¬Ã‚Âtrial literature suggesting that screening is appropriate. Plain language summary Screening newborn babies for galactosaemia Review question We reviewed the evidence for screening newborn babies for galactosaemia in order to prevent or reduce death and illness, to improve clinical outcomes in affected babies and to improve the quality of life in affected older children. Background Galactosaemia is an inherited disease that affects the body's ability to breakdown the milk sugar galactose. Newborn babies with galactosaemia can have a variety of symptoms in the first weeks of life including poor feeding, cataracts, jaundice, an enlarged liver with liver failure or severe infection. Without treatment, babies with galactosaemia are often very unwell and highly likely to die from liver failure. Unfortunately, despite treatment, longÃƒÂ¢Ã¢â€šÂ¬Ã‚Âterm complications for people with galactosaemia include learning difficulties and fertility problems (in females). Search date The evidence is current to: 02 February 2020. Study characteristics No studies were identified for inclusion in the review. Key results No suitable studies were found, but we are aware of some uncontrolled studies which suggest newborn screening for galactosaemia and early treatment can reduce death and illness. Future research is needed to provide robust evidence for or against screening. Quality of the evidence We have not identified any relevant studies for inclusion in this review.</t>
  </si>
  <si>
    <t>Appears to be a review article with no new studies included.</t>
  </si>
  <si>
    <t>J1804</t>
  </si>
  <si>
    <t>Virtual reality distraction for acute pain in children</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</si>
  <si>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crossÃƒÂ¢Ã¢â€šÂ¬Ã‚Âover and clusterÃƒÂ¢Ã¢â€šÂ¬Ã‚ÂRCTs, comparing VR distraction to no distraction, nonÃƒÂ¢Ã¢â€šÂ¬Ã‚ÂVR distraction or other VR distraction. Data collection and analysis We used standard Cochrane methodological processes. Two reviewers assessed risk of bias and extracted data independently. The primary outcome was acute pain intensity (during procedure, and up to one hour postÃƒÂ¢Ã¢â€šÂ¬Ã‚Âprocedure). Secondary outcomes were adverse effects, child satisfaction with VR, painÃƒÂ¢Ã¢â€šÂ¬Ã‚Ârelated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SelfÃƒÂ¢Ã¢â€šÂ¬Ã‚Âreport: one study (42 participants) found no beneficial effect of nonÃƒÂ¢Ã¢â€šÂ¬Ã‚Âimmersive VR (very lowÃƒÂ¢Ã¢â€šÂ¬Ã‚Âcertainty evidence). ObserverÃƒÂ¢Ã¢â€šÂ¬Ã‚Âreport: no data. Behavioural measurements (observerÃƒÂ¢Ã¢â€šÂ¬Ã‚Âreport): two studies, 62 participants; lowÃƒÂ¢Ã¢â€šÂ¬Ã‚Âcertainty evidence. One study (n = 42) found no beneficial effect of nonÃƒÂ¢Ã¢â€šÂ¬Ã‚Âimmersive VR. One study (n = 20) found a beneficial effect favouring immersive VR. Acute pain intensity: postÃƒÂ¢Ã¢â€šÂ¬Ã‚Âprocedure SelfÃƒÂ¢Ã¢â€šÂ¬Ã‚Âreport: 10 studies, 461 participants; very lowÃƒÂ¢Ã¢â€šÂ¬Ã‚Âcertainty evidence. Four studies (n = 95) found no beneficial effect of immersive and semiÃƒÂ¢Ã¢â€šÂ¬Ã‚Âimmersive or nonÃƒÂ¢Ã¢â€šÂ¬Ã‚Âimmersive VR. Five studies (n = 357) found a beneficial effect favouring immersive VR. Another study (n = 9) reported less pain in the VR group. ObserverÃƒÂ¢Ã¢â€šÂ¬Ã‚Âreport: two studies (216 participants; lowÃƒÂ¢Ã¢â€šÂ¬Ã‚Âcertainty evidence) found a beneficial effect of immersive VR, as reported by primary caregiver/parents or nurses. One study (n = 80) found a beneficial effect of immersive VR, as reported by researchers. Behavioural measurements (observerÃƒÂ¢Ã¢â€šÂ¬Ã‚Âreport): one study (42 participants) found no beneficial effect of nonÃƒÂ¢Ã¢â€šÂ¬Ã‚Âimmersive VR (very lowÃƒÂ¢Ã¢â€šÂ¬Ã‚Âcertainty evidence). Adverse effects: five studies, 154 participants; very lowÃƒÂ¢Ã¢â€šÂ¬Ã‚Âcertainty evidence. Three studies (n = 53) reported no adverse effects. Two studies (n = 101) reported mild adverse effects (e.g. nausea) in the VR group. 2: VR distraction versus other nonÃƒÂ¢Ã¢â€šÂ¬Ã‚ÂVR distraction Acute pain intensity: during procedure SelfÃƒÂ¢Ã¢â€šÂ¬Ã‚Âreport, observerÃƒÂ¢Ã¢â€šÂ¬Ã‚Âreport and behavioural measurements (observerÃƒÂ¢Ã¢â€šÂ¬Ã‚Âreport): two studies, 106 participants: SelfÃƒÂ¢Ã¢â€šÂ¬Ã‚Âreport: one study (n = 65) found a beneficial effect favouring immersive VR and one (n = 41) found no evidence of a difference in mean pain change scores (very lowÃƒÂ¢Ã¢â€šÂ¬Ã‚Âcertainty evidence) ObserverÃƒÂ¢Ã¢â€šÂ¬Ã‚Âreport: one study (n = 65) found a beneficial effect favouring immersive VR and one (n = 41) found no evidence of a difference in mean pain change scores (lowÃƒÂ¢Ã¢â€šÂ¬Ã‚Âcertainty evidence). Behavioural measurements (observerÃƒÂ¢Ã¢â€šÂ¬Ã‚Âreport): one study (n = 65) found a beneficial effect favouring immersive VR and one (n = 41) reported a difference in mean pain change scores with fewer pain behaviours in VR group (lowÃƒÂ¢Ã¢â€šÂ¬Ã‚Âcertainty evidence). Acute pain intensity: postÃƒÂ¢Ã¢â€šÂ¬Ã‚Âprocedure SelfÃƒÂ¢Ã¢â€šÂ¬Ã‚Âreport: eight studies, 575 participants; very lowÃƒÂ¢Ã¢â€šÂ¬Ã‚Âcertainty evidence. Two studies (n = 146) found a beneficial effect favouring immersive VR. Two studies (n = 252) reported a betweenÃƒÂ¢Ã¢â€šÂ¬Ã‚Âgroup difference favouring immersive VR. One study (n = 59) found no beneficial effect of immersive VR versus television and Child Life nonÃƒÂ¢Ã¢â€šÂ¬Ã‚ÂVR distraction. One study (n = 18) found no beneficial effect of semiÃƒÂ¢Ã¢â€šÂ¬Ã‚Âimmersive VR. Two studies (n = 100) reported no betweenÃƒÂ¢Ã¢â€šÂ¬Ã‚Âgroup difference. ObserverÃƒÂ¢Ã¢â€šÂ¬Ã‚Âreport: three studies, 187 participants; lowÃƒÂ¢Ã¢â€šÂ¬Ã‚Âcertainty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(observerÃƒÂ¢Ã¢â€šÂ¬Ã‚Âreport): two studies, 106 participants; lowÃƒÂ¢Ã¢â€šÂ¬Ã‚Âcertainty evidence. One study (n = 65) found a beneficial effect favouring immersive VR. Another study (n = 41) reported no evidence of a difference in mean pain change scores. Adverse effects: six studies, 429 participants; very lowÃƒÂ¢Ã¢â€šÂ¬Ã‚Âcertainty evidence. Three studies (n = 229) found no evidence of a difference between groups. Two studies (n = 141) reported no adverse effects in VR group. One study (n = 59) reported no beneficial effect in reducing estimated cyberÃƒÂ¢Ã¢â€šÂ¬Ã‚Âsickness before and after VR immersion. 3: VR distraction versus other VR distraction We did not identify any studies for this comparison. Authors' conclusions We found lowÃƒÂ¢Ã¢â€šÂ¬Ã‚Âcertainty and very lowÃƒÂ¢Ã¢â€šÂ¬Ã‚Âcertainty evidence of the effectiveness of VR distraction compared to no distraction or other nonÃƒÂ¢Ã¢â€šÂ¬Ã‚ÂVR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wellÃƒÂ¢Ã¢â€šÂ¬Ã‚Âdesigned, large, highÃƒÂ¢Ã¢â€šÂ¬Ã‚Âquality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ÃƒÂ¢Ã¢â€šÂ¬Ã‚Â FullyÃƒÂ¢Ã¢â€šÂ¬Ã‚Âimmersive: users typically wear a headset with headphones and a screen, and interact with the virtual environment as if they were really in it. ÃƒÂ¢Ã¢â€šÂ¬Ã‚Â SemiÃƒÂ¢Ã¢â€šÂ¬Ã‚Âimmersive: users interact with a partially virtual environment (for example, a flight simulator where the controls are real, but the windows display virtual images). ÃƒÂ¢Ã¢â€šÂ¬Ã‚Â NonÃƒÂ¢Ã¢â€šÂ¬Ã‚Âimmersive: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nonÃƒÂ¢Ã¢â€šÂ¬Ã‚Âvirtual distraction. No studies compared different types of virtual reality. During a medical procedure We cannot tell whether virtual reality reduces selfÃƒÂ¢Ã¢â€šÂ¬Ã‚Âreported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fullyÃƒÂ¢Ã¢â€šÂ¬Ã‚Âimmersive virtual reality was beneficial compared to nonÃƒÂ¢Ã¢â€šÂ¬Ã‚Âvirtual distraction, but not in the other. FullyÃƒÂ¢Ã¢â€šÂ¬Ã‚Âimmersive virtual reality may reduce pain assessed by an observer based on children's behaviour (for example, crying, or rubbing a body part in a way that indicates pain) more effectively than nonÃƒÂ¢Ã¢â€šÂ¬Ã‚Âvirtual distraction (two studies) or no distraction (one study). NonÃƒÂ¢Ã¢â€šÂ¬Ã‚Âimmersive virtual reality was not beneficial for pain assessed by an observer based on children's behaviour compared to no distraction (one study). A fter a medical procedure We cannot tell whether virtual reality can reduce selfÃƒÂ¢Ã¢â€šÂ¬Ã‚Âreported pain after a medical procedure, as we have too little confidence in the evidence available (16 studies). Five studies investigated changes in pain assessed by an observer. Virtual reality was beneficial compared to no distraction in two studies, and also when compared to nonÃƒÂ¢Ã¢â€šÂ¬Ã‚Âvirtual distraction in another two studies. However, it was no better than nonÃƒÂ¢Ã¢â€šÂ¬Ã‚Âvirtual distraction in one study. Two studies investigating pain assessed by an observer based on children's behaviour reported conflicting findings: immersive virtual reality was beneficial compared to nonÃƒÂ¢Ã¢â€šÂ¬Ã‚Âvirtual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wellÃƒÂ¢Ã¢â€šÂ¬Ã‚Âdesigned studies in this area. How upÃƒÂ¢Ã¢â€šÂ¬Ã‚Âto date is this review? The evidence in this Cochrane Review is current to October 2019.</t>
  </si>
  <si>
    <t>J1806</t>
  </si>
  <si>
    <t>Organised inpatient (stroke unit) care for stroke: network metaÃƒÂ¢Ã¢â€šÂ¬Ã‚Âanalysis</t>
  </si>
  <si>
    <t>- Background Organised inpatient (stroke unit) care is provided by multiÃƒÂ¢Ã¢â€šÂ¬Ã‚Âdisciplinary teams that manage stroke patients. This can been provided in a ward dedicated to stroke patients (stroke ward), with a peripatetic stroke team (mobile stroke team), or within a generic disability service (mixed rehabilitation ward). Team members aim to provide coÃƒÂ¢Ã¢â€šÂ¬Ã‚Âordinated multiÃƒÂ¢Ã¢â€šÂ¬Ã‚Âdisciplinary care using standard approaches to manage common postÃƒÂ¢Ã¢â€šÂ¬Ã‚Âstroke problems. Objectives ÃƒÂ¢Ã¢â€šÂ¬Ã‚Â¢ To assess the effects of organised inpatient (stroke unit) care compared with an alternative service. ÃƒÂ¢Ã¢â€šÂ¬Ã‚Â¢ To use a network metaÃƒÂ¢Ã¢â€šÂ¬Ã‚Âanalysis (NMA) approach to assess different types of organised inpatient (stroke unit) care for people admitted to hospital after a stroke (the standard comparator was care in a general ward). Originally, we conducted this systematic review to clarify: ÃƒÂ¢Ã¢â€šÂ¬Ã‚Â¢ The characteristic features of organised inpatient (stroke unit) care? ÃƒÂ¢Ã¢â€šÂ¬Ã‚Â¢ Whether organised inpatient (stroke unit) care provide better patient outcomes than alternative forms of care? ÃƒÂ¢Ã¢â€šÂ¬Ã‚Â¢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coÃƒÂ¢Ã¢â€šÂ¬Ã‚Âordinators of the original trials, assessed risk of bias, and applied GRADE. The primary outcome was poor outcome (death or dependency (Rankin score 3 to 5) or requiring institutional care) at the end of scheduled followÃƒÂ¢Ã¢â€šÂ¬Ã‚Âup.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followÃƒÂ¢Ã¢â€šÂ¬Ã‚Âup (median one year): poor outcome (odds ratio (OR) 0.77, 95% confidence interval (CI) 0.69 to 0.87; moderateÃƒÂ¢Ã¢â€šÂ¬Ã‚Âquality evidence), death (OR 0.76, 95% CI 0.66 to 0.88; moderateÃƒÂ¢Ã¢â€šÂ¬Ã‚Âquality evidence), death or institutional care (OR 0.76, 95% CI 0.67 to 0.85; moderateÃƒÂ¢Ã¢â€šÂ¬Ã‚Âquality evidence), and death or dependency (OR 0.75, 95% CI 0.66 to 0.85; moderateÃƒÂ¢Ã¢â€šÂ¬Ã‚Âquality evidence). Evidence was of very low quality for subjective health status and was not available for patient satisfaction. Analysis of length of stay was complicated by variations in definitio and measurement plus substantial statistical heterogeneity (IÃƒâ€šÃ‚Â²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followÃƒÂ¢Ã¢â€šÂ¬Ã‚Âup. Outcomes appeared to be independent of patient age, sex, initial stroke severity, stroke type, and duration of followÃƒÂ¢Ã¢â€šÂ¬Ã‚Âup.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followÃƒÂ¢Ã¢â€šÂ¬Ã‚Âup (OR 0.78, 95% CI 0.68 to 0.91; moderateÃƒÂ¢Ã¢â€šÂ¬Ã‚Âquality evidence). Direct comparison of mobile stroke team versus general ward: two trials (438 participants) compared care from a mobile stroke team with care in general wards. Stroke team care may result in little difference in the odds of a poor outcome at the end of followÃƒÂ¢Ã¢â€šÂ¬Ã‚Âup (OR 0.80, 95% CI 0.52 to 1.22; lowÃƒÂ¢Ã¢â€šÂ¬Ã‚Âquality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followÃƒÂ¢Ã¢â€šÂ¬Ã‚Âup (OR 0.65, 95% CI 0.47 to 0.90; moderateÃƒÂ¢Ã¢â€šÂ¬Ã‚Âquality evidence). In a NMA using care in a general ward as the comparator, the odds of a poor outcome were as follows: stroke ward ÃƒÂ¢Ã¢â€šÂ¬Ã‚Â OR 0.74, 95% CI 0.62 to 0.89, moderateÃƒÂ¢Ã¢â€šÂ¬Ã‚Âquality evidence; mobile stroke team ÃƒÂ¢Ã¢â€šÂ¬Ã‚Â OR 0.88, 95% CI 0.58 to 1.34, lowÃƒÂ¢Ã¢â€šÂ¬Ã‚Âquality evidence; mixed rehabilitation ward ÃƒÂ¢Ã¢â€šÂ¬Ã‚Â OR 0.70, 95% CI 0.52 to 0.95, lowÃƒÂ¢Ã¢â€šÂ¬Ã‚Âquality evidence. Authors' conclusions We found moderateÃƒÂ¢Ã¢â€šÂ¬Ã‚Âquality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ÃƒÂ¢Ã¢â€šÂ¬Ã‚Â¨Does organised inpatient (stroke unit) care improve the recovery of people with stroke in hospital compared with conventional care in general wards? Background ÃƒÂ¢Ã¢â€šÂ¬Ã‚Â¨Organised inpatient (stroke unit) care is a form of care provided in hospital by nurses, doctors, and therapists who specialise in looking after people with stroke. They aim to work as a coÃƒÂ¢Ã¢â€šÂ¬Ã‚Âordinated team to provide the most appropriate care tailored to the needs of individual people with stroke. Study characteristics ÃƒÂ¢Ã¢â€šÂ¬Ã‚Â¨We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ÃƒÂ¢Ã¢â€šÂ¬Ã‚Â¨At an average of 12 months after their stroke, people who received organised inpatient (stroke unit) care were more likely to be alive (an extra two people surviving for every 100 receiving stroke unit care; moderateÃƒÂ¢Ã¢â€šÂ¬Ã‚Âquality evidence) and living at home (an extra six patients for every 100 receiving stroke unit care; moderateÃƒÂ¢Ã¢â€šÂ¬Ã‚Âquality evidence). They also were more lik ly to be independent in daily activities (an extra six patients for every 100 receiving stroke unit care; moderateÃƒÂ¢Ã¢â€šÂ¬Ã‚Âquality evidence). The apparent benefits were seen in men and women, older and younger patients, and people with different types of stroke and different stroke severity. Benefits were most obvious when the stroke unit was based in a discrete stroke ward. Quality of the evidence ÃƒÂ¢Ã¢â€šÂ¬Ã‚Â¨We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lowÃƒÂ¢Ã¢â€šÂ¬Ã‚Âquality evidence. Conclusion ÃƒÂ¢Ã¢â€šÂ¬Ã‚Â¨People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</si>
  <si>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J1807</t>
  </si>
  <si>
    <t>Telerehabilitation services for stroke</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</si>
  <si>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faceÃƒÂ¢Ã¢â€šÂ¬Ã‚ÂtoÃƒÂ¢Ã¢â€šÂ¬Ã‚Âface or when added to usual care. Objectives To determine whether the use of telerehabilitation leads to improved ability to perform activities of daily living amongst stroke survivors when compared with (1) inÃƒÂ¢Ã¢â€šÂ¬Ã‚Âperson rehabilitation (when the clinician and the patient are at the same physical location and rehabilitation is provided faceÃƒÂ¢Ã¢â€šÂ¬Ã‚ÂtoÃƒÂ¢Ã¢â€šÂ¬Ã‚Âface); or (2) no rehabilitation or usual care. Secondary objectives were to determine whether use of telerehabilitation leads to greater independence in selfÃƒÂ¢Ã¢â€šÂ¬Ã‚Âcare and domestic life and improved mobility, balance, healthÃƒÂ¢Ã¢â€šÂ¬Ã‚Ârelated quality of life, depression, upper limb function, cognitive function or functional communication when compared with inÃƒÂ¢Ã¢â€šÂ¬Ã‚Âperson rehabilitation and no rehabilitation. Additionally, we aimed to report on the presence of adverse events, costÃƒÂ¢Ã¢â€šÂ¬Ã‚Âeffectiveness,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inÃƒÂ¢Ã¢â€šÂ¬Ã‚Âperson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inÃƒÂ¢Ã¢â€šÂ¬Ã‚Âperson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postÃƒÂ¢Ã¢â€šÂ¬Ã‚Âhospital discharge support programs, upper limb training, lower limb and mobility retraining and communication therapy for people with postÃƒÂ¢Ã¢â€šÂ¬Ã‚Âstroke language disorders. Studies were either conducted upon discharge from hospital or with people in the subacute or chronic phases following stroke. Primary outcome: we found moderateÃƒÂ¢Ã¢â€šÂ¬Ã‚Âquality evidence that there was no difference in activities of daily living between people who received a postÃƒÂ¢Ã¢â€šÂ¬Ã‚Âhospital discharge telerehabilitation intervention and those who received usual care (based on 2 studies with 661 participants (standardised mean difference (SMD) ÃƒÂ¢Ã¢â€šÂ¬Ã‚Â0.00, 95% confidence interval (CI) ÃƒÂ¢Ã¢â€šÂ¬Ã‚Â0.15 to 0.15)). We found lowÃƒÂ¢Ã¢â€šÂ¬Ã‚Âquality evidence of no difference in effects on activities of daily living between telerehabilitation and inÃƒÂ¢Ã¢â€šÂ¬Ã‚Âperson physical therapy programmes (based on 2 studies w th 75 participants: SMD 0.03, 95% CI ÃƒÂ¢Ã¢â€šÂ¬Ã‚Â0.43 to 0.48). Secondary outcomes: we found a low quality of evidence that there was no difference between telerehabilitation and inÃƒÂ¢Ã¢â€šÂ¬Ã‚Âperson rehabilitation for balance outcomes (based on 3 studies with 106 participants: SMD 0.08, 95%CI ÃƒÂ¢Ã¢â€šÂ¬Ã‚Â0.30 to 0.46). Pooling of three studies with 569 participants showed moderateÃƒÂ¢Ã¢â€šÂ¬Ã‚Âquality evidence that there was no difference between those who received postÃƒÂ¢Ã¢â€šÂ¬Ã‚Âdischarge support interventions and those who received usual care on healthÃƒÂ¢Ã¢â€šÂ¬Ã‚Ârelated quality of life (SMD 0.03, 95% CI ÃƒÂ¢Ã¢â€šÂ¬Ã‚Â0.14 to 0.20). Similarly, pooling of six studies (with 1145 participants) found moderateÃƒÂ¢Ã¢â€šÂ¬Ã‚Âquality evidence that there was no difference in depressive symptoms when comparing postÃƒÂ¢Ã¢â€šÂ¬Ã‚Âdischarge teleÃƒÂ¢Ã¢â€šÂ¬Ã‚Âsupport programs with usual care (SMD ÃƒÂ¢Ã¢â€šÂ¬Ã‚Â0.04, 95% CI ÃƒÂ¢Ã¢â€šÂ¬Ã‚Â0.19 to 0.11). We found no difference between groups for upper limb function (based on 3 studies with 170 participants: mean difference (MD) 1.23, 95% CI ÃƒÂ¢Ã¢â€šÂ¬Ã‚Â2.17 to 4.64, lowÃƒÂ¢Ã¢â€šÂ¬Ã‚Âquality evidence) when a computer program was used to remotely retrain upper limb function in comparison to inÃƒÂ¢Ã¢â€šÂ¬Ã‚Âperson therapy. Evidence was insufficient to draw conclusions on the effects of telerehabilitation on mobility or participant satisfaction with the intervention. No studies evaluated the costÃƒÂ¢Ã¢â€šÂ¬Ã‚Âeffectiveness of telerehabilitation; however, five of the studies reported health service utilisation outcomes or costs of the interventions provided within the study. Two studies reported on adverse events, although no serious trialÃƒÂ¢Ã¢â€šÂ¬Ã‚Ârelated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moderateÃƒÂ¢Ã¢â€šÂ¬Ã‚Âlevel evidence testing whether telerehabilitation is a more effective or similarly effective way to provide rehabilitation. ShortÃƒÂ¢Ã¢â€šÂ¬Ã‚Âterm postÃƒÂ¢Ã¢â€šÂ¬Ã‚Âhospital discharge telerehabilitation programmes have not been shown to reduce depressive symptoms, improve quality of life, or improve independence in activities of daily living when compared with usual care. Studies comparing telerehabilitation and inÃƒÂ¢Ã¢â€šÂ¬Ã‚Âperson therapy have also not found significantly different outcomes between groups, suggesting that telerehabilitation is not inferior. Some studies reported that telerehabilitation was less expensive to provide but information was lacking about costÃƒÂ¢Ã¢â€šÂ¬Ã‚Âeffectiveness.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ÃƒÂ¢Ã¢â€šÂ¬Ã‚Â¨ This review aimed to gather evidence for the use of telerehabilitation after stroke. We aimed to compare telerehabilitation with therapy delivered faceÃƒÂ¢Ã¢â€šÂ¬Ã‚ÂtoÃƒÂ¢Ã¢â€šÂ¬Ã‚Âface and with no therapy (usual care). Background ÃƒÂ¢Ã¢â€šÂ¬Ã‚Â¨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ÃƒÂ¢Ã¢â€šÂ¬Ã‚Â¨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ÃƒÂ¢Ã¢â€šÂ¬Ã‚Â¨ As the studies were very different, it was rarely appropriate to combine results to determine overall effect. We found that people who received telerehabilitation had similar outcomes for activities of daily living function to those that received faceÃƒÂ¢Ã¢â€šÂ¬Ã‚ÂtoÃƒÂ¢Ã¢â€šÂ¬Ã‚Âface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costÃƒÂ¢Ã¢â€šÂ¬Ã‚Âeffectiveness. Only two trials reported on whether or not any adverse events had occurred; these trials found no serious adverse events were related to telerehabilitation. Further trials are required. Quality of the evidence ÃƒÂ¢Ã¢â€šÂ¬Ã‚Â¨ The quality of the evidence was generally of low or moderate quality. The quality of the evidence for each outcome was limited due to small numbers of study participants and poor reporting of study details.</t>
  </si>
  <si>
    <t>J1809</t>
  </si>
  <si>
    <t>Behavioural modification interventions for medically unexplained symptoms in primary care: systematic reviews and economic evaluation</t>
  </si>
  <si>
    <t>&lt;b&gt;BACKGROUND&lt;/b&gt;: The term 'medically unexplained symptoms' is used to cover a wide range of persistent bodily complaints for which adequate examination and appropriate investigations do not reveal sufficiently explanatory structural or other specified pathologies. A wide range of interventions may be delivered to patients presenting with medically unexplained symptoms in primary care. Many of these therapies aim to change the behaviours of the individual who may have worsening symptoms._x000D_
&lt;b&gt;OBJECTIVES&lt;/b&gt;: An evidence synthesis to determine the clinical effectiveness and cost-effectiveness of behavioural modification interventions for medically unexplained symptoms delivered in primary care settings was undertaken. Barriers to and facilitators of the effectiveness and acceptability of these interventions from the perspective of patients and service providers were evaluated through qualitative review and realist synthesis._x000D_
&lt;b&gt;DATA SOURCES&lt;/b&gt;: Full search strategies were developed to identify relevant literature. Eleven electronic sources were searched. Eligibility criteria - for the review of clinical effectiveness, randomised controlled trials were sought. For the qualitative review, UK studies of any design were included. For the cost-effectiveness review, papers were restricted to UK studies reporting outcomes as quality-adjusted life-year gains. Clinical searches were conducted in November 2015 and December 2015, qualitative searches were conducted in July 2016 and economic searches were conducted in August 2016. The databases searched included MEDLINE, Cumulative Index to Nursing and Allied Health Literature (CINAHL), PsycINFO and EMBASE. Updated searches were conducted in February 2019 and March 2019._x000D_
&lt;b&gt;PARTICIPANTS&lt;/b&gt;: Adult participants meeting the criteria for medically unexplained symptoms, including somatoform disorders, chronic unexplained pain and functional somatic syndromes._x000D_
&lt;b&gt;INTERVENTIONS&lt;/b&gt;: Behavioural interventions were categorised into types. These included psychotherapies, exercise-based interventions, multimodal therapies (consisting of more than one intervention type), relaxation/stretching/social support/emotional support, guided self-help and general practitioner interventions, such as reattribution. Evidence synthesis: a network meta-analysis was conducted to allow a simultaneous comparison of all evaluated interventions in a single coherent analysis. Separate network meta-analyses were performed at three time points: end of treatment, short-term follow-up (&lt; 6 months since the end of treatment) and long-term follow-up (&gt;= 6 months after the end of treatment). Outcomes included physical and psychological symptoms, physical functioning and impact of the illness on daily activities. Economic evaluation: within-trial estimates of cost-effectiveness were generated for the subset of studies where utility values (or quality-adjusted life-years) were reported or where these could be estimated by mapping from Short Form questionnaire-36 items or Short Form questionnaire-12 items outcomes._x000D_
&lt;b&gt;RESULTS&lt;/b&gt;: Fifty-nine studies involving 9077 patients were included in the clinical effectiveness review. There was a large degree of heterogeneity both between and within intervention types, and the networks were sparse across all outcomes. At the end of treatment, behavioural interventions showed some beneficial effects when compared with usual care, in particular for improvement of specific physical symptoms [(1) pain: high-intensity cognitive-behavioural therapy (CBTHI) standardised mean difference (SMD) 0.54 [95% credible interval (CrI) 0.28 to 0.84], multimodal SMD 0.52 (95% CrI 0.19 to 0.89); and (2) fatigue: low-intensity cognitive-behavioural therapy (CBTLI) SMD 0.72 (95% CrI 0.27 to 1.21), relaxation/stretching/social support/emotional support SMD 0.87 (95% CrI 0.20 to 1.55), graded activity SMD 0.51 (95% CrI 0.14 to 0.93), multimodal SMD 0.52 (95% CrI 0.14 to 0.92)] and psychological outcomes [(1) anxiety CBTHI SMD 0.52 (95% CrI 0.06 to 0.96); (2) depression CBTHI SMD 0.80 (95% CrI 0.26 to 1.38); and (3) emotional distress other psychotherapy SMD 0.58 (95% CrI 0.05 to 1.13), relaxation/stretching/social support/emotional support SMD 0.66 (95% CrI 0.18 to 1.28) and sport/exercise SMD 0.49 (95% CrI 0.03 to 1.01)]. At short-term follow-up, behavioural interventions showed some beneficial effects for specific physical symptoms [(1) pain: CBTHI SMD 0.73 (95% CrI 0.10 to 1.39); (2) fatigue: CBTLI SMD 0.62 (95% CrI 0.11 to 1.14), relaxation/stretching/social support/emotional support SMD 0.51 (95% CrI 0.06 to 1.00)] and psychological outcomes [(1) anxiety: CBTHI SMD 0.74 (95% CrI 0.14 to 1.34); (2) depression: CBTHI SMD 0.93 (95% CrI 0.37 to 1.52); and (3) emotional distress: relaxation/stretching/social support/emotional support SMD 0.82 (95% CrI 0.02 to 1.65), multimodal SMD 0.43 (95% CrI 0.04 to 0.91)]. For physical functioning, only multimodal therapy showed beneficial effects: end-of-treatment SMD 0.33 (95% CrI 0.09 to 0.59); and short-term follow-up SMD 0.78 (95% CrI 0.23 to 1.40). For impact on daily activities, CBTHI was the only behavioural intervention to show beneficial effects [end-of-treatment SMD 1.30 (95% CrI 0.59 to 2.00); and short-term follow-up SMD 2.25 (95% CrI 1.34 to 3.16)]. Few effects remained at long-term follow-up. General practitioner interventions showed no significant beneficial effects for any outcome. No intervention group showed conclusive beneficial effects for measures of symptom load (somatisation). A large degree of heterogeneity was found across individual studies in the assessment of cost-effectiveness. Several studies suggested that the interventions produce fewer quality-adjusted life-years than usual care. For those interventions that generated quality-adjusted life-year gains, the mid-point incremental cost-effectiveness ratios (ICERs) ranged from 1397 to 129,267, but, where the mid-point ICER fell below 30,000, the exploratory assessment of uncertainty suggested that it may be above 30,000._x000D_
&lt;b&gt;LIMITATIONS&lt;/b&gt;: Sparse networks meant that it was not possible to conduct a metaregression to explain between-study differences in effects. Results were not consistent within intervention type, and there were considerable differences in characteristics between studies of the same type. There were moderate to high levels of statistical heterogeneity. Separate analyses were conducted for three time points and, therefore, analyses are not repeated-measures analyses and do not account for correlations between time points._x000D_
&lt;b&gt;CONCLUSIONS&lt;/b&gt;: Behavioural interventions showed some beneficial effects for specific medically unexplained symptoms, but no one behavioural intervention was effective across all medically unexplained symptoms. There was little evidence that these interventions are effective for measures of symptom load (somatisation). General practitioner-led interventions were not shown to be effective. Considerable heterogeneity in interventions, populations and sparse networks mean that results should be interpreted with caution. The relationship between patient and service provider is perceived to play a key role in facilitating a successful intervention. Future research should focus on testing the therapeutic effects of the general practitioner-patient relationship within trials of behavioural interventions, and explaining the observed between-study differences in effects within the same intervention type (e.g. with more detailed reporting of defined mechanisms of the interventions under study)._x000D_
&lt;b&gt;STUDY REGISTRATION&lt;/b&gt;: This study is registered as PROSPERO CRD42015025520._x000D_
&lt;b&gt;FUNDING&lt;/b&gt;: This project was funded by the National Institute for Health Research (NIHR) Health Technology Assessment programme and will be published in full in Health Technology Assessment; Vol. 24, No. 46. See the NIHR Journals Library website for further project information.</t>
  </si>
  <si>
    <t>Peer-reviewed systematic review and economic evaluation.</t>
  </si>
  <si>
    <t>J1810</t>
  </si>
  <si>
    <t>Behavioural modification interventions for medically unexplained symptoms in primary care: Systematic reviews and economic evaluation</t>
  </si>
  <si>
    <t>BACKGROUND</t>
  </si>
  <si>
    <t>Systematic review likely peer-reviewed, not a protocol/editorial/commentary.</t>
  </si>
  <si>
    <t>J1811</t>
  </si>
  <si>
    <t>Alcohol misuse and patient outcomes following admission to the intensive care unit at royal preston hospital-are we making good use of medical resources?</t>
  </si>
  <si>
    <t>A number of factors have led to the increased prevalence of alcohol misuse in the UK for the past few decades (1-3). Alcohol-related harm is now a leading cause of death (3,4), and has become a significant burden, especially to our healthcare system (1). A small number of these patients require admission to the intensive care unit (ICU) but their prognosis remains uncertain. There is inconsistent use of ICU regarding such individuals, which have inevitably impacted on the quality of patient care in this cohort. In this retrospective audit study, we attempted to a) investigate the on-unit and long-term survival of patients who had been admitted to the ICU at Royal Preston Hospital as a result of alcohol misuse; b) explore various factors which might have contributed to such outcomes; c) discuss, in the context of the wider society, in order to explore the ethical implications of admitting such patients to the ICU, and how the decision making will inevitably impact on efficacy of treatment and resource allocation. We reviewed 79 patients who were admitted to the ICU of Royal Preston Hospital following alcoholrelated harm against their survival outcomes. Receiver Operating Characteristic Curves, logistical Regression and Kaplan-Meier Survival Curves were used to determine the association between patient markers and their prognoses. These admissions were shown to be costly (approximately 900,432 over the 18-month period), and generally carried a poor prognosis (mortality rate=38%). Child-Pugh scores and the Model for End-Stage Liver Disease (MELD) were associated with good prognostic power. In addition, several factors were demonstrated to be associated with worse survival outcomes: female gender (odds ratio=6.67, p=0.0002), hypoglycaemia (odds ratio=4.33, p=0.0044), hypothermia (odds ratio=4.90, p=0.0048), raised lactate (odds ratio= 7.25, p=0.0004), raised alkaline phosphatase (ALP, odds ratio=4.03, p=0.0078). Many patients from this cohort would have benefited from end of life care, of which the stronger focus on symptom relief is in agreement with the principle of beneficence and non-maleficence. We noted that pre-agreed care plans that reflects individual patients' realistic prognoses would have played an important role in guiding such admissions to protect their autonomy. The question of resource allocation and social justice has become more important amid deteriorating national performance in cancer treatment (5). Elective cancer operations required shorter ICU stays (p=0.0028) and came with a possible lower mortality rate (p=0.5505). The bed days from alcohol-related admissions could have in theory accommodated 108 elective cancer surgeries per annum. Preventative strategies and personal lifestyle choice alterations are urgently needed to combat alcoholrelated harm. For the unfortunate patients who have become seriously ill from alcohol misuse, Child-Pugh scores, MELD scores, female gender, hypoglycaemia, hypothermia, raised lactate, raised alkaline phosphatase are found to be associated with adverse outcomes after admission to the intensive care unit.</t>
  </si>
  <si>
    <t>Retrospective audit study, likely peer-reviewed.</t>
  </si>
  <si>
    <t>J3595</t>
  </si>
  <si>
    <t>Impact of video-assisted thoracoscopic lobectomy versus open lobectomy for lung cancer on recovery assessed using self-reported physical function: VIOLET RCT</t>
  </si>
  <si>
    <t>&lt;b&gt;BACKGROUND&lt;/b&gt;: Lung cancer is the leading cause of cancer death. Surgery remains the main method of managing early-stage disease. Minimal-access video-assisted thoracoscopic surgery results in less tissue trauma than open surgery; however, it is not known if it improves patient outcomes._x000D_
&lt;b&gt;OBJECTIVE&lt;/b&gt;: To compare the clinical effectiveness and cost-effectiveness of video-assisted thoracoscopic surgery lobectomy with open surgery for the treatment of lung cancer._x000D_
&lt;b&gt;DESIGN, SETTING AND PARTICIPANTS&lt;/b&gt;: A multicentre, superiority, parallel-group, randomised controlled trial with blinding of participants (until hospital discharge) and outcome assessors conducted in nine NHS hospitals. Adults referred for lung resection for known or suspected lung cancer, with disease suitable for both surgeries, were eligible. Participants were followed up for 1 year._x000D_
&lt;b&gt;INTERVENTIONS&lt;/b&gt;: Participants were randomised 1 : 1 to video-assisted thoracoscopic surgery lobectomy or open surgery. Video-assisted thoracoscopic surgery used one to four keyhole incisions without rib spreading. Open surgery used a single incision with rib spreading, with or without rib resection._x000D_
&lt;b&gt;MAIN OUTCOME MEASURES&lt;/b&gt;: The primary outcome was self-reported physical function (using the European Organisation for Research and Treatment of Cancer Quality of Life Questionnaire Core 30) at 5 weeks. Secondary outcomes included upstaging to pathologic node stage 2 disease, time from surgery to hospital discharge, pain in the first 2 days, prolonged pain requiring analgesia at &gt; 5 weeks, adverse health events, uptake of adjuvant treatment, overall and disease-free survival, quality of life (Quality of Life Questionnaire Core 30, Quality of Life Questionnaire Lung Cancer 13 and EQ-5D) at 2 and 5 weeks and 3, 6 and 12 months, and cost-effectiveness._x000D_
&lt;b&gt;RESULTS&lt;/b&gt;: A total of 503 patients were randomised between July 2015 and February 2019 (video-assisted thoracoscopic surgery, n = 247; open surgery, n = 256). One participant withdrew before surgery. The mean age of patients was 69 years; 249 (49.5%) patients were men and 242 (48.1%) did not have a confirmed diagnosis. Lobectomy was performed in 453 of 502 (90.2%) participants and complete resection was achieved in 429 of 439 (97.7%) participants. Quality of Life Questionnaire Core 30 physical function was better in the video-assisted thoracoscopic surgery group than in the open-surgery group at 5 weeks (video-assisted thoracoscopic surgery, n = 247; open surgery, n = 255; mean difference 4.65, 95% confidence interval 1.69 to 7.61; p = 0.0089). Upstaging from clinical node stage 0 to pathologic node stage 1 and from clinical node stage 0 or 1 to pathologic node stage 2 was similar (p &gt;= 0.50). Pain scores were similar on day 1, but lower in the video-assisted thoracoscopic surgery group on day 2 (mean difference -0.54, 95% confidence interval -0.99 to -0.09; p = 0.018). Analgesic consumption was 10% lower (95% CI -20% to 1%) and the median hospital stay was less (4 vs. 5 days, hazard ratio 1.34, 95% confidence interval 1.09, 1.65; p = 0.006) in the video-assisted thoracoscopic surgery group than in the open-surgery group. Prolonged pain was also less (relative risk 0.82, 95% confidence interval 0.72 to 0.94; p = 0.003). Time to uptake of adjuvant treatment, overall survival and progression-free survival were similar (p &gt;= 0.28). Fewer participants in the video-assisted thoracoscopic surgery group than in the open-surgery group experienced complications before and after discharge from hospital (relative risk 0.74, 95% confidence interval 0.66 to 0.84; p &lt; 0.001 and relative risk 0.81, 95% confidence interval 0.66 to 1.00; p = 0.053, respectively). Quality of life to 1 year was better across several domains in the video-assisted thoracoscopic surgery group than in the open-surgery group. The probability that video-assisted thoracoscopic surgery is cost-effective at a willingness-to-pay threshold of 20,000 per quality-adjusted life-year is 1._x000D_
&lt;b&gt;LIMITATIONS&lt;/b&gt;: Ethnic minorities were under-represented compared with the UK population (&lt; 5%), but the cohort reflected the lung cancer population._x000D_
&lt;b&gt;CONCLUSIONS&lt;/b&gt;: Video-assisted thoracoscopic surgery lobectomy was associated with less pain, fewer complications and better quality of life without any compromise to oncologic outcome. Use of video-assisted thoracoscopic surgery is highly likely to be cost-effective for the NHS._x000D_
&lt;b&gt;FUTURE WORK&lt;/b&gt;: Evaluation of the efficacy of video-assisted thoracoscopic surgery with robotic assistance, which is being offered in many hospitals._x000D_
&lt;b&gt;TRIAL REGISTRATION&lt;/b&gt;: This trial is registered as ISRCTN13472721._x000D_
&lt;b&gt;FUNDING&lt;/b&gt;: This project was funded by the National Institute for Health and Care Research ( NIHR ) Health Technology Assessment programme and will be published in full in Health Technology Assessment; Vol. 26, No. 48. See the NIHR Journals Library website for further project information.</t>
  </si>
  <si>
    <t>J3596</t>
  </si>
  <si>
    <t>RCT suggests peer-reviewed article.</t>
  </si>
  <si>
    <t>J3599</t>
  </si>
  <si>
    <t>A psychological intervention by community pharmacies to prevent depression in adults with subthreshold depression and long-term conditions: the CHEMIST pilot RCT</t>
  </si>
  <si>
    <t>&lt;b&gt;BACKGROUND&lt;/b&gt;: Depression is common in people with long-term health conditions, and this combination can lead to worsened health outcomes and increased health-care costs. Subthreshold depression, a risk factor for major depression, is prevalent in this population, but many people remain untreated due to the demand on services. The community pharmacy may be an alternative setting to offer mental health support; however, insufficient evidence exists to support implementation._x000D_
&lt;b&gt;OBJECTIVES&lt;/b&gt;: To conduct a feasibility study and pilot randomised controlled trial of a community pharmacy-delivered psychological intervention aimed at preventing depression in adults with long-term health conditions._x000D_
&lt;b&gt;DESIGN&lt;/b&gt;: A feasibility study with nested qualitative evaluation and an external pilot, two-arm, 1 : 1 individually randomised controlled trial with nested process and economic evaluations._x000D_
&lt;b&gt;SETTING&lt;/b&gt;: Community pharmacies in the north of England._x000D_
&lt;b&gt;PARTICIPANTS&lt;/b&gt;: Adults aged &gt;= 18 years with subthreshold depression and at least one long-term health condition._x000D_
&lt;b&gt;INTERVENTION&lt;/b&gt;: A bespoke enhanced support intervention (behavioural activation within a collaborative care framework) involving up to six sessions delivered by trained community pharmacy staff (intervention facilitators) compared with usual care._x000D_
&lt;b&gt;MAIN OUTCOME MEASURES&lt;/b&gt;: Recruitment and retention rates, completeness of outcome measures and intervention engagement. The intended primary outcome was depression severity at 4 months, assessed by the Patient Health Questionnaire-9._x000D_
&lt;b&gt;RESULTS&lt;/b&gt;: In the feasibility study, 24 participants were recruited. Outcome measure completeness was 95-100%. Retention at 4 months was 83%. Seventeen participants (71%) commenced intervention sessions and all completed two or more sessions. Depression symptoms reduced slightly at 4 months. The process evaluation suggested that the intervention was acceptable to participants and intervention facilitators. In the pilot randomised controlled trial, 44 participants (target of 100 participants) were randomised (intervention, n = 24; usual care, n = 20). Outcome measure completeness was 100%. Retention at 4 months was 93%. Eighteen participants (75%) commenced intervention sessions and 16 completed two or more sessions. Depression symptoms reduced slightly at 4 months, with a slightly larger reduction in the usual-care arm, although the small sample size limits any conclusions. The process evaluation reported good acceptability of the intervention and identified barriers associated with study implementation and its impact on core pharmacy functions. The economic analysis revealed some indication of reduced resource use/costs associated with the intervention, but this is limited by the small sample size. Intervention costs were low._x000D_
&lt;b&gt;LIMITATIONS&lt;/b&gt;: The main limitation is the small sample size due to difficulties with recruitment and barriers to implementing the study within existing pharmacy practices._x000D_
&lt;b&gt;CONCLUSIONS&lt;/b&gt;: The community pharmacy represents a new setting to deliver a depression prevention intervention. Recruitment was a challenge and pharmacy staff encountered barriers to effective implementation of the study within busy pharmacy practice. Despite these challenges, good retention rates and intervention engagement were demonstrated, and process evaluation suggested that the intervention was acceptable in this setting. To the best of our knowledge, this is the first study to demonstrate that community pharmacy staff can be trained to deliver a depression prevention intervention._x000D_
&lt;b&gt;FUTURE WORK&lt;/b&gt;: Further work is needed to address barriers to recruitment, intervention delivery and implementation of psychological interventions in the community pharmacy setting._x000D_
&lt;b&gt;TRIAL REGISTRATION&lt;/b&gt;: This trial is registered as ISRCTN11290592._x000D_
&lt;b&gt;FUNDING&lt;/b&gt;: This project was funded by the National Institute for Health Research (NIHR) Public Health Research programme and will be published in full in Public Health Research; Vol. 10, No. 5. See the NIHR Journals Library website for further project information.</t>
  </si>
  <si>
    <t>J3605</t>
  </si>
  <si>
    <t>Interventions for the eradication of meticillinÃƒÂ¢Ã¢â€šÂ¬Ã‚Âresistant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</si>
  <si>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MeticillinÃƒÂ¢Ã¢â€šÂ¬Ã‚Âresistant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quasiÃƒÂ¢Ã¢â€šÂ¬Ã‚Ârandomised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quasiÃƒÂ¢Ã¢â€šÂ¬Ã‚ÂRCTs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threeÃƒÂ¢Ã¢â€šÂ¬Ã‚Âweek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lowÃƒÂ¢Ã¢â€šÂ¬Ã‚Âcertainty evidence). However, by day 168 of followÃƒÂ¢Ã¢â€šÂ¬Ã‚Âup, there was no difference between groups in the proportion of participants who remained MRSAÃƒÂ¢Ã¢â€šÂ¬Ã‚Ânegative (OR 1.17, 95% CI 0.31 to 4.42; lowÃƒÂ¢Ã¢â€šÂ¬Ã‚Âcertainty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lowÃƒÂ¢Ã¢â€šÂ¬Ã‚Âcertainty evidence) or the change from baseline in lung function or weight (both very lowÃƒÂ¢Ã¢â€šÂ¬Ã‚Âcertainty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lowÃƒÂ¢Ã¢â€šÂ¬Ã‚Âcertainty evidence). No differences between groups were seen in lung function or adverse effects (lowÃƒÂ¢Ã¢â€šÂ¬Ã‚Âcertainty evidence), in quality of life (very lowÃƒÂ¢Ã¢â€šÂ¬Ã‚Âcertainty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MRSAÃƒÂ¢Ã¢â€šÂ¬Ã‚Ânegative respiratory cultures at day 28. However, followÃƒÂ¢Ã¢â€šÂ¬Ã‚Âup at three or six months showed no difference between treatment and control in the proportion of participants remaining MRSAÃƒÂ¢Ã¢â€šÂ¬Ã‚Ânegative. Moreover, the longerÃƒÂ¢Ã¢â€šÂ¬Ã‚Âterm clinical consequences ÃƒÂ¢Ã¢â€šÂ¬Ã¢â‚¬Å“ in terms of lung function, mortality and cost of care ÃƒÂ¢Ã¢â€šÂ¬Ã¢â‚¬Å“ remain unclear. Using GRADE methodology, we judged the certainty of the evidence provided by this review to be very low to low, due to potential biases from the openÃƒÂ¢Ã¢â€šÂ¬Ã‚Âlabel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meticillinÃƒÂ¢Ã¢â€šÂ¬Ã‚Âresistant Staphylococcus aureus (MRSA) from the lungs of people with cystic fibrosis Review question We looked for evidence for the effects of different ways of clearing meticillinÃƒÂ¢Ã¢â€šÂ¬Ã‚Âresistant Staphylococcus aureus (MRSA), a soÃƒÂ¢Ã¢â€šÂ¬Ã‚Âcalled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(coÃƒÂ¢Ã¢â€šÂ¬Ã‚Âtrimoxazole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flareÃƒÂ¢Ã¢â€šÂ¬Ã‚Âups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longerÃƒÂ¢Ã¢â€šÂ¬Ã‚Âterm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</si>
  <si>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J3606</t>
  </si>
  <si>
    <t>A multidomain decision support tool to prevent falls in older people: the FinCH cluster RCT</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</si>
  <si>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Ãƒâ€šÃ‚Â© 2022 Logan et al.</t>
  </si>
  <si>
    <t>J3607</t>
  </si>
  <si>
    <t>Standard threshold laser versus subthreshold micropulse laser for adults with diabetic macular oedema: the DIAMONDS non-inferiority RCT</t>
  </si>
  <si>
    <t>RCT suggests peer-reviewed research article</t>
  </si>
  <si>
    <t>J3608</t>
  </si>
  <si>
    <t>HTA186 Cost-Effectiveness Analysis of Tirbanibulin for the Treatment of Actinic Keratosis From a Scottish NHS Perspective</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</si>
  <si>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Ãƒâ€šÃ‚Â© 2022</t>
  </si>
  <si>
    <t>Appears to be a peer-reviewed article on cost-effectiveness analysis.</t>
  </si>
  <si>
    <t>J3609</t>
  </si>
  <si>
    <t>Heparin versus 0.9% sodium chloride locking for prevention of occlusion in central venous catheters in adults</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</si>
  <si>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ÃƒÂ¢Ã¢â‚¬Â°Ã‚Â¥ 18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CVCÃƒÂ¢Ã¢â€šÂ¬Ã‚Ârelated bloodstream infections and CVCÃƒÂ¢Ã¢â€šÂ¬Ã‚Ârelated colonisation, mortality, haemorrhage, heparinÃƒÂ¢Ã¢â€šÂ¬Ã‚Âinduced thrombocytopaenia, CVCÃƒÂ¢Ã¢â€šÂ¬Ã‚Ârelated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metaÃƒÂ¢Ã¢â€šÂ¬Ã‚Âanalysis were available from all RCTs. We noted differences in methods used by the included studies and variation in heparin concentrations (10 to 5000 IU/mL), time to followÃƒÂ¢Ã¢â€šÂ¬Ã‚Âup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lowÃƒÂ¢Ã¢â€šÂ¬Ã‚Âcertainty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ÃƒÂ¢Ã¢â€šÂ¬Ã‚Â0.10 to 0.99; 6 studies; 1788 participants; lowÃƒÂ¢Ã¢â€šÂ¬Ã‚Âcertainty evidence). Secondary outcomes We found no clear evidence of a difference in the following outcomes: CVCÃƒÂ¢Ã¢â€šÂ¬Ã‚Ârelated bloodstream infections (RR 0.66, 95% CI 0.08 to 5.80; 3 studies; 1127 participants; very lowÃƒÂ¢Ã¢â€šÂ¬Ã‚Âcertainty evidence); mortality (RR 0.76, 95% CI 0.44 to 1.31; 3 studies; 1100 participants; very lowÃƒÂ¢Ã¢â€šÂ¬Ã‚Âcertainty evidence); haemorrhage (RR 1.54, 95% CI 0.41 to 5.74; 3 studies; 1197 participants; very lowÃƒÂ¢Ã¢â€šÂ¬Ã‚Âcertainty evidence); or heparinÃƒÂ¢Ã¢â€šÂ¬Ã‚Âinduced thrombocytopaenia (RR 0.21, 95% CI 0.01 to 4.27; 3 studies; 443 participants; very lowÃƒÂ¢Ã¢â€šÂ¬Ã‚Âcertainty evidence). The main reasons for downgrading the certainty of evidence for the primary and secondary outcomes were unclear allocation concealment, suspicion of publication bias, imprecision and inconsistency. Authors' conclusions Given the lowÃƒÂ¢Ã¢â€šÂ¬Ã‚Âcertainty evidence, we are uncertain whether intermittent locking with heparin results in fewer central venous catheter occlusions than intermittent locking with normal saline in adults. LowÃƒÂ¢Ã¢â€šÂ¬Ã‚Âcertainty evidence suggests that heparin may have little or no effect on catheter patency duration. Although we found no evidence of differences in safety (CVCÃƒÂ¢Ã¢â€šÂ¬Ã‚Ârelated bloodstream infections, mortality, or haemorrha e), the combined studies were not powered to detect rare adverse events such as heparinÃƒÂ¢Ã¢â€šÂ¬Ã‚Âinduced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wellÃƒÂ¢Ã¢â€šÂ¬Ã‚Âdesigned, largeÃƒÂ¢Ã¢â€šÂ¬Ã‚Âscale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catheterÃƒÂ¢Ã¢â€šÂ¬Ã‚Ârelated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</si>
  <si>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J3610</t>
  </si>
  <si>
    <t>Predicting the cost impact of dose individualisation associated with pharmacogenetic testing to avoid adverse drug reactions in a specialist cancer centre - a methodological template</t>
  </si>
  <si>
    <t>Introduction: Pre-emptive pharmacogenetic testing can help minimise adverse drug reactions (ADRs) however most economic evaluations exploring its cost-effectiveness are based on single-pharmacogene testing.1,2 Currently, there is no nationally established multi-gene panel testing for ADR gene-drug pairs to guide dose individualisation, mainly due to lack of robust economic evidence.3 Economic modelling frameworks require detailed considerations of all the eventualities in health outcomes to fully assess the impact of implementing pharmacogenetic testing in avoiding ADRs.4 The relevance of such framework is dependent on the perspective of the policymakers, particularly when full economic evaluation is not feasible or when decision-making process only requires information pertaining to the short-term cost impact of implementing a new healthcare intervention. Objectives * To assess the cost impact associated with dose individualisation based on acting upon result findings of pharmacogenetic panel testing in a specialist cancer centre. * To evaluate the range in cost impact and identify contributing factors to consider when prioritising drug-gene pairs for panel testing. Methods * Identify dispensing data for clinically actionable (Level A evidence) drug-gene pairs from the Clinical Pharmacogenetics Implementation Consortium (CPIC) between April 2019 - April 2020. [5] Clinical trials prescriptions were excluded. * Calculate the total expenditure spent on the studied population based on mean prescribed dose for each drug using costs from British National Formulary (BNF). [6] * Calculate the total expenditure after implementing dose individualisation in affected population based on population prevalence of the gene-drug pair variants and CPIC prescribing guidelines. [5] * Compare cost difference between total expenditures before and after adjusting for genetic findings. Results/Key findings: Between April 2019 and 2020, a total of 8173 patients (68,200 prescriptions) were prescribed with one of the eleven drugs identified (Table 1). Evaluation of cost savings through geneticbased dose individualisation was between 114,938 to 452,190 (3.34 to 14.33 per prescription); exclusive of the cost of testing. Majority of orally administered drugs have negligible cost impact, except for voriconazole which, despite only prescribed in 23 patients, has the highest cost impact. When using the highest cost per drug unit, there were significant increases in the cost impact for amitriptyline (from 138 to 45,653), fluorouracil (from 2234 to 47,027), irinotecan (from 29,205 to 129,916), and tamoxifen (from 1798 to 24,452). As the cost of ADR pharmacogenes panel-test remains unknown, this study predicted that the maximum cost of such test can vary between 14.06 to 55.33 per patient. To ensure dose individualisation remains costsaving, restricting testing to selected patient groups where the projected cost-savings are lower than the cost of test for 70% of patients is recommended. Limitation(s): This study assumed that dose individualisation was acted upon existing genetic findings. Study also assumed that dose individualisation results in total ADR avoidance. The cost saving from ADR avoidance is not included. Study only reviewed population prevalence data from Caucasian ethnicity. Conclusion(s): This study demonstrated that genetic-based dose individualisation can be cost-saving and have considerable cost impact for certain drugs. It also highlighted key factors to consider when prioritising drug-gene pairs for panel testing integration. Probabilistic analysis can be further employed to study uncertainties around the estimates obtained within this analysis.</t>
  </si>
  <si>
    <t>Appears to be a peer-reviewed article with economic evaluation study.</t>
  </si>
  <si>
    <t>J3611</t>
  </si>
  <si>
    <t>Pharmacist and Homeless Outreach Engagement and Non-medical Independent prescribing Rx (PHOENIx): A study protocol for a pilot randomised controlled trial</t>
  </si>
  <si>
    <t>Introduction The number of people experiencing homelessness (PEH) is increasing worldwide. Systematic reviews show high levels of multimorbidity and mortality. Integrated health and social care outreach interventions may improve outcomes. No previous studies have targeted PEH with recent drug overdose despite high levels of drug-related deaths and few data describe their health/social care problems. Feasibility work suggests a collaborative health and social care intervention (Pharmacist and Homeless Outreach Engagement and Non-medical Independent prescribing Rx, PHOENIx) is potentially beneficial. We describe the methods of a pilot randomised controlled trial (RCT) with parallel process and economic evaluation of PEH with recent overdose. Methods and analysis Detailed health and social care information will be collected before randomisation to care-As-usual plus visits from a pharmacist and a homeless outreach worker (PHOENIx) for 6-9 months or to care-As-usual. The outcomes are the rates of presentations to emergency department for overdose or other causes and whether to progress to a definitive RCT: recruitment of &gt;=100 participants within 4 months, &gt;=60% of patients remaining in the study at 6 and 9 months, &gt;=60% of patients receiving the intervention, and &gt;=80% of patients with data collected. The secondary outcomes include health-related quality of life, hospitalisations, treatment uptake and patient-reported measures. Semistructured interviews will explore the future implementation of PHOENIx, the reasons for overdose and protective factors. We will assess the feasibility of conducting a cost-effectiveness analysis. Ethics and dissemination The study was approved by South East Scotland National Health Service Research Ethics Committee 01. Results will be made available to PEH, the study funders and other researchers. Trial registration number ISRCTN10585019. Copyright Ãƒâ€šÃ‚Â© Author(s) (or their employer(s)) 2022.</t>
  </si>
  <si>
    <t>J3612</t>
  </si>
  <si>
    <t>Improving the health of people experiencing homelessness with recent drug overdose: rationale for and design of the Pharmacist and Homeless Outreach worker Engagement Non-medical Independent prescribing Rx (PHOENIx) pilot randomised controlled trial</t>
  </si>
  <si>
    <t>Introduction Numbers of People Experiencing Homelessness (PEH) are increasing worldwide. Systematic reviews show high levels of multimorbidity and mortality due to treatable diseases including drug overdose. Integrated health and social care outreach interventions may improve outcomes. No previous studies have targeted PEH with recent drug overdose despite their high recorded levels of drug related deaths. There are few data on health and social care problems. Feasibility work suggests a collaborative health and social care intervention (Pharmacist and Homeless Outreach Engagement Non-medical Independent prescriber Rx-PHOENIx) is potentially beneficial. We describe the methods of a pilot randomised controlled trial(RCT) with parallel process and economic evaluation in PEH with at least one drug-related overdose in the preceding 6 months. Methods Detailed health and social care information will be collected at baseline before 1:1 randomisation to: care-as-usual plus visits from a pharmacist and homeless outreach worker (PHOENIx) for 6-9 months; or care-as-usual. The main outcomes are rate of presentations to emergency department(ED) for overdose or other causes and whether to progress to a definitive RCT based on: recruitment of &gt;= 100 participants within 4 months;&gt;= 60% patients remaining in the study at 6 and 9 months follow up;&gt;= 60% of patients in the PHOENIx group receiving the intervention; and&gt;= 80% of patients with data collected. Secondary outcomes include: hospitalisations; treatment uptake and patient reported measures. Semi-structured interviews will explore future implementation of PHOENIx, and reasons for overdose and protective factors. An economic evaluation will assess the feasibility of conducting a cost effectiveness analysis in a subsequent definitive trial. Discussion(s): The study will determine whether to proceed to a definitive RCT for PEH aiming to fulfil unmet health and social care needs of those experiencing homelessness and at risk of drug related harms and deaths while providing useful insights into barriers and facilitators to PHOENIx and characterising the health and social care needs of PEH. Ethics and dissemination: The trial was approved by the South East Scotland National Health Service Research Ethics Committee 01. Results will be available in the last quarter of 2022. Copyright The copyright holder for this preprint is the author/funder, who has granted medRxiv a license to display the preprint in perpetuity. It is made available under a CC-BY 4.0 International license.</t>
  </si>
  <si>
    <t>J3613</t>
  </si>
  <si>
    <t>CREATION of A MULTI-DISCIPLINARY TEAM (MDT) RHEUMATOLOGY CLINIC at UNIVERSITY COLLEGE LONDON HOSPITAL (UCLH) to TACKLE the BACKLOG of PATIENTS WAITING for TREATMENT AS A RESULT of the COVID-19 PANDEMIC</t>
  </si>
  <si>
    <t>Background: Covid-19 has consumed hospital resources since January 2020. In the UK, routine care has been disrupted with an estimated 30 million fewer outpatient attendances (2020/21) and over 6 million patients waiting for consultant led care (1). The British Society for Rheumatology 'Rheumatology Workforce: a crisis in numbers (2021)' highlights the challenges facing National Health Service rheumatology departments in managing rising caseloads (2). In 2021, UCLH wait time for follow up rheumatology appointments was 9 months. We were inundated with patients requiring urgent treatment. Innovative ways of running outpatients were required which led to the formation of an MDT clinic. Objective(s): Create a Rheumatology MDT clinic to: Reduce follow up time Increase clinic capacity Reduce number of hospital attendances Add value to each clinic encounter Methods: The consultant lead identifed an existing clinical nurse specialist (CNS) interested in supporting the MDT. With a UCLH Outpatient Transformation grant of 15,000 we recruited an advanced physiotherapy practitioner (APP) and administrator for a 6 month trial period. Managerial support was provided by the board. We met weekly to agree aims and allocate responsibilities. We did the following: Reviewed clinic lists for 6 months to identify duplicate appointments. Identifed patients with CNS and consultant follow up scheduled in a short time frame and cancelled unnecessary appointments. Reviewed the clinic list weekly to identify patients suitable for APP management. This allowed overbooking of urgent cases. Embedded hand ultrasound appointments in the clinic template. Created CNS 'Zoom' virtual drop-ins for routine enquiries to reduce the administrative burden of patient emails/phone calls occurring outside the clinic. Organised patient participation sessions to help shape the service and collected patient feedback questionnaires. Result(s): We reduced our waiting time for follow up appointments from 9 months to 2 months. Pre-MDT the average wait from consultant referral to physiotherapist appointment was 55 days. The MDT allows for same day assessment (reducing 2-3 patient journeys a clinic) and where suitable, facilitates discharge or onwards referral to the appropriate service i.e. pain management, hand therapy, APP-led hypermobility programme. A dedicated MDT CNS has shortened treatment times, reduced email traffic between CNS and consultant and allows for same day, joint decision making resulting in fewer appointments. Patients welcomed the Zoom sessions as an efficient, reliable method of raising concerns/queries. Our administrator helps to facilitate communication between patients and clinicians and streamline MDT processes. Embedding point of care ultrasound reduces hospital visits and enhances treatment decision making thereby reducing follow up attendances. Conclusion(s): Our MDT model has reduced waiting lists, decreased treatment delays and cut the number of hospital visits. Performing ultrasound in clinic helped prevent patients being sent for scans at private providers. This cost saving likely covers the APP, ensuring the project is close to cost neutral. Shared decision making added value to outpatient attendances, refected in patients positive feedback. The MDT enhances the role of APP and CNS, utilising their unique skill set. Administrative support is crucial, enhances team working and places added value on this often underappreciated role. We encourage other Rheumatology departments to adopt an MDT approach to tackle the backlog of patients awaiting treatment, add value to clinic encounters and maximise the skill set of clinicians involved in patient care.</t>
  </si>
  <si>
    <t>J3614</t>
  </si>
  <si>
    <t>Social prescribing for frequent attenders in primary care: An economic analysis</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</si>
  <si>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Ãƒâ€šÃ‚Â© 2022 Lynch and Jones.</t>
  </si>
  <si>
    <t>Peer-reviewed article with economic analysis</t>
  </si>
  <si>
    <t>J3615</t>
  </si>
  <si>
    <t>Effectiveness and cost-effectiveness of text messages with or without endowment incentives for weight management in men with obesity (Game of Stones): study protocol for a randomised controlled trial</t>
  </si>
  <si>
    <t>Background: Obesity increases the risk of type 2 diabetes, heart disease, stroke, mobility problems and some cancers, and its prevalence is rising. Men engage less than women in existing weight loss interventions. Game of Stones builds on a successful feasibility study and aims to find out if automated text messages with or without endowment incentives are effective and cost-effective for weight loss at 12 months compared to a waiting list comparator arm in men with obesity. Method(s): A 3-arm, parallel group, assessor-blind superiority randomised controlled trial with process evaluation will recruit 585 adult men with body mass index of 30 kg/m&lt;sup&gt;2&lt;/sup&gt; or more living in and around three UK centres (Belfast, Bristol, Glasgow), purposively targeting disadvantaged areas. Intervention groups: (i) automated, theory-informed text messages daily for 12 months plus endowment incentives linked to verified weight loss targets at 3, 6 and 12 months; (ii) the same text messages and weight loss assessment protocol; (iii) comparator group: 12 month waiting list, then text messages for 3 months. The primary outcome is percentage weight change at 12 months from baseline. Secondary outcomes at 12 months are as follows: quality of life, wellbeing, mental health, weight stigma, behaviours, satisfaction and confidence. Follow-up includes weight at 24 months. A health economic evaluation will measure cost-effectiveness over the trial and over modelled lifetime: including health service resource-use and quality-adjusted life years. The cost-utility analysis will report incremental cost per quality-adjusted life years gained. Participant and service provider perspectives will be explored via telephone interviews, and exploratory mixed methods process evaluation analyses will focus on mental health, multiple long-term conditions, health inequalities and implementation strategies. Discussion(s): The trial will report whether text messages (with and without cash incentives) can help men to lose weight over 1 year and maintain this for another year compared to a comparator group; the costs and benefits to the health service; and men's experiences of the interventions. Process analyses with public involvement and service commissioner input will ensure that this open-source digital self-care intervention could be sustainable and scalable by a range of NHS or public services. Trial registration: ISRCTN 91974895. Registered on 14/04/2021. Copyright Ãƒâ€šÃ‚Â© 2022, The Author(s).</t>
  </si>
  <si>
    <t>J3616</t>
  </si>
  <si>
    <t>Cost-utility analysis of robotic-assisted radical cystectomy for bladder cancer compared to open radical cystectomy in the United Kingdom</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</si>
  <si>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Ãƒâ€šÃ‚Â© 2022 Machleid et al. This is an open access article distributed under the terms of the Creative Commons Attribution License, which permits unrestricted use, distribution, and reproduction in any medium, provided the original author and source are credited.</t>
  </si>
  <si>
    <t>J3618</t>
  </si>
  <si>
    <t>'Pn for Pn': Parenteral Nutrition for Preterm Neonates: Perspectives of a District General Hospital in Implementation of Nice Guidelines - a Quality Improvement Project</t>
  </si>
  <si>
    <t>Aims Early administration of parenteral nutrition in preterm infants is recommended with regional guidelines using absolute criterion based around gestation or birthweight to determine the need for this form of nutrition. In 2020, NICE updated their guidance for administration of parental nutrition in preterm neonates, advocating a gestational cut-off of less than 31 weeks and introducing an 8 hour administration window. We used the PDSA framework to guide the implementation of these changes. In this quality improve project, we describe the process and challenges of implementing these recommendations in our level two unit, which admits babies with a gestation greater than 27 weeks. Methods Prior to implementation, a GAP analysis was performed comparing local practice to the new NICE recommendations. This highlighted several areas that would need addressing if these guidelines were to be adopted. Retrospective and prospective quantitative data was collected from 01/12/2019 to 30/9/2021 to identify the impact of any changes made. Forty-five neonates who were started on parenteral nutrition were identified and their records reviewed. Of these, twenty-three were excluded as they were ex-utero transfers or above the gestational age threshold. Results Figure 1 summarises the results of the GAP analysis, and steps taken to address each area in the PDSA framework. Following collaboration with multiple teams from trust governance, to pharmacy and infection control, a new standard operating procedure was created for the safe preparation and administration of neonatal parenteral nutrition. Table 1 compares the management of these preterm neonates before and after the implementation of this operating procedure. Conclusion The results highlight the feasibility of application and adherence to the updated guidelines in a level two neonatal unit. Practical challenges from safe storage to prescription were addressed through collaborative working with the trust pharmacy committee allowing for a cost-effective, safe and successful protocol to be implemented. However, there is still room for improvement, with the average time for PN administration out of hours varying from 8-10hours. It would be interesting to compare our experiences to similar intensity units across the UK or tertiary neonatal units and share the good practice. (Table Presented).</t>
  </si>
  <si>
    <t>J3619</t>
  </si>
  <si>
    <t>WILL (When to Induce Labour to Limit risk in pregnancy hypertension): a multicentre randomised controlled trial - adaptations to deliver a timing-of-birth trial during the COVID-19 international pandemic</t>
  </si>
  <si>
    <t>&lt;b&gt;BACKGROUND&lt;/b&gt;: As a pragmatic randomised timing-of-birth trial, WILL adapted its trial procedures in response to the COVID-19 pandemic. These are reviewed here to inform post-pandemic trial methodology._x000D_
&lt;b&gt;METHODS&lt;/b&gt;: The trial (internal pilot) paused in March 2020, re-opened in July 2020, and is currently recruiting in 37 UK NHS consultant-led maternity units. We evaluated pandemic adaptations made to WILL processes and surveyed sites for their views of these changes (20 sites, videoconference)._x000D_
&lt;b&gt;RESULTS&lt;/b&gt;: Despite 88% of sites favouring an electronic investigator site file (ISF), information technology requirements and clinical trial unit (CTU) operating procedures mandated the ongoing use of paper ISFs; site start-up delays resulted from restricted access to the CTU. Site initiation visits (SIVs) were conducted remotely; 50% of sites preferred remote SIVs and 44% felt that it was trial-dependent, while few preferred SIVs in-person as standard procedure. The Central team felt remote SIVs provided scheduling and attendance flexibility (for sites and trial staff), the option of recording discussions for missing or future staff, improved efficiency by having multiple sites attend, and time and cost savings; the negative impact on rapport-building and interaction was partially mitigated over time with more familiarity with technology and new ways-of-working. Two methods of remote consent were developed and used by 30/37 sites and for 54/156 recruits. Most (86%) sites using remote consenting felt it improved recruitment. For remote data monitoring (5 sites), advantages were primarily for the monitor (e.g. flexibility, no time constraints, reduced cost), and disadvantages primarily for the sites (e.g. document and access preparation, attendance at a follow-up meeting), but 81% of sites desired having the option of remote monitoring post-pandemic._x000D_
&lt;b&gt;CONCLUSIONS&lt;/b&gt;: COVID adaptations to WILL trial processes improved the flexibility of trial delivery, for Central and site staff, and participants. Flexibility to use these strategies should be retained post-pandemic._x000D_
&lt;b&gt;TRIAL REGISTRATION&lt;/b&gt;: ISRCTN77258279. Registered on 05 December 2018.</t>
  </si>
  <si>
    <t>Study protocol for a trial</t>
  </si>
  <si>
    <t>J3620</t>
  </si>
  <si>
    <t>Appears to be a study protocol.</t>
  </si>
  <si>
    <t>J3621</t>
  </si>
  <si>
    <t>Video Pre-Assessment in Endoscopy- a Quality Improvement Pilot Study in Response to Covid- 19</t>
  </si>
  <si>
    <t>Introduction Social distancing, staff shortages and patient isolation due to the Covid-19 pandemic has caused significant challenges in the National Health Service. The British Society of Gastroenterology warns that unavoidable delays to surveillance colonoscopy due to the pandemic risks delayed cancer diagnosis.1 We undertook a quality improvement initiative to assess if virtual pre-assessment can be adopted as an alternative to face to face (F2F) clinic, thereby improving efficiency whilst reducing patient and staff risk. Methods The current situation was assessed, change identified, and quality improvement (QI) designed2 utilising a Plan-Do- Study-Act (PDSA) method to increase clinic capacity by 10% from 90% to 100% within 8 weeks. Key stakeholders working with the systems were engaged. A single practitioner trialled and evaluated accuRX video consultation remotely. Patients required a smart phone with video capabilities. Telephone consultations were conducted here patients were unable to connect. Patients received text message links to the video platform within 24hrs of appointment. 30-minute appointment slots were allocated to gather patient health history, obtain consent and educate on bowel preparation. 10 minutes was allocated for completion of electronic records and processing of bowel prep for postage. Nursing records were completed electronically and saved securely on hospital shared drive. Results The 10% target was achieved within 8 weeks. 13 virtual clinics provided 84 clinic appointment; 78 patients (age range 18 to 92) attended clinic (45 video &amp; 33 telephone) with 2 later converted to F2F appt. 6 DNA clinic appointment. Reasons for conversion to telephone clinic are outlined in table 1. 64 patients completed procedures, 4 awaiting test, 5 declined, 3 unwell and 2 not suitable. 94% of colonoscopy reported excellent, good, or fair bowel preparation. Patient experience was not formally measured. Conclusions Our results indicate video pre-assessment to be an alternative to F2F long-term. Strategies to improve uptake need consideration prior to wide scale implementation. Formal data is required to measure patient experience and preference. Furthermore, as we move toward a greener approach to endoscopic working the reduction of carbon footprint by minimising F2F appointments should also be acknowledged.</t>
  </si>
  <si>
    <t>J3622</t>
  </si>
  <si>
    <t>Transfer of thawed frozen embryo versus fresh embryo to improve the healthy baby rate in women undergoing IVF: the E-Freeze RCT</t>
  </si>
  <si>
    <t>&lt;b&gt;BACKGROUND&lt;/b&gt;: Freezing all embryos, followed by thawing and transferring them into the uterine cavity at a later stage (freeze-all), instead of fresh-embryo transfer may lead to improved pregnancy rates and fewer complications during in vitro fertilisation and pregnancies resulting from it._x000D_
&lt;b&gt;OBJECTIVE&lt;/b&gt;: We aimed to evaluate if a policy of freeze-all results in a higher healthy baby rate than the current policy of transferring fresh embryos._x000D_
&lt;b&gt;DESIGN&lt;/b&gt;: This was a pragmatic, multicentre, two-arm, parallel-group, non-blinded, randomised controlled trial._x000D_
&lt;b&gt;SETTING&lt;/b&gt;: Eighteen in vitro fertilisation clinics across the UK participated from February 2016 to April 2019._x000D_
&lt;b&gt;PARTICIPANTS&lt;/b&gt;: Couples undergoing their first, second or third cycle of in vitro fertilisation treatment in which the female partner was aged &lt; 42 years._x000D_
&lt;b&gt;INTERVENTIONS&lt;/b&gt;: If at least three good-quality embryos were present on day 3 of embryo development, couples were randomly allocated to either freeze-all (intervention) or fresh-embryo transfer (control)._x000D_
&lt;b&gt;OUTCOMES&lt;/b&gt;: The primary outcome was a healthy baby, defined as a live, singleton baby born at term, with an appropriate weight for their gestation. Secondary outcomes included ovarian hyperstimulation, live birth and clinical pregnancy rates, complications of pregnancy and childbirth, health economic outcome, and State-Trait Anxiety Inventory scores._x000D_
&lt;b&gt;RESULTS&lt;/b&gt;: A total of 1578 couples were consented and 619 couples were randomised. Most non-randomisations were because of the non-availability of at least three good-quality embryos (n = 476). Of the couples randomised, 117 (19%) did not adhere to the allocated intervention. The rate of non-adherence was higher in the freeze-all arm, with the leading reason being patient choice. The intention-to-treat analysis showed a healthy baby rate of 20.3% in the freeze-all arm and 24.4% in the fresh-embryo transfer arm (risk ratio 0.84, 95% confidence interval 0.62 to 1.15). Similar results were obtained using complier-average causal effect analysis (risk ratio 0.77, 95% confidence interval 0.44 to 1.10), per-protocol analysis (risk ratio 0.87, 95% confidence interval 0.59 to 1.26) and as-treated analysis (risk ratio 0.91, 95% confidence interval 0.64 to 1.29). The risk of ovarian hyperstimulation was 3.6% in the freeze-all arm and 8.1% in the fresh-embryo transfer arm (risk ratio 0.44, 99% confidence interval 0.15 to 1.30). There were no statistically significant differences between the freeze-all and the fresh-embryo transfer arms in the live birth rates (28.3% vs. 34.3%; risk ratio 0.83, 99% confidence interval 0.65 to 1.06) and clinical pregnancy rates (33.9% vs. 40.1%; risk ratio 0.85, 99% confidence interval 0.65 to 1.11). There was no statistically significant difference in anxiety scores for male participants (mean difference 0.1, 99% confidence interval -2.4 to 2.6) and female participants (mean difference 0.0, 99% confidence interval -2.2 to 2.2) between the arms. The economic analysis showed that freeze-all had a low probability of being cost-effective in terms of the incremental cost per healthy baby and incremental cost per live birth._x000D_
&lt;b&gt;LIMITATIONS&lt;/b&gt;: We were unable to reach the original planned sample size of 1086 and the rate of non-adherence to the allocated intervention was much higher than expected._x000D_
&lt;b&gt;CONCLUSION&lt;/b&gt;: When efficacy, safety and costs are considered, freeze-all is not better than fresh-embryo transfer._x000D_
&lt;b&gt;TRIAL REGISTRATION&lt;/b&gt;: This trial is registered as ISRCTN61225414._x000D_
&lt;b&gt;FUNDING&lt;/b&gt;: This project was funded by the National Institute for Health and Care Research (NIHR) Health Technology Assessment programme and will be published in full in Health Technology Assessment; Vol. 26, No. 25. See the NIHR Journals Library website for further project information.</t>
  </si>
  <si>
    <t>Peer-reviewed article in Health Technology Assessment journal.</t>
  </si>
  <si>
    <t>J3623</t>
  </si>
  <si>
    <t>Elective freezing of embryos versus fresh embryo transfer in IVF: A multicentre randomized controlled trial in the UK (E-Freeze)</t>
  </si>
  <si>
    <t>STUDY QUESTION</t>
  </si>
  <si>
    <t>J3624</t>
  </si>
  <si>
    <t>Cardiac implantable electronic device infections: prognostic value of the PADIT score and its cost-utility implications for antimicrobial envelope use in the United Kingdom</t>
  </si>
  <si>
    <t>Background: The incidence of cardiac implantable electronic device (CIED) infections is rising. Purpose(s): We examined the factors associated with CIED infection, assessed the prognostic power of the PADIT risk score, and modelled the cost-utility of selective TYRX antimicrobial envelope use for preventing CIED infections. Method(s): Data were extracted from 2016 to 2019, and included all de novo implants, generator changes and lead interventions for transvenous CIEDs at a high-volume UK centre. CIED infection was defined as hospitalisation for device infection within 12 months of a procedure. Cost-utility analysis was informed by standardised tariffs, and quality adjusted life year (QALY) and efficacy data was extrapolated from analysis of the WRAP-IT trial. Result(s): 6,035 patients underwent 7,383 procedures; CIED infection occurred in 59 individuals (0.8%). In addition to the constituents of the PA- DIT score, lead extraction (HR 3.3 (1.9-6.1), p&lt;0.0001), C-reactive protein &gt;50mg/l (HR 3.0 (1.4-6.4), p=0.005), re-intervention within two years (HR 10.1 (5.6-17.9), p&lt;0.0001), and procedure duration over two hours (HR 2.6 (1.6-4.1), p=0.001) were independent predictors of infection. Increased PADIT score was strongly associated with infection (AUC: 0.82, HR per point increase: 1.36 (1.27-1.47), p&lt;0.0001). A cost-utility model assigning TYRX envelopes to patients with PADIT scores &gt;=6 predicted a reduction in infections (number needed to treat: 72) and a cost per QALY gained within the UK's (NICE) cost-effectiveness threshold (25,107). Conclusion(s): The PADIT score was a powerful predictor of CIED infections in a heterogeneous population,and may facilitate cost-effective TYRX envelope allocation in selected high-risk patients. (Figure presented).</t>
  </si>
  <si>
    <t>J3625</t>
  </si>
  <si>
    <t>A Social Return on Investment Evaluation of the Pilot Social Prescribing EmotionMind Dynamic Coaching Programme to Improve Mental Wellbeing and Self-Confidence</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</si>
  <si>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Ãƒâ€šÃ‚Â© 2022 by the authors.</t>
  </si>
  <si>
    <t>Peer-reviewed evaluation study</t>
  </si>
  <si>
    <t>J3626</t>
  </si>
  <si>
    <t>Short stay hospital admissions for an acutely unwell child: A qualitative study of outcomes that matter to parents and professionals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</si>
  <si>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Ãƒâ€šÃ‚Â© 2022 Malcolm et al. This is an open access article distributed under the terms of the Creative Commons Attribution License, which permits unrestricted use, distribution, and reproduction in any medium, provided the original author and source are credited.</t>
  </si>
  <si>
    <t>Qualitative study in a peer-reviewed journal.</t>
  </si>
  <si>
    <t>J3627</t>
  </si>
  <si>
    <t>Neonatal Discharge after Cardiac Surgery, Can It Be Any Safer?</t>
  </si>
  <si>
    <t>BACKGROUND AND AIM: In the United Kingdom, as per the New-born and Infant Physical Examination; NIPE programme, all new-borns are expected to be examined within 72 hours of birth, unless they are too unwell. Primary and secondary care are expected to achieve 95% compliance with this. Our project aimed to assess and improve local compliance with these guidelines in the East Midlands Congenial Heart Centre EMCHC, University Hospitals of Leicester. METHOD(S): Data was retrospectively collected from the admissions book for neonates admitted with in 72 hours of life over one year period. NIPE status was checked on the national registry. After presenting initial results in the local quality improvement meeting, several measures were put into place to improve compliance. A re-audit was carried out and showed an overall improvement. RESULT(S): 61 neonates were admitted within 72 hours of birth between August 2019 and August 2020. After exclusion of the deceased patients (n = 3) and patients with no records (n = 1), 50% (n = 28) had NIPE done before discharge. The percentage was lower, 24% when excluding the babies who had NIPE done before transfer to the cardiac centre. This spotted the improvement opportunity. Staff education sessions and presentations were conducted. Re-audit in January 2021 for admissions (n = 21) showed significant improvement in compliance to 76% (n = 16). CONCLUSION(S): Our project not only improved local compliance with the national guidelines, but was also a step forward towards safe patient discharge resulting in being a cost effective measure for the hospital.</t>
  </si>
  <si>
    <t>J3628</t>
  </si>
  <si>
    <t>An ethnographic evaluation of a speciality training pathway for general practice nursing in the UK</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</si>
  <si>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Ãƒâ€šÃ‚Â© 2022 The Authors. Published by Elsevier Ltd.. All rights reserved.</t>
  </si>
  <si>
    <t>Peer-reviewed article evaluating a training program.</t>
  </si>
  <si>
    <t>J3629</t>
  </si>
  <si>
    <t>Does Early Integration of Palliative Care with Acute Oncology Services Improve Cancer Patient Outcomes Following Acute Hospital Admission? A Rapid Review</t>
  </si>
  <si>
    <t>Introduction Cardiff and Vale tertiary care and cancer centre</t>
  </si>
  <si>
    <t>J3630</t>
  </si>
  <si>
    <t>Probabilistic microsimulation to examine the cost-effectiveness of hospital admission screening strategies for carbapenemase-producing enterobacteriaceae (CPE) in the United Kingdom</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</si>
  <si>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Ãƒâ€šÃ‚Â© 2021, The Author(s).</t>
  </si>
  <si>
    <t>Peer-reviewed article on cost-effectiveness of screening strategies.</t>
  </si>
  <si>
    <t>J3632</t>
  </si>
  <si>
    <t>Economic evaluations of health care interventions in oropharyngeal dysphagia after stroke: protocol for a systematic review</t>
  </si>
  <si>
    <t>Background and purpose: Oropharyngeal dysphagia (OD) affects 40-81% of patients after stroke. A recent systematic review on the costs of OD and its main complications showed higher acute and long-term costs for those patients who developed OD, malnutrition and pneumonia after stroke. These results suggest that appropriate management of post-stroke OD could reduce clinical complications and costs. The purpose of this systematic review is to assess the available literature for healthcare interventions that are efficient or cost-effective in the management of OD. Method(s): A systematic review on economic evaluations of health care interventions will be performed on post-stroke patients with OD following PRISMA recommendations. Four bibliographic databases will be searched and a subsequent reference check will be done. English and Spanish literature will be included without date restrictions. Studies will be included if they refer to economic evaluations or in which cost savings were reported in post-stroke patients suffering OD. Studies will be excluded if they are partial economic evaluation studies, if they refer to esophageal dysphagia, or if OD is caused by causes different from stroke. Evidence will be presented and synthetised with a narrative method and using tables. Quality evaluation will be done using the Consolidated Health Economic Evaluation Reporting Standards (CHEERS) statement. Discussion(s): The protocol for this systematic review is the first step to assess the cost-effectiveness of the healthcare interventions that have been described as potential treatments for post-stroke OD. This systematic review will summarise the current evidence on the relation between cost and benefits associated with the appropriate management of OD in post-stroke patients. Trial registration: PROSPERO CRD42020136245 Copyright Ãƒâ€šÃ‚Â© 2022, The Author(s).</t>
  </si>
  <si>
    <t>J3633</t>
  </si>
  <si>
    <t>Extended-release pharmacotherapy for opioid use disorder (EXPO): protocol for an open-label randomised controlled trial of the effectiveness and cost-effectiveness of injectable buprenorphine versus sublingual tablet buprenorphine and oral liquid methadone</t>
  </si>
  <si>
    <t>J3636</t>
  </si>
  <si>
    <t>Evolving strategies for meningococcal vaccination in Europe: Overview and key determinants for current and future considerations</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</si>
  <si>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Ãƒâ€šÃ‚Â© 2021 GlaxoSmithKline Biologicals S.A. Published by Informa UK Limited, trading as Taylor &amp; Francis Group.</t>
  </si>
  <si>
    <t>Published in a peer-reviewed journal by Taylor &amp; Francis.</t>
  </si>
  <si>
    <t>J3637</t>
  </si>
  <si>
    <t>The Payer License Agreement, or Netflix model," for hepatitis C virus therapies enables universal treatment access, lowers costs and incentivizes innovation and competition"</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</si>
  <si>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Ãƒâ€šÃ‚Â© 2022 The Authors. Liver International published by John Wiley &amp; Sons Ltd.</t>
  </si>
  <si>
    <t>Published in Liver International, a peer-reviewed journal.</t>
  </si>
  <si>
    <t>J3638</t>
  </si>
  <si>
    <t>Utility of PINP to monitor osteoporosis treatment in primary care, the POSE study (PINP and Osteoporosis in Sheffield Evaluation)</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</si>
  <si>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Ãƒâ€šÃ‚Â© 2022 The Authors</t>
  </si>
  <si>
    <t>Peer-reviewed study on osteoporosis treatment.</t>
  </si>
  <si>
    <t>J3639</t>
  </si>
  <si>
    <t>Monitoring bisphosphonate treatment in primary care: PINP and osteoporosis in Sheffield evaluation (pose study)</t>
  </si>
  <si>
    <t>J3640</t>
  </si>
  <si>
    <t>In Search for Comparability: The PECUNIA Reference Unit Costs for Health and Social Care Services in Europe</t>
  </si>
  <si>
    <t>Improving the efficiency of mental healthcare service delivery by learning from international best-practice examples requires valid data, including robust unit costs, which currently often lack cross-country comparability. The European ProgrammE in Costing, resource use measurement and outcome valuation for Use in multi-sectoral National and International health economic evaluAtions (PECUNIA) aimed to harmonize the international unit cost development. This article presents the methodology and set of 36 externally validated, standardized reference unit costs (RUCs) for five health and social care services (general practitioner, dentist, help-line, day-care center, nursing home) in Austria, England, Germany, Hungary, The Netherlands, and Spain based on unambiguous service definitions using the extended DESDE PECUNIA coding framework. The resulting PECUNIA RUCs are largely comparable across countries, with any causes for deviations (e.g., country-specific scope of services) transparently documented. Even under standardized methods, notable limitations due to data-driven divergences in key costing parameters remain. Increased cross-country comparability by adopting a uniform methodology and definitions can advance the quality of evidence-based policy guidance derived from health economic evaluations. The PECUNIA RUCs are available free of charge and aim to significantly improve the quality and feasibility of future economic evaluations and their transferability across mental health systems.</t>
  </si>
  <si>
    <t>Appears to be a peer-reviewed article on health economics.</t>
  </si>
  <si>
    <t>J3641</t>
  </si>
  <si>
    <t>Peer-reviewed article on health economics</t>
  </si>
  <si>
    <t>J3642</t>
  </si>
  <si>
    <t>Establishing a novel digital platform supporting physical and emotional wellbeing for people living with kidney disease- The Kidney Beam pilot</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</si>
  <si>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Ãƒâ€šÃ‚Â© 2021</t>
  </si>
  <si>
    <t>J3643</t>
  </si>
  <si>
    <t>Diagnostic test accuracy and costÃƒÂ¢Ã¢â€šÂ¬Ã‚Âeffectiveness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</si>
  <si>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(PCR)ÃƒÂ¢Ã¢â€šÂ¬Ã‚Âbased loss of heterozygosity (LOH) assays (also known as PCRÃƒÂ¢Ã¢â€šÂ¬Ã‚Âbased short tandem repeat or microsatellite analysis). Many other tests are available. None of the tests is perfect, although PCRÃƒÂ¢Ã¢â€šÂ¬Ã‚Âbased LOH is expected to have very high sensitivity. Objectives To estimate the sensitivity and specificity and costÃƒÂ¢Ã¢â€šÂ¬Ã‚Âeffectiveness of different deoxyribonucleic acid (DNA)ÃƒÂ¢Ã¢â€šÂ¬Ã‚Âbased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crossÃƒÂ¢Ã¢â€šÂ¬Ã‚Âsectional studies in adults with glioma or any subtype of glioma, presenting raw data or crossÃƒÂ¢Ã¢â€šÂ¬Ã‚Âtabulations of two or more DNAÃƒÂ¢Ã¢â€šÂ¬Ã‚Âbased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QUADASÃƒÂ¢Ã¢â€šÂ¬Ã‚Â2. MetaÃƒÂ¢Ã¢â€šÂ¬Ã‚Âanalyses used the hierarchical summary ROC model to estimate and compare test accuracy. We used FISH and PCRÃƒÂ¢Ã¢â€šÂ¬Ã‚Âbased LOH as alternate reference standards to examine how tests compared with those in common use, and conducted a latent class analysis comparing FISH and PCRÃƒÂ¢Ã¢â€šÂ¬Ã‚Âbased LOH. We constructed an economic model to evaluate costÃƒÂ¢Ã¢â€šÂ¬Ã‚Âeffectiveness. Main results We included 53 studies examining: PCRÃƒÂ¢Ã¢â€šÂ¬Ã‚Âbased LOH, FISH, single nucleotide polymorphism (SNP) array, nextÃƒÂ¢Ã¢â€šÂ¬Ã‚Âgeneration sequencing (NGS), comparative genomic hybridisation (CGH), array comparative genomic hybridisation (aCGH), multiplexÃƒÂ¢Ã¢â€šÂ¬Ã‚ÂligationÃƒÂ¢Ã¢â€šÂ¬Ã‚Âdependent probe amplification (MLPA), realÃƒÂ¢Ã¢â€šÂ¬Ã‚Âtime PCR, chromogenic in situ hybridisation (CISH), mass spectrometry (MS), restriction fragment length polymorphism (RFLP) analysis, GÃƒÂ¢Ã¢â€šÂ¬Ã‚Âbanding,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PCRÃƒÂ¢Ã¢â€šÂ¬Ã‚Âbased LOH as the reference and 262 participants to analyses of comparisons between methods from studies not including FISH or PCRÃƒÂ¢Ã¢â€šÂ¬Ã‚Âbased LOH. Most evidence was available for comparison of FISH with PCRÃƒÂ¢Ã¢â€šÂ¬Ã‚Âbased LOH (15 studies, 915 participants): PCRÃƒÂ¢Ã¢â€šÂ¬Ã‚Âbased LOH detected 94% of FISHÃƒÂ¢Ã¢â€šÂ¬Ã‚Âdetermined codeletions (95% credible interval (CrI) 83% to 98%) and FISH detected 91% of codeletions determined by PCRÃƒÂ¢Ã¢â€šÂ¬Ã‚Âbased LOH (CrI 78% to 97%). Of tumours determined not to have a deletion by FISH, 94% (CrI 87% to 98%) had a deletion detected by PCRÃƒÂ¢Ã¢â€šÂ¬Ã‚Âbased LOH, and of those determined not to have a deletion by PCRÃƒÂ¢Ã¢â€šÂ¬Ã‚Âbased LOH, 96% (CrI 90% to 99%) had a deletion detected by FISH. The latent class analysis suggested that PCRÃƒÂ¢Ã¢â€šÂ¬Ã‚Âbased LOH may be slightly more accurate than FISH. Most other techniques appeared to have high sensitivity (i.e. produced few falseÃƒÂ¢Ã¢â€šÂ¬Ã‚Ânegative resul s) for detection of 1p/19q codeletion when either FISH or PCRÃƒÂ¢Ã¢â€šÂ¬Ã‚Âbased LOH was considered as the reference standard, although there was limited evidence. There was some indication of differences in specificity (falseÃƒÂ¢Ã¢â€šÂ¬Ã‚Âpositive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PCRÃƒÂ¢Ã¢â€šÂ¬Ã‚Âbased LOH was considered the reference standard, although with much more uncertainty as these results were based on fewer studies (just one study with 49 participants for NGS and two studies with 33 participants for SNP array). GÃƒÂ¢Ã¢â€šÂ¬Ã‚Âbanding had low sensitivity and specificity when PCRÃƒÂ¢Ã¢â€šÂ¬Ã‚Âbased LOH was the reference standard. Although MS had very high sensitivity and specificity when both FISH and PCRÃƒÂ¢Ã¢â€šÂ¬Ã‚Âbased LOH were considered the reference standard, these results were based on only one study with a small number of participants. RealÃƒÂ¢Ã¢â€šÂ¬Ã‚Âtime PCR also showed high specificity with FISH as a reference standard, although there were only two studies including 40 participants. We found no relevant economic evaluations. Our economic model using FISH as the reference standard suggested that the resourceÃƒÂ¢Ã¢â€šÂ¬Ã‚Âoptimising test depends on which measure of diagnostic accuracy is most important. With FISH as the reference standard, MLPA is likely to be costÃƒÂ¢Ã¢â€šÂ¬Ã‚Âeffective if society was willing to pay GBP 1000 or less for a true positive detected. However, as the value placed on a true positive increased, CISH was most costÃƒÂ¢Ã¢â€šÂ¬Ã‚Âeffective. Findings differed when the outcome measure changed to either true negative detected or correct diagnosis. When PCRÃƒÂ¢Ã¢â€šÂ¬Ã‚Âbased LOH was used as the reference standard, MLPA was likely to be costÃƒÂ¢Ã¢â€šÂ¬Ã‚Âeffective for all measures of diagnostic accuracy at lower threshold values for willingness to pay. However, as the threshold values increased, none of the tests were clearly more likely to be considered costÃƒÂ¢Ã¢â€šÂ¬Ã‚Âeffective. Authors' conclusions In our review, most techniques (except GÃƒÂ¢Ã¢â€šÂ¬Ã‚Âbanding) appeared to have good sensitivity (few false negatives) for detection of 1p/19q codeletions in glioma against both FISH and PCRÃƒÂ¢Ã¢â€šÂ¬Ã‚Âbased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costÃƒÂ¢Ã¢â€šÂ¬Ã‚Âeffective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PCRÃƒÂ¢Ã¢â€šÂ¬Ã‚Âbased LOH, realÃƒÂ¢Ã¢â€šÂ¬Ã‚Âtime PCR, LPA, SNP array, CGH array and NGS. None of these tests is perfect, so there is no 'gold standard' against which to compare them. The two most commonly used tests (FISH and PCRÃƒÂ¢Ã¢â€šÂ¬Ã‚Âbased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'falseÃƒÂ¢Ã¢â€šÂ¬Ã‚Âpositives'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upÃƒÂ¢Ã¢â€šÂ¬Ã‚ÂtoÃƒÂ¢Ã¢â€šÂ¬Ã‚Âdate is this review? The latest search for studies took place in August 2019.</t>
  </si>
  <si>
    <t>Peer-reviewed article on diagnostic test accuracy</t>
  </si>
  <si>
    <t>Introduction Internationally, breast cancer is the second most diagnosed cancer with approximately 2.3 million people diagnosed each year. 40% will require a mastectomy which has an average length of hospital stay of 1–2 days. Enhanced Recovery After Surgery (ERAS) guidelines include the following patient-managed recommendations: early mobilisation, early eating and drinking, opioid minimisation and physiotherapy exercises. Low adherence rates to these recommendations suggest that patients need support to do these things. A digital health intervention (DHI) may provide an effective, cost-effective and scalable solution. This pilot trial aims to assess the feasibility of conducting a trial of RecoverEsupport and the acceptability of the RecoverEsupport intervention to support patients to recover from breast cancer surgery.</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</si>
  <si>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 The Author(s) 2025.</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</si>
  <si>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 2024 The Author(s). Journal of Child Psychology and Psychiatry published by John Wiley &amp; Sons Ltd on behalf of Association for Child and Adolescent Mental Health.</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</si>
  <si>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 2025</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</si>
  <si>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 2024</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</si>
  <si>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 2025</t>
  </si>
  <si>
    <t>J6227</t>
  </si>
  <si>
    <t>Optimization of a Push Notification System to Improve First-case Delays: A Quality Improvement Project</t>
  </si>
  <si>
    <t>PURPOSE: To increase first-case on-time start (FCOTS) rates at a large New England hospital by optimizing the use of a preoperative (pre-op) push notification system to reduce delays and improve operating room efficiency. DESIGN: The project employed a quality improvement approach guided by the Model for Improvement from the Institute for Healthcare Improvement. METHOD(S): A push notification system integrated into the electronic health record was used to enhance communication between surgeons and pre-op nurses across three surgical pavilions. Mandatory education sessions were provided for all enrolled staff, and Plan-Do-Study-Act cycles were conducted to refine processes and monitor outcomes. Data on notification usage and FCOTS rates were tracked from pre implementation (August 2023) through the implementation phase (December 2023). FINDINGS: Training resulted in 87% (n = 60) of nurses completing the push notification education, and 31% (n = 28) of surgeons confirmed reviewing training materials. Initial implementation increased push notification use among nurses from 26% to a peak of 51% in October 2023, though this later declined to 39% by year-end with net gain of 17%. Among surgeons, push notification usage peaked at 18%, with a net gain of 2% over the baseline. The East pavilion maintained relatively high FCOTS rates, decreasing slightly from 82% in October to 78% by year-end. In the North and South pavilions, increased push notification usage by nurses aligned with gradual FCOTS improvements: the North pavilion rose from 63% to 65%, while the South pavilion experienced fluctuations, ultimately achieving a 12% increase from baseline to reach 57% in December. CONCLUSION(S): These findings suggest that while increased push notification use among nurses helped improve FCOTS in some pavilions, limited surgeon participation may have hindered the overall impact on reducing delays. Future strategies should focus on increasing engagement from all staff, improving workflow integration, and implementing ongoing performance tracking to optimize surgical efficiency across all pavilions. Enhancing FCOTS not only improves the patient experience by reducing wait times and increasing satisfaction, but also benefits staff by streamlining workflows and reducing stress. Ultimately, these improvements support organizational goals for greater efficiency and cost-effectiveness in perioperative care. Copyright © 2025 The American Society of PeriAnesthesia Nurses. Published by Elsevier Inc. All rights reserved.</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</si>
  <si>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stepped‐wedge designs, and non‐randomized studies of interventions (NRSIs), including interrupted time series (ITS) studies, controlled before‐after (CBA) studies, and follow‐up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WHO‐recommended guidelines for PPH prevention, detection, and treatment; PPH ≥ 500 mL; PPH ≥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cluster‐RCTs and 4 NRSIs) with a total of 1,027,273 births and more than 4373 birth attendants. The included studies were conducted in 17 different countries. Most trials were conducted in resource‐limited settings. None of the included studies reported data on the use of additional uterotonics within 24 hours after birth or adverse effects. Synthesis of results Single‐component implementation strategies versus usual care for PPH prevention, detection, and treatment We do not know if single‐component implementation strategies have any effect on adherence to WHO PPH prevention recommendations, PPH ≥ 500 mL, PPH ≥ 1000 mL, or blood transfusion (very low‐certainty evidence). Low‐certainty evidence suggests that single‐component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 500 mL, blood transfusion, or severe morbidity relating to surgical outcomes (very low‐certainty evidence). Multicomponent implementation strategies may have little to no effect on matern l death (274,008 births, 2 trials; low‐certainty evidence) compared to usual care. No trials in this comparison measured the effect on adherence to WHO PPH prevention recommendations, PPH ≥ 1000 mL, or severe morbidity (outcomes related to ICU admission). Multicomponent implementation strategies versus enhanced usual care for PPH prevention, detection, and treatment Low‐certainty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moderate‐certainty evidence), severe morbidity related to ICU admission (224,850 births, 2 trials; moderate‐certainty evidence), and surgical morbidity (210,132 births, 1 trial; moderate‐certainty evidence) compared to enhanced usual care. We do not know if multicomponent implementation strategies affect PPH ≥ 500 mL, PPH ≥ 1000 mL, or blood transfusion (very low‐certainty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single‐component implementation strategies affect adherence to WHO PPH prevention recommendations, blood loss, or blood transfusion. Single‐component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single‐component implementation strategies affect adherence to WHO PPH prevention recommendations, blood loss, or blood transfusion. Single‐component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PPH‐related illness or death. It remains unknown whether multiple strategies work in a real‐world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up‐to‐date is this evidence? The evidence is current to 25 April 2024.</t>
  </si>
  <si>
    <t>J6229</t>
  </si>
  <si>
    <t>Impact of Big Data Analytics on Emergency Department Efficiency in Saudi Ministry of Health Hospitals: A Retrospective Data Analysis</t>
  </si>
  <si>
    <t>&lt;b&gt;Background&lt;/b&gt;: The integration of big data analytics in healthcare has become essential for enhancing operational performance, particularly within Emergency Departments (EDs), where efficiency improvements can significantly impact patient satisfaction and resource utilization._x000D_
&lt;b&gt;Aim&lt;/b&gt;: This study examines the impact of big data analytics on ED performance metrics within Saudi Arabia's Ministry of Health (MOH) hospitals, with a focus on key performance indicators (KPIs) and the effectiveness of the Ada'a Health Program in optimizing ED operations._x000D_
&lt;b&gt;Methods&lt;/b&gt;: A retrospective observational study was conducted across 10 hospitals in five regions of Saudi Arabia. Data from 228,857 patient records were analyzed, alongside survey responses from 223 ED personnel. Statistical analyses, including paired t-tests, Pearson's correlation, and multiple regression models, were used to evaluate improvements in KPIs and assess the program's impact._x000D_
&lt;b&gt;Results&lt;/b&gt;: Significant improvements in all KPIs were observed following the implementation of the Adaa Health Program. Door-to-Doctor Time decreased from 28:26 to 25:13, Doctor-to-Decision Time from 1:18:22 to 1:03:50, Decision-to-Disposition Time from 36:37 to 20:13, and Door-to-Disposition Time from 2:22:02 to 1:48:44. Pearson's correlation analysis indicated a strong relationship between Decision-to-Disposition Time and Doctor-to-Decision Time (r = 0.594), emphasizing the role of clinical decision-making in patient flow. Regression analysis further confirmed the program's significant association with reduced wait times (p &lt; 0.001)._x000D_
&lt;b&gt;Conclusion&lt;/b&gt;: This study highlights the transformative impact of big data-driven decision-making in optimizing ED efficiency. The Ada'a Health Program has significantly improved patient flow, reduced congestion, and enhanced operational performance in Saudi MOH hospitals. These findings underscore the need for continued investment in big data analytics, updated predictive modeling, and workflow automation to sustain and further enhance ED efficiency. Future research should explore scalability across diverse healthcare settings and the long-term sustainability of such interventions.</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</si>
  <si>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 2025 The Author(s). Journal of Evaluation in Clinical Practice published by John Wiley &amp; Sons Ltd.</t>
  </si>
  <si>
    <t>J6231</t>
  </si>
  <si>
    <t>Neuropalliative care for Parkinson's disease in India: a qualitative exploration of healthcare professionals' perspectives</t>
  </si>
  <si>
    <t>&lt;b&gt;Introduction&lt;/b&gt;: The prevalence of Parkinson's disease (PD) in India is roughly 10% of the global burden, which is a considerable public health concern. The burden on healthcare services in India is substantial due to the variations in PD prevalence and the country's large population. The unique cultural, ethnic, and social differences in India give rise to distinct needs among PD patients and their caregivers. Neuropalliative care (NPC) is an emerging subspecialty with a holistic approach that requires a unique skill set and the involvement of allied healthcare professionals who play a crucial role in providing integrated services._x000D_
&lt;b&gt;Aim&lt;/b&gt;: The objective of this study is to explore the experiences and perspectives of the primary and allied healthcare professionals working with persons with PD in India._x000D_
&lt;b&gt;Methods&lt;/b&gt;: The current study employed a qualitative, exploratory, inductive research design, using in-depth interviews with 15 primary and allied healthcare professionals who had more than 5 years of experience working with persons with PD. Participants worked in varied settings such as academic hospitals, rehabilitation services, and tertiary care hospitals._x000D_
&lt;b&gt;Results&lt;/b&gt;: The mean years of work experience for the participants were 7.5 +/- 3.26 years with a mean number of 30.8 +/- 14.8 patients with PD per month. Thematic analysis of the data revealed 5 main themes and 20 subthemes. The major themes revealed were understanding of NPC, the needs of patients and caregivers of PD, barriers and challenges, interventions for patients and caregivers, facilitators, and components of NPC for PD._x000D_
&lt;b&gt;Conclusion&lt;/b&gt;: To provide a structured stepped-care approach to managing PD, there is a need to understand the psychosocial and palliative care aspects of PD in patients and caregivers in the Indian context. Adequate training and resource allocation are needed for NPC to be adopted in clinical care.</t>
  </si>
  <si>
    <t>J6232</t>
  </si>
  <si>
    <t>Assessing the economic case for public health interventions provided in non-health public sector settings: a feasibility study in job centres in Cornwall, South West of England</t>
  </si>
  <si>
    <t>Background: Poor mental wellbeing costs society over 105 billion/year in England. Those with a mental health condition face significant health inequalities and lower employment rates. This feasibility study assessed the cost benefit of a public health intervention to help unemployed people with poor mental wellbeing to access employment. Method(s): Mental health employment advisors located in all 11 job centres supported people aged over 16 years. Support was provided over a 2-to-4-month period via an agreed action plan. Employment status, baseline and follow up wellbeing outcomes (using the Short Warwick-Edinburgh Mental Wellbeing scale) were obtained and used to estimate the return on investment. Result(s): Of the 540 people with baseline and follow-up wellbeing scores, a total of 57.79% had probable depression and/or anxiety when they accessed the intervention. The number of people with probable depression and/or anxiety reduced at follow up (23.82%). A total of 235 people accessed new employment after receiving the intervention. The resulting benefit/cost ratios were 8.4 and 17.6 (depending on whether a cost of illness or income equivalence approach is used to value the improvement in wellbeing). Discussion(s): This cross-sector public health intervention may provide a cost-effective way to reduce health inequalities for those who are unemployed, especially those whose mental wellbeing acts as a barrier to employment. The resultant outcomes may also be influenced by a range of other factors such as social isolation, financial precarity and housing. Despite this, the findings support the development of this approach to reduce health inequalities but is reliant on a close collaboration between local authorities, NHS, Department for Work and Pensions and the voluntary sector. Copyright © The Author(s) 2025.</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</si>
  <si>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platinum‐based chemotherapy before cytoreductive surgery with platinum‐based chemotherapy following cytoreductive surgery. Outcomes We extracted data on overall (OS) and progression‐free survival (PFS), adverse events, surgically related mortality and morbidity, and quality of life outcomes. Risk of bias We used the Cochrane RoB 1 tool to assess risk of bias in RCTs. Synthesis methods We conducted meta‐analyses using random‐effects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meta‐analyses (1692 participants). Synthesis of results Survival We found little or no difference between groups in OS (HR 0.96, 95% CI 0.86 to 1.08; P = 0.49; I 2 = 0%; 4 studies; 1692 women; high‐certainty evidence) and likely little or no difference between groups in PFS (HR 0.98, 95% CI 0.88 to 1.08; P = 0.62; I 2 = 0%; 4 studies; 1692 women; moderate‐certainty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moderate‐certainty evidence). Organ resection NACT probably results in a large reduction in the need for stoma formation (5.8% in the NACT group versus 20.4% in the PCRS group) (RR 0.29, 95% CI 0.12 to 0.74; P = 0.009; I 2 = 70%; 2 studies; 632 women; moderate‐certainty evidence) and probably reduces the risk of needing bowel resection at the time of surgery (13.0% in the NACT group versus 26.6% in the PCRS group) (RR 0.47, 95% CI 0.27 to 0.81; P = 0.007; I 2 84%; 4 studies; 1578 women; moderate‐certainty evidence). Quality of life Global quality of life on the EORTC QLQ‐C30 produced imprecise results in three studies, with high levels of heterogeneity (quality of life at six months: MD 6.62, 95% CI −2.89 to 16.13; P = 0.17; I 2 = 92%; 3 studies; 559 women; low‐certainty evidence). Overall, functional and symptom scores may be slightly improved for NACT at 6 months, but similar by 12 months, although the differences might not be clinically meaningful. Authors' conclusions The available high‐ to moderate‐certainty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up‐to‐date is the evidence? The evidence is current to 21 March 2024.</t>
  </si>
  <si>
    <t>Introduction The night-time economy comprises various sectors, including hospitality, transportation and entertainment, which generate substantial revenues and contribute to employment opportunities. Furthermore, the night-time economy provides spaces for leisure activities, cultural expression and social interaction. On-trade alcohol premises (places where consumers can buy and consume alcohol such as bars, pubs, clubs and restaurants) are a significant component of this night-time economy, functioning as focal points for socialising, entertainment and cultural events. However, when on-trade alcohol premises stay open later at night, this can be associated with negative public health impacts including increased alcohol consumption, intoxication, assaults, injuries and burden on public services including ambulance call outs, hospitalisations and increased impacts on criminal justice services. The evidence on the societal impact of policies to 'later' trading hours for bars and clubs in the night-time economy is limited. This protocol details the design of an economic evaluation of policy to later trading hours for bars and clubs in the night-time economy alongside the ELEPHANT study (National Institute for Health and Care Research (NIHR) Public Health Research, ref:129885). Methods and analysis The research design is an economic evaluation alongside a natural experiment within the ELEPHANT study carried out in Glasgow and Aberdeen. The economic evaluation has been designed to identify, measure and value prospective resource impacts and outcomes to assess the costs and consequences of local policy changes regarding late night trading hours for bars and clubs. A number of economic evaluation frameworks will be employed. A cost-effectiveness analysis (CEA) is appropriate for assessing the effectiveness of complex interventions when the impacts of policy are measured in natural units. Therefore, a CEA will be conducted for the primary consequence, alcohol-related ambulance call-outs, using a health service sector perspective. Since this outcome is essentially a cost, the CEA will also be reported as a cost-analysis. A cost-consequence analysis will also be performed for the primary and secondary consequences including all ambulance call-outs and reported crimes to evaluate the full economic impacts of later trading hours for bars and clubs in the night-time economy. The analysis will be conducted from a wider societal perspective, including health sector, criminal justice system, business and third sector perspectives and will be in line with the recent National Institute for Health and Care Excellence guidance and recommendations. Ethics and dissemination The economic evaluation of the ELEPHANT study will be conducted using secondary data. Thus, no ethical approval is required for this economic evaluation. However, ethical approval for the ELEPHANT study has been granted from the University of Stirling's General Research Ethics Committee, and prior consent has also been obtained from the participants, if involved. The results of this study will be disseminated through peer-reviewed publications in journals and national and international conferences. Copyright © Author(s) (or their employer(s)) 2025.</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</si>
  <si>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 2025 Elsevier Inc. All rights reserved.</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</si>
  <si>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PCOS‐related infertility involves earlier retrieval of immature oocytes at the germinal‐vesicle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I² = 45%; 2 studies, 739 participants; moderate‐certainty evidence). As for congenital anomalies, one study reported no events, while another showed an uncertain effect of IVM (OR 0.33, 95% CI 0.01 to 8.24; 1 study, 351 participants; low‐certainty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high‐certainty evidence shows that IVM increases miscarriage per clinical pregnancy and reduces the incidence of moderate or severe OHSS in women with PCOS compared to IVF after a GnRH antagonist protocol. Regarding the rest of the outcomes, low‐ to moderate‐certainty evidence showed little to no difference in preterm birth and risk of congenital anomalies between the two modalities. We eagerly anticipate further evidence from high‐quality trials in the field (we found five ongoing trials). Plain language summary What is the best therapy for women who produce too many eggs when having fertility treatment? Key messages –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 In vitro maturation increases miscarriage and reduces ovarian hyperstimulation syndrome (painful condition where the ovaries produce too many eggs) in women with polycystic ovarian syndrome compared to in vitro fertilisation. –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</si>
  <si>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Gonadotropin‐releasing hormone agonist protocols for pituitary suppression in assisted reproduction</t>
  </si>
  <si>
    <t>- Background Gonadotropin‐releasing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I² = 0%; 5 studies, 381 women; low‐certainty evidence). For the same comparison, there was evidence that the long protocol may improve clinical pregnancy rates when compared to the short protocol (OR 1.56, 95% CI 1.01 to 2.40; I² = 23%; 8 studies, 552 women; low‐certainty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low‐certainty evidence); long luteal versus long follicular phase (OR 1.89, 95% CI 0.87 to 4.10; 1 study, 223 women; very low‐certainty evidence); GnRHa reduced‐dose versus GnRHa same‐dose continued in the long protocol (OR 1.59, 95% CI 0.66 to 3.87; 1 study, 96 women; very low‐certainty evidence); GnRHa administration for two versus three weeks before stimulation (OR 0.88, 95% CI 0.37 to 2.05; 1 study, 85 women; very low‐certainty evidence); GnRHa continued versus discontinued after human chorionic gonadotropin (HCG) administration in the long protocol (OR 0.89, 95% CI 0.49 to 1.64; 1 study, 181 women; very low‐certainty evidence); and 500 µg dose versus 80 µg dose in the short protocol (OR 0.31, 95% CI 0.10 to 0.98; 1 study, 200 women; very low‐certainty evidence). Clinical pregnancy rates may improve with a 100 µg dose compared to a 25 µg dose in the short protocol (OR 2.30, 95% CI 1.06 to 5.00; 2 studies, 133 women; low‐certainty evidence). Only four of the 40 included studies reported adverse events. We are uncertain of any difference in OHSS rate in the GnRHa reduced‐dose versus GnRHa same‐dose regimen in the long protocol (OR 0.47, 95% CI 0.04 to 5.35 1 study, 96 women; very low‐certainty evidence) or when administration of GnRHa lasted for two versus three weeks before stimulation (OR 0.93, 95% CI 0.06 to 15.37; 1 study, 85 women; very low‐certainty evidence). Regarding miscarriage rates, we are uncertain of any difference when the GnRHa long protocol was administered for two versus three weeks before stimulation (OR 0.93, 95% CI 0.18 to 4.87; 1 study, 85 women; very low‐certainty evidence) and when a 500 µg dose was compared with an 80 µg dose in the short protocol (OR 3.15, 95% CI 0.32 to 31.05; 1 study, 131 women; very low‐certainty evidence). No studies reported on cost‐effectiveness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cost‐effectiveness and acceptability of the different treatment protocols. Plain language summary Which hormone (GnRHa) medications work best with ovarian stimulation hormones in assisted conception cycles? Key messages • When comparing long versus short gonadotropin‐releasing hormone agonists (GnRHa) treatment, there was little to no difference between groups for live birth and ongoing pregnancy rates, but the long treatment may result in a higher clinical pregnancy rate (where the foetus can be seen or heard). • We are uncertain if there is any difference in live birth and clinical pregnancy rates for the other comparisons studied, except for the comparison 100 µg dose versus 25 µg dose in a short treatment, which showed that clinical pregnancy may improve with a 100 µg dose. • Further research is needed to look at the cost‐effectiveness and acceptability of the different treatments. What did we want to find out? Gonadotropin‐releasing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µg dose versus 25 µg dose in a short treatment, which showed that clinical pregnancy may improve with a 100 µg dose. We are uncertain if there is any difference in OHSS rates and pregnancy loss, which were reported by only two studies each. There was not enough evidence to reach any conclusions regarding other harmful effects. Further research is needed to look at the cost‐effectiveness and acceptability of the different treatments. What are the limitations of the evidence? We have low to very low confidence in the evidence. The main limitations in the evidence were non‐reporting of live birth or ongoing pregnancy in half of the studies, poor reporting of study methods, unclear findings, very few studies reporting on unwanted effects such as OHSS, and lack of data regarding other harmful events, cost‐effectiveness, and acceptability of the treatments. Only eight of the 40 included studies were conducted within the last 10 years. How up‐to‐date is this evidence? The evidence is current to December 2022.</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</si>
  <si>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 2024</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</si>
  <si>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 The Author(s), under exclusive licence to Springer Nature Switzerland AG 2025.</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</si>
  <si>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 Author(s) (or their employer(s)) 2025.</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</si>
  <si>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 2025</t>
  </si>
  <si>
    <t>Stakeholders’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</si>
  <si>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Krogsbøll and colleagues. Search methods We searched MEDLINE (Ovid) and CINAHL (EBSCO) and conducted citation‐based searches (e.g. reference lists, effectiveness review‐associated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GRADE‐CERQual (Confidence in the Evidence from Reviews of Qualitative Research) approach to assess our confidence in each finding. Main results One hundred and forty‐six studies met the inclusion criteria, and we sampled 36 of these for our analysis. While most of the studies were set in high‐income countries in Europe, nearly a third (11/36) were set in culturally diverse middle‐income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 decision‐making.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 We found less information about healthcare funders and providers, so we do not fully understand what drives their decisions about funding or delivering general health checks. •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policy‐makers, healthcare managers and providers, and clients to fund, provide and attend general health checks. What did we do? We searched for studies where policy‐makers, healthcare managers, healthcare providers and clients shared their views and experiences. We evaluated the quality of each study individually and summarised the findings. What did we find? We found 146 studies, and selected 36 of them to analyse. Most studies took place in high‐income European countries, with a third from middle‐income countries in Eastern Europe, South and Southeast Asia, and Latin America. Most clients, healthcare providers and policy‐makers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 Clients’ perceptions of the disease, prevention and risk affect uptake. • Both healthcare providers and clients believe that people who provide general health checks need to be skilled and understand the clients' culture. 2. We have moderate confidence in the evidence of the following findings. • Many clients see general health checks as a way to get an objective health assessment, reassurance from health professionals and motivation for healthier living. • Clients who fear bad results or who only seek care when they have symptoms are less likely to attend. • Some clients feel a duty to their families or society to attend health checks, believing it helps maintain or improve their health. • Interaction with healthcare providers can either encourage or discourage attendance. • Availability, accessibility and clear information are crucial in clients' decision‐making process. • Factors like time, money and health insurance affect whether people attend. •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 Healthcare funders, managers, providers and clients have different views on how beneficial general health checks actually are. • Healthcare providers and clients feel that raising awareness of general health checks, including their benefits and risks, requires clear information, effective invitation systems and educational efforts. 3. We have low or very low confidence in the following findings. • Clients prefer a broad range of tests, while healthcare providers favour more tailored testing, based on the person's needs. • For clients, clear explanations of test results and recommendations are important. Everyone agrees that follow‐up care is essential to make general health checks meaningful. • Clients report that cultural background, social norms, religion, gender and language shape how people perceive prevention and disease, which influences their decision to attend general health checks. • Policy‐makers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up‐to‐date is this evidence? We searched for studies in January 2022 and August 2022. The studies that we analysed were published between 1995 and 2021.</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</si>
  <si>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 2025 Wiley Periodicals LLC.</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</si>
  <si>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 2025 Taylor &amp; Francis Group, LLC.</t>
  </si>
  <si>
    <t>J6250</t>
  </si>
  <si>
    <t>Multimorbidity clusters and their associations with health-related quality of life in two UK cohorts</t>
  </si>
  <si>
    <t>Background: Identifying clusters of multiple long-term conditions (MLTCs), also known as multimorbidity, and their associated burden may facilitate the development of effective and cost-effective targeted healthcare strategies. This study aimed to identify clusters of MLTCs and their associations with long-term health-related quality of life (HRQoL) in two UK population-based cohorts. Method(s): Age-stratified clusters of MLTCs were identified at baseline in UK Biobank (n = 502,363, 54.6% female) and UKHLS (n = 49,186, 54.8% female) using latent class analysis (LCA). LCA was applied to people who self-reported &gt;= 2 LTCs (from n = 43 LTCs [UK Biobank], n = 13 LTCs [UKHLS]) at baseline, across four age-strata: 18-36, 37-54, 55-73, and 74 + years. Associations between MLTC clusters and HRQoL were investigated using tobit regression and compared to associations between MLTC counts and HRQoL. For HRQoL, we extracted EQ-5D index data from UK Biobank. In UKHLS, SF-12 data were extracted and mapped to EQ-5D index scores using a standard preference-based algorithm. HRQoL data were collected at median 5 (UKHLS) and 10 (UK Biobank) years follow-up. Analyses were adjusted for available sociodemographic and lifestyle covariates. Result(s): LCA identified 9 MLTC clusters in UK Biobank and 15 MLTC clusters in UKHLS. Clusters centred around pulmonary and cardiometabolic LTCs were common across all age groups. Hypertension was prominent across clusters in all ages, while depression featured in younger groups and painful conditions/arthritis were common in clusters from middle-age onwards. MLTC clusters showed different associations with HRQoL. In UK Biobank, clusters with high prevalence of painful conditions were consistently associated with the largest deficits in HRQoL. In UKHLS, clusters of cardiometabolic disease had the lowest HRQoL. Notably, negative associations between MLTC clusters containing painful conditions and HRQoL remained significant even after adjusting for number of LTCs. Conclusion(s): While higher LTC counts remain important, we have shown that MLTC cluster types also have an impact on HRQoL. Health service delivery planning and future intervention design and risk assessment of people with MLTCs should consider both LTC counts and MLTC clusters to better meet the needs of specific populations. Copyright © The Author(s) 2024.</t>
  </si>
  <si>
    <t>J6251</t>
  </si>
  <si>
    <t>Lurasidone versus typical antipsychotics for schizophrenia</t>
  </si>
  <si>
    <t>- Background Antipsychotic drugs are the mainstay of treatment for schizophrenia. Even though several novel second‐generation antipsychotics (i.e. lurasidone, iloperidone and cariprazine) have been approved in recent years, typical antipsychotics (e.g. chlorpromazine, haloperidol, and fluphenazine) remain a crucial therapeutic option for the condition around the world. Little is known about the relative risk‐to‐benefit ratio of the 'latest' second‐generation antipsychotics compared to the typical agents of 'established stature'. Objectives To systematically review the efficacy and safety of lurasidone versus typical antipsychotics for adults with schizophrenia or schizophrenia‐related disorders. Search methods We searched the Cochrane Schizophrenia Group’s Study‐Based Register of Trials on 5 June 2019. We also ran an update search in CENTRAL, MEDLINE, Embase, and three additional databases as well as two trial registers and the US Food and Drug Administration database on 1 April 2024. Selection criteria We searched for randomized controlled trials (RCTs) comparing lurasidonewith typical antipsychotic drugs (such as chlorpromazine, fluphenazine, haloperidol, loxapine, mesoridazine, molindone, perphenazine, thioridazine, thiothixene, zuclopenthixol) for adults with schizophrenia. No additional search restrictions were applied. Data collection and analysis We followed standard Cochrane methodological procedures. We extracted information on participant characteristics, interventions, study outcomes, study design, trial methods, and funding sources. Two review authors independently extracted data and assessed the risk of bias. We assessed the certainty of evidence with GRADE for these key outcomes: change in mental state, death by suicide or natural cause, quality of life, total serious adverse events and severe adverse events (as defined by study authors). Main results We included two studies with a total of 308 individuals diagnosed with schizophrenia (220 men and 85 women). A total of 223 participants received lurasidone (20, 40, or 80 mg/day), and 82 received haloperidol (up to 10 mg/day) or perphenazine (up to 32 mg/day); three people did not receive any study medication. Both studies were performed in the US. The duration of the follow‐up was four to six weeks. Death by suicide/natural causes and quality of life were not reported by the two included studies. The evidence is very uncertain about the effects of lurasidone on change in mental state: the Brief Psychiatric Rating Scale (BPRS) (MD 3.74, 95% CI 0.57 to 6.90; 1 RCT, 281 participants; very low‐certainty evidence); and the Positive and Negative Syndrome Scale (PANSS) (MD 6.68, 95% CI 2.45 to 10.91; 1 RCT, 281 participants; very low‐certainty evidence). The evidence is also very uncertain about the effects of lurasidone on total serious adverse events (RR 0.98, 95% CI 0.37 to 2.60; 2 RCTs, 303 participants; very low certainty of evidence) and on severe adverse events (RR 1.70, 95% CI 0.46 to 6.32; 1 RCT, 281 participants; very low certainty of evidence). Authors' conclusions We are very uncertain about whether lurasidone offers benefits to the mental state, total serious adverse events, or severe adverse events when compared to typical antipsychotics for people with schizophrenia. The evidence included in this review is of very low certainty, derived from two small trials. Study limitations (risk of bias) and imprecise results impacted our confidence in the evidence. Furthermore, data on mortality (due to suicide or natural causes) or quality of life are unavailable. Further large‐scale randomized studies are needed to provide clearer insights into the benefits and harms of lurasidone compared to typical antipsychotics for treating schizophrenia. Plain language summary Lurasidone or typical antipsychotics: which works better to treat schizophrenia? Key messages • We compared lurasidone, a newer antipsychotic, with traditional antipsychotics like haloperidol to treat schizophrenia. • Based on two studies, we are uncertain w ether lurasidone improves schizophrenia symptoms or causes fewer unwanted effects compared to traditional medications. • More research is needed to determine the benefits and potential harms of lurasidone in managing schizophrenia. What is schizophrenia? Schizophrenia is a condition that affects how a person perceives reality, leading to symptoms such as hallucinations, delusions, and difficulty thinking clearly. It can also make familiar environments feel strange and may impact relationships and social interactions. While living with schizophrenia is challenging, many people work hard to manage their symptoms and lead fulfilling lives. How is schizophrenia treated? Antipsychotic medications are essential for reducing the severe symptoms of schizophrenia. What did we want to find out? We wanted to find out if lurasidone: • Is more effective than traditional antipsychotic medications, such as haloperidol, in reducing schizophrenia symptoms. • Causes fewer unwanted effects. • Improves quality of life or reduces the risk of death by suicide or natural causes. What did we do? We reviewed clinical trials comparing lurasidone with traditional antipsychotic medications. Our focus was on changes in schizophrenia symptoms and whether lurasidone caused any unwanted effects. We also looked for evidence on quality of life, deaths by suicide or natural causes, and other important outcomes. What did we find? We found two studies that included 308 adults with schizophrenia (220 men and 85 women). These studies compared lurasidone with haloperidol, a traditional antipsychotic. The results showed: • Symptoms of schizophrenia: It is unclear whether lurasidone improves symptoms as measured by common scales (e.g., the Brief Psychiatric Rating Scale). One study suggested a slight improvement, but we are very uncertain about these results. • Unwanted effects: It is unclear whether lurasidone causes fewer or more unwanted effects compared to haloperidol. • Other outcomes: No studies examined whether lurasidone reduces the risk of suicide or improves quality of life. What are the limitations of the evidence? The evidence is based on only two small studies, limiting our confidence in the results. Additionally, the studies were conducted in specific populations, so the findings may not apply to everyone with schizophrenia. Both studies had limitations in their design, which may affect the reliability of their results. How up to date is this evidence? The evidence is up to date to April 2024.</t>
  </si>
  <si>
    <t>J6253</t>
  </si>
  <si>
    <t>Abdominal drainage to prevent intraperitoneal abscess after appendectomy for complicated appendicitis</t>
  </si>
  <si>
    <t>- Rationale This is the third update of a Cochrane review first published in 2015 and last updated in 2021. Appendectomy, the surgical removal of the appendix, is performed primarily for acute appendicitis. People who undergo appendectomy for complicated appendicitis, defined as gangrenous or perforated appendicitis, are more likely to suffer postoperative complications in comparison to uncomplicated appendicitis. The routine use of abdominal drainage to reduce postoperative complications after appendectomy for complicated appendicitis is controversial. Objectives To evaluate the benefits and harms of abdominal drainage in reducing intraperitoneal abscess after appendectomy (irrespective of open or laparoscopic) for complicated appendicitis; to compare the effects of different types of surgical drains; and to evaluate the optimal time for drain removal. Search methods We searched CENTRAL, MEDLINE, Embase, two other databases, and five trials registers, together with reference checking, citation searching, and contact with study authors, to identify studies for inclusion in the review. The latest search date was 12 October 2023. Eligibility criteria We included randomised controlled trials (RCTs) and quasi‐RCTs in people with complicated appendicitis comparing (1) use of drain versus no drain, (2) open drain versus closed drain, or (3) different schedules for drain removal. We excluded studies in which not all participants received antibiotics after appendectomy. Outcomes Our critical outcome was intraperitoneal abscess. Important outcomes were wound infection, morbidity, mortality, and hospital stay. Risk of bias We used the Cochrane RoB 1 tool to assess the risk of bias in RCTs and quasi‐RCTs. Synthesis methods We synthesised the results for each outcome in a meta‐analysis using the random‐effects model, except for the Peto odds ratio, which only has a fixed‐effect model. We planned to use the Synthesis Without Meta‐analysis (SWiM) approach to report studies when it was not possible to undertake a meta‐analysis of effect estimates. We used GRADE to assess the certainty of evidence for each outcome. Included studies We included eight studies (five RCTs and three quasi‐RCTs) with a total of 739 paediatric and adult participants, of which 370 participants were randomised to the drainage group and 369 participants to the no‐drainage group. The studies were conducted in North America, Asia, and Africa and published between 1973 and 2023. The majority of participants had perforated appendicitis with local or general peritonitis. All participants received antibiotic regimens after open or laparoscopic appendectomy. All studies were at overall high risk of bias. Synthesis of results Use of drain versus no drain We assessed the certainty of the evidence for 30‐day mortality as moderate due to imprecision. We assessed the certainty of the evidence for all other outcomes as very low, downgraded mainly due to high risk of bias, inconsistency, and imprecision. The evidence is very uncertain regarding the effects of abdominal drainage versus no drainage on intraperitoneal abscess at 30 days (risk ratio (RR) 1.08, 95% confidence interval (CI) 0.55 to 2.12; 7 studies, 671 participants; very low‐certainty evidence), wound infection at 30 days (RR 1.76, 95% CI 0.89 to 3.45; 7 studies, 696 participants), and morbidity at 30 days (RR 1.84, 95% CI 0.14 to 24.50; 2 studies, 124 participants) in paediatric and adult participants undergoing open or laparoscopic appendectomy for complicated appendicitis. Approximately 113 (57 to 221 participants) out of 1000 participants in the drainage group developed intraperitoneal abscess, compared with 104 out of 1000 participants in the no‐drainage group. There were seven deaths in the drainage group (N = 291) compared with one in the no‐drainage group (N = 290); abdominal drainage probably increases the risk of 30‐day mortality (Peto odds ratio 4.88, 95% CI 1.18 to 20.09; 6 studies, 581 participants; moderate‐certainty evidence) in paediatric and adult partic pants undergoing open appendectomy for complicated appendicitis. Abdominal drainage may increase hospital stay by 1.58 days (95% CI 0.86 to 2.31; 5 studies, 516 participants; very low‐certainty evidence) in paediatric and adult participants undergoing open or laparoscopic appendectomy for complicated appendicitis, but the evidence is very uncertain. Open drain versus closed drain No studies compared open drain versus closed drain for complicated appendicitis. Early versus late drain removal No studies compared early versus late drain removal for complicated appendicitis. Authors' conclusions The evidence is very uncertain whether abdominal drainage prevents intraperitoneal abscess, wound infection, or morbidity in paediatric and adult participants undergoing open or laparoscopic appendectomy for complicated appendicitis. Abdominal drainage may increase hospital stay in paediatric and adult participants undergoing open or laparoscopic appendectomy for complicated appendicitis, but the evidence is very uncertain. Consequently, there is no evidence for any clinical improvement with the use of abdominal drainage in people undergoing open or laparoscopic appendectomy for complicated appendicitis. The increased risk of mortality with drainage comes from eight deaths observed in paediatric and adult participants undergoing open appendectomy for complicated appendicitis. Larger studies are needed to more reliably determine the effects of drainage on mortality outcomes. Funding This Cochrane review was funded by the National Natural Science Foundation of China (Grant No. 81701950, 82172135), Natural Science Foundation of Chongqing (Grant No. CSTB2022NSCQ‐MSX0058, cstc2021jcyj‐msxmX0294), Medical Research Projects of Chongqing (Grant No. 2018MSXM132, 2023ZDXM003, 2024jstg028), and the Kuanren Talents Program of the Second Affiliated Hospital of Chongqing Medical University. Registration Registration: not available.  Protocol and previous versions available via doi.org/10.1002/14651858.CD010168, doi.org/10.1002/14651858.CD010168.pub2, doi.org/10.1002/14651858.CD010168.pub3, and doi.org/10.1002/14651858.CD010168.pub4. Plain language summary What are the effects of using a drain compared to no drain after surgical removal of the appendix for treating complicated appendicitis? Key messages • We do not know if drain (tube) use after open (where a large cut is made to access underlying organs or tissues) or keyhole (surgery performed through a very small surgical cut) removal of the appendix has an important effect on the abdominal abscess (collection of pus in the abdomen) rate, wound infection rate, or overall complication rate in children and adults with complicated appendicitis (death, decay, or perforation of the appendix). • Use of drain after open removal of the appendix probably increases the death rate in children and adults with complicated appendicitis. • Use of drain after open or keyhole removal of the appendix may increase the length of hospital stay in children and adults with complicated appendicitis, but we are very uncertain about the results. What is complicated appendicitis? The human appendix is a tube located at the connection between the small and large intestines. The term 'appendicitis' covers a variety of conditions resulting from painful swelling of the appendix. Complicated appendicitis is defined as gangrenous appendicitis (death and decay of the appendix) or perforated appendicitis (bursting of the appendix). How is this managed? People with complicated appendicitis (gangrenous or perforated appendicitis) usually need surgical removal of the appendix to relieve their symptoms and avoid complications. Individuals undergoing surgical removal of the appendix for complicated appendicitis are more likely to suffer complications after surgery in comparison to uncomplicated appendicitis. The routine placement of a surgical drain to prevent abdominal abscess after surgical removal of the appendix for complicated appendicitis has been questioned. Use of a drain may decrease the risk of abdominal absces , but it may also have no benefit and may even cause harm. What did we want to find out? We wanted to find out whether the use of a drain after open or keyhole removal of the appendix is effective in reducing the abdominal abscess rate for people with complicated appendicitis in any care setting. We wanted to compare the use of a drain versus no drain by looking at: • abdominal abscess rate; • wound infection rate; • overall complication rate; • death rate; • length of hospital stay. What did we do? We searched for studies that compared the use of a drain with no drain after surgical removal of the appendix for people with complicated appendicitis. There were no restrictions on language, date of publication, or study setting. We compared and summarised the results of the studies and rated our confidence in the evidence based on factors such as study methods and sizes. What did we find? We found eight studies in which 739 children and adults with complicated appendicitis were randomly assigned to either use of drain (370 participants) or no drain (369 participants) after open or keyhole removal of the appendix. We are uncertain whether the use of a drain in children and adults after open or keyhole removal of the appendix reduces: • abdominal abscess rate (9 more abdominal abscesses per 1000 participants); • wound infection rate; or • overall complication rate. Compared with no drain, the use of a drain probably increases the death rate in children and adults after open removal of the appendix. Use of a drain may increase the length of hospital stay in children and adults after open or keyhole removal of the appendix, but we are very uncertain about this result. What are the limitations of the evidence? We have very little confidence in the evidence because it is possible that people in the studies were aware of what treatment they were getting, and not all studies provided data about everything that we were interested in. In addition, some studies did not clearly report how they were conducted, and there were not enough studies to be certain about the results of our outcomes. How up‐to‐date is this evidence? This review updates our previous review. The evidence is current to October 2023.</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</si>
  <si>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 The Author(s) 2024.</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</si>
  <si>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 2024 The Author(s). Movement Disorders Clinical Practice published by Wiley Periodicals LLC on behalf of International Parkinson and Movement Disorder Society.</t>
  </si>
  <si>
    <t>Interventions to reduce non‐prescription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</si>
  <si>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non‐prescription antimicrobial sales in the community setting. Objectives To assess the effects of interventions for reducing non‐prescription antimicrobial sales by pharmacists and non‐pharmacists in community pharmacies, drugstores, and other medicine outlets. To assess whether the effects of interventions differ according to types of interventions (single or multicomponent), community pharmacy personnel (pharmacists or non‐pharmacists), and countries (low to lower‐middle‐income and upper‐middle to high income). Search methods We searched five databases, including CENTRAL, MEDLINE, and Embase, and two trial registers to 26 September 2022. We also conducted reference checking and citation searches. Selection criteria We included randomized trials, cluster‐randomized trials, and quasi‐randomized trials evaluating interventions targeted at pharmacists and non‐pharmacists in community pharmacies, drugstores, and other medicine outlets. Our primary outcomes were non‐prescription antimicrobial sales, symptomatic or asymptomatic infections caused by antimicrobial‐resistant pathogens among pharmacy clients or community residents, and adverse events associated with non‐prescription antimicrobial drug use in pharmacy clients. Our secondary outcomes were history taking and provision of advice to pharmacy clients, and knowledge of pharmacists and non‐pharmacists.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non‐pharmacists. One study conducted in Scotland was a four‐arm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peer‐monitoring) with a control of no intervention. Only non‐prescription antimicrobial sales, history taking and provision of advice to pharmacy clients, and knowledge of pharmacists and non‐pharmacists were assessed in the included studies; no study assessed other outcomes. We judged the overall risk of bias for non‐prescription antimicrobial sales to be high risk and for the other two outcomes to be some concerns. One study conducted in Scotland assessed single‐component interventions (in two intervention arms) versus a control of written guidelines, and reported one primary outcome and one secondary outcome. Non‐prescription antimicrobial sales: the study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non‐pharmacists: the study reported knowledge scores at baseline and follow‐up, but did not compare the scores between t o single‐component intervention arms and the control arm at both time points. Four studies assessed multicomponent interventions versus a control of written guidelines or no intervention, and reported one primary outcome and two secondary outcomes. Non‐prescription antimicrobial sales: two studies conducted in Uganda, Thailand, and Vietnam involving 337 randomized community pharmacies and drugstores reported the proportion of non‐prescription antimicrobial sales to the total number of requests using a simulated client method. Based on vote counting, both studies favored the intervention, that is multicomponent interventions reduced the sales of non‐prescription antimicrobial drugs by pharmacists and non‐pharmacists. The information in the other two studies was inadequate to address this primary outcome. One study in Portugal reported that total antibiotic consumption at the municipal level (comprising both prescribed and non‐prescribed antibiotic sales) was reduced after a multicomponent intervention. The study conducted in Scotland assessed a multicomponent intervention (in one intervention arm) and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non‐pharmacists in the intervention groups, while Uganda reported a paradoxical decline. Knowledge of pharmacists and non‐pharmacists: the study conducted in Scotland reported knowledge scores at baseline and follow‐up, but did not compare the scores between the multicomponent intervention arm and control arm at both time points. Authors' conclusions No firm conclusions can be drawn about the effects of single‐component interventions due to limited evidence. Multicomponent interventions may not reduce the sales of non‐prescription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 There is no clear evidence that the single‐component interventions targeted at pharmacists and non‐pharmacists in community pharmacies and drugstores are effective. • When multicomponent interventions are used, the sale of antimicrobial drugs without a prescription may not be reduced, but we are very uncertain about the results. • Better‐quality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doctor’s prescription, but some pharmacists and non‐pharmacists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non‐p armacists reduce the sale of antimicrobial drugs without a prescription in countries where laws do not permit the sale of antimicrobial drugs without a prescription. What did we want to find out? In this review we looked at whether interventions that target pharmacists and non‐pharmacists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peer‐monitoring for reducing the sales of antimicrobial drugs without a prescription by pharmacists and non‐pharmacists.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non‐pharmacists, and peer‐monitoring on antimicrobial drug sales. When pharmacists and non‐pharmacists in community pharmacies and drugstores received more than one intervention component, the number of sales of antimicrobial drugs without a prescription may not be reduced, but we are very uncertain about the results. No studies measured drug‐resistant infections or unwanted effects of antimicrobial drugs in pharmacy users. Further studies on this topic are needed, particularly looking at the effects of single‐component interventions. How up‐to‐date is this review? The evidence is current to September 2022.</t>
  </si>
  <si>
    <t>J6258</t>
  </si>
  <si>
    <t>Differences in the effectiveness of individual‐level smoking cessation interventions by socioeconomic status</t>
  </si>
  <si>
    <t>- Background People from lower socioeconomic groups are more likely to smoke and less likely to succeed in achieving abstinence, making tobacco smoking a leading driver of health inequalities. Contextual factors affecting subpopulations may moderate the efficacy of individual‐level smoking cessation interventions. It is not known whether any intervention performs differently across socioeconomically‐diverse populations and contexts. Objectives To assess whether the effects of individual‐level smoking cessation interventions on combustible tobacco cigarette use differ by socioeconomic groups, and their potential impact on health equalities. Search methods We searched the Cochrane Database of Systematic Reviews from inception to 1 May 2023 for Cochrane reviews investigating individual‐level smoking cessation interventions. We selected studies included in these reviews that met our criteria. We contacted study authors to identify further eligible studies. Selection criteria We included parallel, cluster or factorial randomised controlled trials (RCTs) investigating any individual‐level smoking cessation intervention which encouraged complete cessation of combustible tobacco cigarette use compared to no intervention, placebo, or another intervention in adults. Studies must have assessed or reported smoking quit rates, split by any measure of socioeconomic status (SES) at longest follow‐up (≥ six months), and been published in 2000 or later. Data collection and analysis We followed standard Cochrane methods for screening, data extraction, and risk of bias assessment. We assessed the availability of smoking abstinence data by SES in lieu of selective reporting. The primary outcome was smoking cessation quit rates, split by lower and higher SES, at the longest follow‐up (≥ six months). Where possible, we calculated ratios of odds ratios (ROR) with 95% confidence intervals (CIs) for each study, comparing lower to higher SES. We pooled RORs by intervention type in random‐effects meta‐analyses, using the generic inverse‐variance method. We subgrouped by type of SES indicator and economic classification of the study country. We summarised all evidence in effect direction plots and categorised the intervention impact on health equality as: positive (evidence that the relative effect of the intervention on quit rates was greater in lower rather than higher SES groups), possibly positive, neutral, possibly neutral, possibly negative, negative, no reported statistically significant difference, or unclear. We evaluated certainty using GRADE. Main results We included 77 studies (73 from high‐income countries), representing 127,791 participants. We deemed 12 studies at low overall risk of bias, 13 at unclear risk, and the remaining 52 at high risk. Included studies investigated a range of pharmacological interventions, behavioural support, or combinations of these. Pharmacological interventions We found very low‐certainty evidence for all the main pharmacological interventions compared to control. Evidence on cytisine (ROR 1.13, 95% CI 0.73 to 1.74; 1 study, 2472 participants) and nicotine electronic cigarettes (ROR 4.57, 95% CI 0.88 to 23.72; 1 study, 989 participants) compared to control indicated a greater relative effect of these interventions on quit rates in lower compared to higher SES groups, suggesting a possibly positive impact on health equality. CIs for both estimates included the possibility of no clinically important difference and of favouring higher SES groups. There was a lower relative effect of bupropion versus placebo on quit rates in lower compared to higher SES groups, indicating a possibly negative impact on health equality (ROR 0.05, 95% CI 0.00 to 1.00; from 1 of 2 studies, 354 participants; 1 study reported no difference); however, the CI included the possibility of no clinically important difference. We could not determine the intervention impact of combination or single‐form nicotine replacement therapy on relative quit rates by SES. No studies on varenicline versus control were included. Behavioural interventions We found low‐certainty evidence of lower quit rates in lower compared to higher SES groups for print‐based self‐help (ROR 0.85, 95% CI 0.52 to 1.38; 3 studies, 4440 participants) and text‐messaging (ROR 0.76, 95% CI 0.47 to 1.23; from 3 of 4 studies, 5339 participants; 1 study reported no difference) versus control, indicating a possibly negative impact on health equality. CIs for both estimates included the possibility of no clinically important difference and of favouring lower SES groups. There was very low‐certainty evidence of quit rates favouring higher SES groups for financial incentives compared to balanced intervention components. However, the CI included the possibility of no clinically important difference and of favouring lower SES groups (ROR 0.91, 95% CI 0.45 to 1.85; from 5 of 6 studies, 3018 participants; 1 study reported no difference). This indicates a possibly negative impact on health equality. There was very low‐certainty evidence of no difference in quit rates by SES for face‐to‐face counselling compared to less intensive counselling, balanced components, or usual care. However, the CI included the possibility of favouring lower and higher SES groups (ROR 1.26, 95% CI 0.18 to 8.93; from 1 of 6 studies, 294 participants; 5 studies reported no difference), indicating a possibly neutral impact. We found very low‐certainty evidence of a greater relative effect of telephone counselling (ROR 4.31, 95% CI 1.28 to 14.51; from 1 of 7 studies, 903 participants; 5 studies reported no difference, 1 unclear) and internet interventions (ROR 1.49, 95% CI 0.99 to 2.25; from 1 of 5 studies, 4613 participants; 4 studies reported no difference) versus control on quit rates in lower versus higher SES groups, suggesting a possibly positive impact on health equality. The CI for the internet intervention estimate included the possibility of no difference. Although the CI for the telephone counselling estimate only favoured lower SES groups, most studies narratively reported no clear evidence of interaction effects. Authors' conclusions Currently, there is no clear evidence to support the use of differential individual‐level smoking cessation interventions for people from lower or higher SES groups, or that any one intervention would have an effect on health inequalities. This conclusion may change as further data become available. Many studies did not report sufficient data to be included in a meta‐analysis, despite having tested the association of interest. Further RCTs should collect, analyse, and report quit rates by measures of SES, to inform intervention development and ensure recommended interventions do not exacerbate but help reduce health inequalities caused by smoking. Plain language summary Do interventions to help adults stop smoking cigarettes work differently depending on people’s socioeconomic background? Key messages • We have little or no confidence in the evidence for all treatments. This means there is no clear evidence to support using different stop‐smoking interventions for people from lower versus higher socioeconomic groups, or that any one intervention would have an effect on health inequalities. However, this conclusion may change as more research becomes available. • More studies that report quit rates by socioeconomic status for each study group are needed. Quitting smoking and differences in socioeconomic status Smoking is the leading risk factor for disease and premature death, killing one in two users and eight million people worldwide every year. People who smoke are at increased risk of heart disease, lung disease, and cancer. Many different types of treatments can help people quit smoking. These treatments include medication or behavioural support, such as counselling, and can be delivered in diverse ways. People from lower socioeconomic groups (e.g. people living on lower incomes, who are unemployed, or who have lower levels of education) are more likely to smoke but less likely to quit with the help of curren treatments compared to people from higher socioeconomic groups. Potential impact of quitting smoking on health inequalities Health inequalities are differences in health between groups of people. As smoking is uniquely harmful and deadly, higher numbers of people smoking leads to unequal smoking‐related disease and death in disadvantaged groups. This makes smoking a leading driver of health inequalities. Quitting smoking is vital to reduce this risk and also to reduce differences in health between people from different socioeconomic groups. What did we want to find out? We wanted to know whether current treatments to help adults quit smoking tobacco cigarettes work better or worse in people from different socioeconomic groups, and their potential impact on health equalities. What did we do? We searched for studies that looked at any treatments an adult (aged 18 years or older) might use to help them stop smoking tobacco cigarettes. We looked for randomised controlled trials, where people were randomly assigned to different treatment groups. We compared and summarised study results on the number of people who quit smoking after at least six months, in lower compared to higher socioeconomic groups. We then categorised the potential impact of the intervention on health equality. We rated our confidence in the evidence based on factors such as study methods and sizes. What did we find? We found 77 studies reporting on 127,791 adults who smoke. They investigated a range of medications and behavioural support to help people stop smoking. Seventy‐three studies were conducted in high‐income countries. What are the main results of our review? Nicotine electronic cigarettes and cytisine (a medicine) each had a greater effect on quit rates in lower rather than higher socioeconomic groups. This suggests each of these interventions may have a possibly positive impact on health equality compared to the control intervention. We found that bupropion (an antidepressant) had a greater effect on quit rates in higher rather than lower socioeconomic groups, indicating a possibly negative impact on health equality. The evidence on nicotine replacement therapy was unclear, and no evidence was available for varenicline (a medicine). However, we are very uncertain about these results. Evidence on print‐based self‐help materials, text‐messaging, and financial incentives to stop smoking suggested lower quit rates in lower socioeconomic groups compared to higher groups. This suggests that these interventions have a possibly negative impact on health equality, compared to control. Evidence on face‐to‐face counselling suggested no difference between socioeconomic groups, while telephone counselling and internet‐based interventions showed a greater effect on quit rates in lower compared to higher socioeconomic groups. Again, we have limited confidence in these results. What are the limitations of the evidence? We have little to no confidence in the findings due to: (1) the small numbers of studies; (2) variations in intervention impact on health equality between studies; (3) issues with the design or conduct of studies; and (4) limited data on the number of people who quit smoking by socioeconomic status by study group, which prevented further analyses. More evidence may change or strengthen our findings. How current is this evidence? The evidence is current to 1 May 2023.</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</si>
  <si>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 Author(s) (or their employer(s)) 2025. Re-use permitted under CC BY-NC. No commercial re-use. See rights and permissions. Published by BMJ Group.</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</si>
  <si>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 The Author(s) 2024.</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</si>
  <si>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low‐certainty evidence) and motor function (SMD 1.01, 95% CI 0.80 to 1.22; 50 studies, 5669 participants; low‐certainty evidence). There was evidence of long‐term benefits for these outcomes. Physical rehabilitation may improve balance (MD 4.54, 95% CI 1.36 to 7.72; 9 studies, 452 participants; low‐certainty evidence) and likely improves gait velocity (SMD 0.23, 95% CI 0.05 to 0.42; 18 studies, 1131 participants; moderate‐certainty evidence), but with no evidence of long‐term benefits. Is physical rehabilitation more effective than attention control? The evidence is very uncertain about the effects of physical rehabilitation, as compared to attention control, on IADL (SMD 0.91, 95% CI 0.06 to 1.75; 2 studies, 106 participants), motor function (SMD 0.13, 95% CI ‐0.13 to 0.38; 5 studies, 237 participants), and balance (MD 6.61, 95% CI ‐0.45 to 13.66; 4 studies, 240 participants). Physical rehabilitation likely improves gait speed when compared to attention control (SMD 0.34, 95% CI 0.14 to 0.54; 7 studies, 405 participants; moderate‐certainty evidence). Does additional physical rehabilitation improve outcomes? Additional physical rehabilitation may improve IADL (SMD 1.26, 95% CI 0.82 to 1.71; 21 studies, 1972 participants; low‐certainty evidence) and motor function (SMD 0.69, 95% CI 0.46 to 0.92; 22 studies, 1965 participants; low‐certainty evidence). Very few studies assessed these outcomes at long‐term follow‐up. Additional physical rehabilitation may improve balance (MD 5.74, 95% CI 3.78 to 7.71; 15 studies, 795 participants; low‐certainty evidence) and gait velocity (SMD 0.59, 95% CI 0.26 to 0.91; 19 studies, 1004 participants; low‐certainty evidence). Very few studies assessed these outcomes at long‐term follow‐up. Is any one approach to physical rehabilitation more effective than any other approach? Compared to other approaches, those that focus on functional task training may improve IADL (SMD 0.58, 95% CI 0.29 to 0.87; 22 studies, 1535 participants; low‐certainty evidence) and motor function (SMD 0.72, 95% CI 0.21 to 1.22; 20 studies, 1671 participants; very low‐certainty evidence) but the evidence in the latter is very uncertain. The benefit was sustained long‐term. The evidence is very uncertain about the effect of functional task training on balance (MD 2.16, 95% CI ‐0.24 to 4.55) and gait velocity (SMD 0.28, 95% CI ‐0.01 to 0.56). Compared to other approaches, neurophysiological approaches may be less effective than other approaches in improving IADL (SMD ‐0.34, 95% CI ‐0.63 to ‐0.06; 14 studies, 737 participants; low‐certainty evidence), and there may be no difference in improving motor function (SMD ‐0.60, 95% CI ‐1.32 to 0.12; 13 studies, 663 participants; low‐certainty evidence), balance (MD ‐0.60, 95% CI ‐5.90 to 6.03; 9 studies, 292 participants; low‐certainty evidence), and gait velocity (SMD ‐0.17, 95% CI ‐0.62 to 0.27; 16 studies, 630 participants; very low‐certainty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decision‐making. Plain language summary How effective are different physical rehabilitation approaches in the recovery of function, balance, and walking after stroke? Key messages For people who have had a stroke: ‐ Physical rehabilitation may improve daily activities, moving legs, balance, and walking, when compared to no physical rehabilitation. There may be greater benefits when more than 2.5 hours/week of physical rehabilitation is delivered. ‐ Extra physical rehabilitation, given in addition to 'usual' physical rehabilitation, may also improve outcomes. The greater the amount of extra physical rehabilitation, the greater the benefit may be. ‐ Physical rehabilitation focussed on functional task training (the active practice of real‐life tasks with the aim of acquiring ‐ or reacquiring ‐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‘Bobath’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 Are physical rehabilitation approaches effective in the recovery of function and mobility in people with stroke? ‐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Ninety‐two studies compared different physical rehabilitation approaches. There were many variations in the types and amount of physical rehabilitation, and the types of people (e.g. different lengths of time post‐stroke).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long‐term follow‐up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up‐to‐date is this evidence? The evidence is up‐to‐date to November 2022. It is unlikely that any studies published since November 2022 would alter our conclusions.</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</si>
  <si>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 2025"</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</si>
  <si>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 Author(s) (or their employer(s)) 2025. Re-use permitted under CC BY. Published by BMJ Group.</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</si>
  <si>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 2024"</t>
  </si>
  <si>
    <t>J6266</t>
  </si>
  <si>
    <t>Impact Assessment of Covid19 pandemic on operational aspect of national tuberculosis elimination program in Bhavnagar district</t>
  </si>
  <si>
    <t>Purpose: India account more than one forth tuberculosis cases. Covid 19 affect health condition like tuberculosis. We aim to assess impact of covid 19 on National Tuberculosis Elimination Program. Method(s): In depth interviews of district tuberculosis officer, private practitioner and tuberculosis patients (who registered in District Tuberculosis Centre during April 2020-September2020) were conducted in Bhavnagar district. Notification rate during covid 19 was obtained from District Tuberculosis Centre of Bhavnagar district. All interviews were audio-recorded after obtaining written informed consent, transcribed in English, and analyzed in the form of codes and categories. Result(s): Health care providers perceived covid 19 lockdowns, fear among patients, difficult transportation, diversion of resources and reduced concerns towards tuberculosis were the reason for low notification during the COVID-19 pandemic. Conclusion(s): COVID-19 lockdown had detrimental effects on notification rate. During such testing time patients felt proper supervision by front line worker, no issued in direct benefit transfer for nutrition support and adequate supply of medicine. Telemedicine, awareness through social media, collaboration with other agencies, bidirectional screening implementation, coping of covid 19 fear among patients, separate tuberculosis facility were the expectation from higher authority if next wave of covid 19 will come. Future studies can evaluate the feasibility, impact, and cost-effectiveness of such interventions. Copyright © 2024</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</si>
  <si>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 2025 Elsevier Ltd</t>
  </si>
  <si>
    <t>J6269</t>
  </si>
  <si>
    <t>Naloxone Distribution Models in the United States: A Scoping Review</t>
  </si>
  <si>
    <t>&lt;b&gt;BACKGROUND&lt;/b&gt;: Increasing naloxone distribution is a high priority means to mitigating opioid overdose rates in the United States. Since a variety of naloxone distribution models exist, with differences in infrastructure and funding between states and health-systems, it is important to review their differences and understand the strengths and barriers to widespread implementation of each model._x000D_
&lt;b&gt;METHODS&lt;/b&gt;: The following 4 databases were searched for articles reporting on naloxone distribution models: (1) PubMed/Medline (National Library of Medicine), (2) Embase (Elsevier), (3) Scopus (Elsevier), and (4) the Cochrane library. Reports from all years written in English that discussed naloxone distribution models in the United States were included, as were all study designs._x000D_
&lt;b&gt;RESULTS&lt;/b&gt;: Of 5825 articles initially identified, 173 were selected for full text review. Of these, 49 met full criteria and were included for data extraction and analysis. Most distribution models occurred in community-based opioid education and naloxone distribution programs and in community pharmacies via a standing order/statewide protocol. Most programs reported strengths related to feasibility, but frequently reported cost as a limitation. Fewer studies described distribution models in ambulatory care or hospital settings, though these studies also highlighted strengths related to feasibility, particularly with support from working partners, and when utilizing an interprofessional care approach. Few studies reported health/economic outcomes data associated with naloxone distribution, such as changes in the number of patient/layperson access, the number of opioid overdose reversals, or cost-savings._x000D_
&lt;b&gt;CONCLUSIONS&lt;/b&gt;: This review outlines the many ways in which naloxone is distributed in the United States and emphasizes a need for improved outcomes data collecting/reporting in the various settings where naloxone is distributed. This would allow for future studies to evaluate which distribution model factors are associated with improvements in health outcomes, such as increased layperson access, and lower opioid overdose/mortality rates.</t>
  </si>
  <si>
    <t>J6270</t>
  </si>
  <si>
    <t>Economic Optimization Through Adherence to Best Practice Guidelines: A Decision Analysis of Traumatic Spinal Cord Injury Care Pathways in Australia</t>
  </si>
  <si>
    <t>Traumatic spinal cord injuries (TSCIs) have significant health, economic, and social effects on individuals, families, and society. In this economic analysis modeling study, we used record-linked administrative patient data from New South Wales, Australia, to construct a decision tree model to compare the economic cost of acute care for patients with TSCI under current clinical pathways with an optimal care (consensus guidelines-informed) modeled pathway. The optimal care pathway included direct transfer to a specialist SCI Unit (SCIU) or indirect transfer to SCIU within 24 h of injury, surgical intervention within 12 h of injury, and subsequent inpatient rehabilitation. Propensity score matching with inverse probability of treatment weighting (IPTW) was used to reduce potential confounding from baseline differences in patient characteristics. A generalized linear model regression with gamma distribution and log link, weighted with IPTW scores, was used for cost and length of stay (LoS) estimations to reduce any residual bias. Sensitivity analyses quantified the sensitivity of the findings to key model parameters. From the healthcare payer perspective, our economic analysis found acute TSCI care at an SCIU was more expensive, with delayed patient transfer pathways, surgery, and timing of surgery driving higher per-patient costs ($14,322 at specialist centers). Probabilistic sensitivity analysis (PSA) using 10,000 Monte Carlo iterations showed the modeled optimal pathway as the expensive option in the majority (86%) of stimulations. However, the modeled direct transfer care pathway demonstrated economic improvements compared to current care pathways, despite a higher upfront cost ($25,428 per patient), the modeled pathway reduced the episode LoS by 5 days (23 days vs. 28 days) on average, generating system-level savings of $20,628 per patient. In PSA, increasing the proportion of patients directly transferred to SCIU by 25%, the optimized pathway was preferred in 28.3% of the simulations. Furthermore, adopting this pathway lowered the incremental per patient cost to $17,157 while preserving a 5-day LoS benefit compared to current pathways (22 days vs. 27 days), which could generate potential savings of $3,471 per patient. Our findings show that guideline-based acute care management is initially resource-intensive but efficient in terms of patient LoS, with a higher proportion of direct transfers resulting in cost savings of $3,471 per patient, which represent system-level benefits from adopting the modeled pathway, rather than episode-level savings. Following consensus guidelines for acute care can provide an economically sustainable approach to resource-intensive patient needs while improving outcomes, as demonstrated in previous studies. In summary, while more intensive, adhering to clinical guidelines of direct transfer to SCIU demonstrates value for patients and health systems. Standardization to optimize time to surgery can achieve improved outcomes through earlier access to rehabilitation and substantial care efficiencies. These findings highlight the economic case for adherence to best practice care guidelines at the healthcare system level to inform future healthcare planning for patients with TSCI. Copyright 2025, Mary Ann Liebert, Inc., publishers.</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</si>
  <si>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 2025. The Author(s).</t>
  </si>
  <si>
    <t>Post‐incident debriefing for people with schizophrenia after coercive measures</t>
  </si>
  <si>
    <t>- Background Schizophrenia and schizophrenia‐type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post‐incident debriefing is recommended, the limited evidence supporting its efficacy and concerns about its impact on psychological well‐being prompt a comprehensive analysis of existing literature. Objectives To investigate the effects of post‐incident debriefing after coercive measures for people with schizophrenia or schizophrenia‐type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post‐incident debriefing after coercive measures in adult psychiatric care with participants diagnosed with schizophrenia or schizophrenia‐type psychosis, encompassing various clinical states and stages. We considered studies if the post‐incident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post‐coercion review that was conducted until the discharge of the participant. For the primary outcome, we found that there may be an increased risk of being secluded again for those receiving post‐incident debriefing compared to treatment as usual, but the evidence is very uncertain (RR 1.32, 95% CI 0.74 to 2.33; 1 study, 109 participants; very low‐certainty evidence). No evidence was found that post‐incident debriefing had an effect in reducing peritraumatic distress (MD ‐1.62, 95% CI ‐7.47 to 4.23; 1 study, 82 participants; very low‐certainty evidence) or increasing satisfaction with care (perceived coercion: MD ‐0.37, 95% CI ‐1.59 to 0.85; 1 study, 109 participants; coercion experience: MD ‐1.61, 95% CI ‐13.36 to 10.14; 1 study, 109 participants; very low‐certainty evidence) compared to treatment as usual. The evidence is very uncertain about the effect of post‐incident debriefing on these outcomes. No usable data were available for change in patient behaviour or adverse effects. Authors' conclusions Considering the available evidence, it is not possible to arrive at definitive conclusions that post‐incident debriefing after coercive measures is effective for people with schizophrenia or schizophrenia‐type psychosis. F rther high‐quality studies are warranted to evaluate the effects of post‐incident debriefing in psychiatric inpatient care. Plain language summary Is post‐incident debriefing after coercive measures for people with schizophrenia effective? Key messages • Due to a lack of evidence, the benefits of post‐incident debriefing after coercive measures (seclusion: locking someone in a separate room, or restraint: preventing them from moving) for people with schizophrenia or schizophrenia‐type psychosis are unclear. • Future research is needed into the effects of post‐incident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post‐incident debriefing after coercive measures for people with schizophrenia or schizophrenia‐type psychosis. What did we do? We carried out a comprehensive search in specialised databases to identify studies in which people with schizophrenia were randomly assigned to two or more treatment groups to assess post‐incident debriefing in adult psychiatric care. What did we find? We found one relevant study with data for 109 people. This study involved standardised post‐incident debriefing until the person left hospital. People who received post‐incident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post‐incident debriefing is common practice in clinical settings, the evidence is currently not available to support it in current forms. The findings of this review therefore suggest caution in its use. The review highlights the need for further high‐quality studies to thoroughly assess the effects of post‐incident debriefing in psychiatric inpatient care. Any post‐incidence debriefing measures should be clearly defined and described so that people know how and why to use them in daily practice. How up to date is this evidence? This evidence is current to February 2023.</t>
  </si>
  <si>
    <t>Ankle‐foot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</si>
  <si>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ankle‐foot‐orthoses (AFOs). Since we are not aware of an up‐to‐date and complete overview of the effects of AFOs used for calf muscle weakness in slowly progressive neuromuscular disorders, we reviewed the evidence for the effectiveness of AFOs to improve walking in this patient group, in order to support clinical decision‐making. Objectives To review the evidence for the effects of ankle‐foot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cross‐over studies and quasi‐RCTs, and non‐randomised studies (NRSs) that examined the effects of AFO interventions compared with shoes‐only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meta‐analysis where possible. We used the GRADE approach to rate the certainty of the evidence. Main results We included four randomised cross‐over studies and six NRSs with 186 participants in total (the smallest study had 8 participants and the largest had 37). All studies were designed as self‐controlled studies and examined the effects of custom‐made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three‐week or three‐month follow‐up.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−0.86 J/kg/m, 95% confidence interval (CI) −1.33 to −0.39; 2 studies, 45 participants; low‐certainty evidence), and may increase walking speed (MD 0.19 m/s, 95% CI 0.11 to 0.27; 4 studies, 71 participants; low‐certainty evidence) compared to shoes‐only walking. We found that leather AFOs may increase walking speed (MD 0.25 m/s, 95% CI 0.07 to 0.43; 1 study, 11 participants; low‐certainty evidence). Little or no effect on walking speed was found with polypropylene AFOs (MD 0.00 m/s, 95% CI −0.11 to 0.11; 2 studies, 25 participants; low‐certainty evidence) and elastic AFOs (MD 0.03 m/s, 95% CI −0.12 to 0.18; 1 study, 14 participants; low‐certainty evidence). Carbon AFOs may also enhance satisfaction while walking (1 study, 16 participants; low‐certainty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(low‐certainty evidence). Authors' conclusions The available evidence for ankle‐foot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Ankle‐foot orthoses to improve walking in people with weakness of the calf muscles due to neuromuscular disorders Key messages Ankle‐foot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Ankle‐foot orthoses are devices that can be provided to improve walking in people with neuromuscular disorders. There are many different types of ankle‐foot orthoses and their effects on walking vary considerably. To help healthcare professionals and patients make informed decisions about the use of ankle‐foot orthoses, we wanted to review the available evidence about their effects on walking. What did we do? We searched the medical literature for all relevant studies that compared walking with ankle‐foot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cross‐over design; the other six studies were not randomised. Outcomes were assessed at different time points, and most studies did not include follow‐up assessments. The ankle‐foot orthosis types that were examined varied in their design and material. Most ankle‐foot‐orthosis types, in particular the ankle‐foot orthoses that were made of carbon, were custom‐made; the remainder were prefabricated. These factors reduced our confidence in the evidence. How up to date is this review? We searched for studies published up to February 2023.</t>
  </si>
  <si>
    <t>J6274</t>
  </si>
  <si>
    <t>Pre‐emptive treatment for cytomegalovirus viraemia to prevent cytomegalovirus disease in solid organ transplant recipients</t>
  </si>
  <si>
    <t>- Background Cytomegalovirus (CMV) is a significant cause of morbidity and death in solid organ transplant recipients. Pre‐emptive treatment of patients with CMV viraemia using antiviral agents has been suggested as an alternative to routine prophylaxis to prevent CMV disease. This is an update of a Cochrane review first published in 2006 and updated in 2013. Objectives To determine the benefits and harms of pre‐emptive treatment of CMV viraemia to prevent CMV disease and death (any cause) and the indirect effects of CMV infection (acute rejection, graft loss, opportunistic infections) in solid organ transplant recipients. Search methods The Cochrane Kidney and Transplant Register of Studies was searched up to 17 December 2024 using search terms relevant to this review. Studies in the Register are identified through searches of CENTRAL, MEDLINE, and EMBASE, conference proceedings, the International Clinical Trials Registry Platform (ICTRP) Search Portal, and ClinicalTrials.gov. Selection criteria We included randomised controlled trials (RCTs) and quasi‐RCTs comparing pre‐emptive treatment with placebo, no specific treatment, or antiviral prophylaxis in solid organ transplant recipients. Data collection and analysis Two authors independently assessed the eligibility of the identified studies, assessed the risk of bias, and extracted all data. Results were expressed as risk ratio (RR) and 95% confidence intervals (CI) for dichotomous outcomes. Statistical analyses were performed using a random‐effects model. The certainty of evidence was assessed per outcome using the Grades of Recommendation, Assessment, Development and Evaluation (GRADE) approach. Main results In this update, we have included seven new studies, bringing the total number of included studies to 22 (1883 participants). Of these, seven investigated pre‐emptive treatment versus placebo or standard care, 12 looked at pre‐emptive treatment versus antiviral prophylaxis, one study investigated oral versus intravenous pre‐emptive treatment, one investigated pre‐emptive valganciclovir versus pre‐emptive ganciclovir, and one investigated letermovir 40 mg twice/day versus 80 mg once/day. Studies were conducted in Australia, Brazil, the Czech Republic, Germany, Italy, Japan, Norway, Spain, South Korea, and the USA. Organ transplant recipients included kidney, liver, heart, lung, and kidney‐pancreas. Thirteen studies were single‐centre studies, six were multicentre, and three were unknown. The number of participants ranged from 12 to 296. Overall, selection bias was unclear (55%); performance, detection and attrition bias were high (91%, 63% and 95%, respectively), and reporting bias was low (55%). Compared with placebo or standard care, pre‐emptive treatment probably reduces the risk of CMV disease (7 studies, 315 participants: RR 0.29, 95% CI 0.11 to 0.80; I 2 = 54%; moderate‐certainty evidence) but may result in little or no difference in death (any cause) (3 studies, 176 participants: RR 1.23, 95% CI 0.35 to 4.30; I 2 = 0%; low‐certainty evidence). Pre‐emptive treatment may result in little or no difference in CMV organ involvement, CMV‐associated symptoms, acute rejection, graft loss, other infections or leucopenia. Compared to prophylaxis, pre‐emptive treatment may make little or no difference to the risk of developing CMV disease (11 studies, 1322 participants: RR 0.97, 95% CI 0.47 to 2.01; I 2 = 54%; low‐certainty evidence) and probably makes little or no difference to death (any cause) (9 studies, 1098 participants: RR 0.95, 95% CI 0.60 to 1.52; I 2 = 0%; moderate‐certainty evidence). Pre‐emptive treatment may increase the risk of CMV infection (8 studies, 867 participants: RR 1.97, 95% CI 1.48 to 2.61; I 2 = 66%; low‐certainty evidence). The risk of leucopenia (7 studies, 869 participants: RR 0.57, 95% CI 0.38 to 0.87; I 2 = 33%; moderate‐certainty evidence) and neutropenia (5 studies, 859 participants: RR 0.63, 95% CI 0.44 to 0.90; I 2 = 0% moderate certainty evidence) probably decreases w th pre‐emptive therapy. There may be little or no difference in the risks of acute rejection, graft loss, and infections other than CMV. Single studies were identified for comparisons between different pre‐emptive treatments: 1) oral ganciclovir versus IV ganciclovir; 2) valganciclovir versus ganciclovir; 3) 40 mg twice/day versus 80 mg once/day. No differences between these treatment modalities in terms of CMV disease, death (any cause), or adverse events were identified. Authors' conclusions In this review, we have included seven new studies, yet the available evidence is overall of low certainty and the conclusions remain similar to the previous version of this review. Pre‐emptive treatment probably reduces the risk of CMV disease compared with placebo or standard care. There were no clear differences between pre‐emptive treatment and prophylaxis to prevent CMV disease or reduce the risk of death (any cause). The risk of CMV infection may be higher for patients receiving pre‐emptive therapy, but the risk of adverse events, such as leucopenia, is probably lower. Plain language summary Does pre‐emptive treatment with antiviral agents help to reduce the risk of cytomegalovirus disease in transplant recipients? Key messages • Cytomegalovirus (CMV, herpes virus related to chickenpox) is a common virus, with the majority of people being exposed by adulthood. CMV is a major cause of illness and death during the first year after transplantation. Prevention strategies include 1) giving daily low doses of an antiviral agent to all organ transplant recipients (prophylaxis) or 2) prescribing an antiviral agent when an organ transplant recipient develops laboratory‐confirmed evidence of infection (pre‐emptive treatment). • Compared to placebo or standard care, pre‐emptive treatment probably reduces the risk of CMV disease. However, we are less confident in the results for other outcomes such as death, other organs being affected by CMV, CMV symptoms, acute rejection (the body's immune system attacking the transplanted organ), loss of the transplanted organ, other infections, or low white blood cells. • Compared to antiviral prophylaxis, pre‐emptive treatment probably reduces the risk of low white blood cells and probably makes little or no difference to the risk of death. However, we are less confident pre‐emptive treatment may increase the risk of CMV infection or may make little or no difference to risks of acute rejection, graft loss, or infections other than CMV. What is cytomegalovirus?  Cytomegalovirus (CMV, a herpes virus related to chickenpox) is a common virus, with the majority of people being exposed by adulthood. Once a person becomes infected, the virus remains alive but usually inactive (dormant) within that person’s body for life. It does not normally cause a problem; however, for people whose immune system (the body's mechanism for fighting anything foreign) does not work well, the virus can reactivate. People who have received a kidney, heart, liver, lung or pancreas transplant (solid organ transplants) have to take strong medicines to prevent their bodies from trying to fight (or reject) this new transplant. These medicines dampen down the immune system, and the virus may once again become active and may affect the new transplant. CMV is a major cause of illness and death during the first year after transplantation. It is important to distinguish between CMV infection and CMV disease: not every patient with a CMV infection will develop clinical disease with symptoms. Two main strategies to prevent CMV disease have been adopted: 1) giving daily low doses of an antiviral agent to all organ transplant recipients (prophylaxis), or 2) prescribing an antiviral agent when an organ transplant recipient develops laboratory‐confirmed evidence of infection (pre‐emptive treatment). What did we want to find out? We wanted to find out if pre‐emptive treatment aimed at transplant recipients who are at risk of developing CMV disease, rather than administering universal prophylaxis, including those who are unlikely to develop CMV disease, prevents the development of CMV disease, death and adverse events. What did we do?  We searched for all trials that assessed the benefits and harms of pre‐emptive treatment with antiviral agents in preventing CMV disease in solid organ transplant recipients. We compared and summarised the results of the trials and rated our confidence in the information based on factors such as trial methods and size. What did we find?  We found 22 studies involving 1883 people (adults and children) who had received a kidney, liver, heart, lung, or kidney‐pancreas transplant. Studies were conducted in Australia, Brazil, the Czech Republic, Germany, Italy, Japan, Norway, Spain, South Korea, and the USA. The number of people enrolled ranged from 12 to 296. Studies compared pre‐emptive treatment with placebo or standard care (7 studies), pre‐emptive treatment versus antiviral prophylaxis (12), pre‐emptive oral versus intravenous ganciclovir treatment (1), pre‐emptive valganciclovir versus pre‐emptive ganciclovir (1), and two different pre‐emptive dosing strategies of letermovir (1). Compared to placebo or standard care, pre‐emptive treatment probably reduces the risk of CMV disease but may make little or no difference to death, other organs being affected by CMV, CMV symptoms, acute rejection (the body's immune system attacking the transplanted organ), loss of the transplanted organ, other infections or low white blood cells. Compared to antiviral prophylaxis, pre‐emptive treatment may make little or no difference to the risk of developing CMV disease and probably makes little or no difference to the risk of death. CMV infection may increase with pre‐emptive treatment, while the risk of low white blood cells probably decreases. There may be little or no difference in the risks of acute rejection, graft loss, and infections other than CMV. What are the limitations of the evidence?  We are moderately confident that, compared to placebo or standard care, pre‐emptive treatment reduces the risk of CMV disease; however, we are less confident in the results for other outcomes. We are moderately confident that, compared to antiviral prophylaxis, pre‐emptive treatment probably reduces the risk of low white blood cells; however, we are less confident pre‐emptive treatment may increase the risk of CMV infection. How up to date is the evidence? The evidence is current to 17 December 2024.</t>
  </si>
  <si>
    <t>- Rationale Cancerâ€related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faceâ€toâ€face (via video tools or in person). We excluded studies with fewer than 20 randomised participants per group and where only an abstract was available. Outcomes Our critical outcomes were: shortâ€, mediumâ€, longâ€term CRF and QoL. Important outcomes were adverse events, and shortâ€, mediumâ€, longâ€term anxiety and depression. Risk of bias We used the Cochrane RoB 1 tool to assess bias in RCTs. Synthesis methods We used standard Cochrane methodology. We synthesised results for each outcome using metaâ€analysis where possible (inverse variance or Mantelâ€Haenszel; randomâ€effects model). We pooled data for the respective assessment periods above. We used GRADE to assess certainty of evidence for each outcome. Included studies We included 23 RCTs with 2135 participants, of whom 96.6% originated from highâ€income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shortâ€term CRF slightly (mean difference (MD) 2.85, 95% confidence interval (CI) 1.16 to 4.55, on the Functional Assessment of Cancer Therapy â€“ Fatigue (FACTâ€F), scale 0 to 52, higher values mean better outcome; minimally important difference (MID) 3; 6 studies, 593 participants) and probably results in little to no difference in shortâ€term QoL (MD 3.56, 95% CI 0.21 to 6.90, on the European Organisation for Research and Treatment of Cancer Quality of Life Questionnaire C30 (EORTC QLQ Câ€30), scale 0 to 100, higher values mean better outcome, MID 10; 6 studies, 612 participants) (both moderateâ€certainty evidence). We are uncertain about the effects on mediumâ€term CRF (MD 2.67, 95% CI âˆ’2.58 to 7.92, on FACTâ€F; MID 3; 1 study, 62 participants), longâ€term CRF (MD 0.41, 95% CI âˆ’2.24 to 3.05, on FACTâ€F; MID 3; 2 studies, 230 participants), mediumâ€term QoL (MD 6.79, 95% CI âˆ’4.39 to 17.97, on EORTC QLQ Câ€30; MID 10; 1 study, 62 participants), and longâ€term QoL (MD 1.51, 95% CI âˆ’3.40 to 6.42, on EORTC QLQ Câ€30; MID 10; 2 studies, 230 participants) (all very lowâ€certainty evidence). For adverse events (any grade and followâ€up), we did not perform metaâ€analysis due to heterogeneous definitions, reporting, and measurement (9 RCTs, 955 participants; very lowâ€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shortâ€term CRF (MD 3.62, 95% CI 0 to 7.13, on FACTâ€F; MID 3; 6 studies, 497 participants), longâ€term CRF (MD âˆ’0.80, 95% CI âˆ’1.72 to 0.13, on the Fatigue Symptom Inventory (FSI), scale 1 to 10, higher values mean worse outcome; MID 1; 2 studies, 262 participants), shortâ€term QoL (MD 3.70, 95% CI âˆ’0.14 to 7.41, on the Functional Assessment of Cancer Therapy â€“ General (FACTâ€G), scale 0 to 108, higher values mean better outcome; MID 4; 8 studies, 642 participants), longâ€term QoL (MD 3.10, 95% CI âˆ’1.12 to 7.32, on FACTâ€G; MID 4; 1 study, 201 participants), and adverse events (risk ratio (RR) 2.71, 95% CI 0.58 to 12.67; 1 study, 50 participants) (all very lowâ€certainty evidence). There were no data for mediumâ€term CRF and QoL . Authors' conclusions Moderateâ€certainty evidence shows that cardiovascular training by people with cancer during their anticancer therapy slightly reduces shortâ€term CRF and results in little to no difference in shortâ€term QoL . We do not know whether cardiovascular training increases or decreases mediumâ€term CRF/QoL , and longâ€term CRF/QoL . There is very lowâ€certainty evidence (due to heterogeneous definitions, reporting and measurement) evaluating whether the training increases or decreases adverse events . In people with cancer who perform cardiovascular training after anticancer therapy, we are uncertain about the effects on shortâ€term CRF/QoL , longâ€term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cancerâ€related fatigue before, during, or after anticancer therapy? Key messages Cardiovascular training during anticancer therapy probably reduces cancerâ€related fatigue slightly for up to 12 weeks. The longerâ€term effects of cardiovascular training on cancerâ€related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cancerâ€related fatigue? Cancerâ€related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cancerâ€related fatigue? Cancerâ€related fatigue is linked to the body's response to cytokines, which regulate how tissues and organs increase in size (called cell growth). Cancer or cancer therapy may produce proteins called proâ€inflammatory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cancerâ€related fatigue or quality of life, or both. The cardiovascular training had to have at least five sessions of exercise and had to be given by faceâ€toâ€face instruction (either by video or in person). We did not consider studies with fewer than 20 people per group, or that were available in a short summary form only. What did we find? We found 23 studies with 2135 people. Most studies were conducted in highâ€income countries (97%; where people have easy access to goodâ€quality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shortâ€term cancerâ€related fatigue slightly (6 studies, 593 people); probably results in little to no difference in shortâ€term quality of life (6 studies, 612 people); we do not know if cardiovascular training increases or decreases mediumâ€ and longâ€term cancerâ€related fatigue and quality of life , and any unwanted effects. Cardiovascular training after anticancer therapy versus no training: we do not know if cardiovascular training increases or decreases shortâ€ and longâ€term cancerâ€related fatigue and quality of life , and any unwanted effects; we could not find any data for mediumâ€term cancerâ€related fatigue and quality of life. What are the limitations of the evidence? We are moderately confident in the evidence about the effect of cardiovascular training during anticancer therapy on shortâ€term cancerâ€related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mediumâ€term cancerâ€related fatigue and quality of life . How up to date is this evidence? Our evidence is up to date to 16 October 2023.</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</si>
  <si>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 2024</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</si>
  <si>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 The Author(s) 2024.</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</si>
  <si>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 2024 The Author(s)</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</si>
  <si>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 2024 The Authors</t>
  </si>
  <si>
    <t>J6283</t>
  </si>
  <si>
    <t>Integration of social work into specialist palliative home service</t>
  </si>
  <si>
    <t>&lt;b&gt;Background&lt;/b&gt;: The specialist palliative home service (SAPV) federal framework contract for adults, to be enacted in Germany until 2028, does not legally mandate the hiring of a third professional group beyond specialist nurses and physicians, although palliative care embraces the psychosocial dimension and an interprofessional approach._x000D_
&lt;b&gt;Objectives&lt;/b&gt;: This article aims to explore the role of medical staff in integrating social work (SW) into SAPV._x000D_
&lt;b&gt;Design&lt;/b&gt;: Qualitative case study._x000D_
&lt;b&gt;Methods&lt;/b&gt;: The study utilised theoretical and qualitative quota sampling to explore barriers to integrating SW into SAPV-teams, ensuring diverse perspectives. Sequential analysis was applied to uncover collective interpretations, generating and validating interpretive hypotheses directly from the data._x000D_
&lt;b&gt;Results&lt;/b&gt;: Four physicians and four nurses from the SAPV-team based at Heidelberg University Hospital participated. The medical staff's attributions to SW significantly impact its integration into SAPV. Their perception of the SW profession determines the extent and manner of its integration into daily practices. Attributions on SW in SAPV as determined by nurses and physicians were social-medical knowledge, counselling, being a core competence in SAPV and similarities to the profession of psychologists. In the examined case, the integration was effective, and there was a desire for an increased presence of SW because there is still a lack of their working hours, and the medical staff wished for the social workers' presence during home visits._x000D_
&lt;b&gt;Conclusion&lt;/b&gt;: This study highlights that SAPV requires SW to be effective, nonetheless, not being considered in the new federal contract to allocate resources. Possible barriers against the integration of SW within the real-world clinical practice of palliative care should be further investigated in future studies by involving social workers' and healthcare managers' experiences and strategies to understand why the employment of social workers in SAPV is progressing slowly and inform strategies to enhance their integration.</t>
  </si>
  <si>
    <t>- Rationale Ovulation induction with follicle‐stimulating hormone (FSH) is a second‐line treatment in women with polycystic ovary syndrome (PCOS) who do not ovulate or conceive on clomiphene citrate or letrozole, though induction protocols and types of gonadotropins used vary greatly. Objectives To compare the effectiveness and safety of gonadotropins as a second‐line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urinary‐derived gonadotropins, including urofollitropin in purified FSH (uFSH) or highly purified FSH (HP‐FSH) form, human menopausal gonadotropin (HMG) and highly purified human menopausal gonadotropin (HP‐HMG), or recombinant FSH (rFSH) were eligible. We included trials reporting on ovulation induction followed by intercourse or intrauterine insemination. We excluded studies that described co‐treatment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meta‐analysis was possible, we combined data using a fixed‐effect model to calculate the risk ratio (RR) or mean difference. We summarised the overall certainty of evidence for the main outcomes using GRADE criteria. Included studies We included 15 studies with 2348 women. Ten trials compared rFSH with urinary‐derived gonadotropins (one compared rFSH with human menopausal gonadotropin (HMG), and nine compared rFSH with urinary FSH). Three trials compared HMG with purified FSH (uFSH). One trial compared HP‐FSH with purified FSH (uFSH) and one trial compared gonadotropins with continued clomiphene citrate. Synthesis of results Recombinant FSH (rFSH) versus urinary‐derived gonadotropins There may be little or no difference in the birth rate between rFSH and urinary‐derived gonadotropins (RR 1.21, 95% confidence interval (CI) 0.83 to 1.78; 5 RCTs, 505 participants; low‐certainty evidence). This suggests that if the observed average live birth per woman who used urinary‐derived gonadotropins is 16%, the chance of live birth with rFSH is between 13% and 28%. There may be little or no difference between groups in multiple pregnancy (RR 0.86, 95% CI 0.46 to 1.61; 8 RCTs, 1368 participants; low‐certainty evidence), clinical pregnancy rate (RR 1.05, 95% CI 0.88 to 1.27; 8 RCTs, 1330 participants; low‐certainty evidence), or miscarriage rate (RR 1.20, 95% CI 0.71 to 2.04; 7 RCTs, 970 participants; low‐certainty evidence). We are uncertain whether rFSH reduces ectopic pregnancy (RR 2.81, 95% CI 0.12 to 67.90; 1 RCT, 151 participants; very‐low certainty evidence) or the incidence of OHSS (RR 1.48, 95% CI 0.82 to 2.65; 10 RCTs, 1565 participants; very low‐certainty evidence) when compared to urinary‐derived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low‐certainty evidence). Gonadotropins probably result in more clinical pregnancies than continued clomiphene citrate (RR 1.31, 95% CI 1.13 to 1.52; 1 RCT, 661 participants; moderate‐certainty evidence), and may result in more miscarriages (RR 2.23, 95% CI 1.11 to 4.47; 1 RCT, 661 participants; low‐certainty evidence). We are uncertain if there is a difference in ectopic pregnancy between the groups (RR 0.51, 95% CI 0.09 to 2.77; 1 RCT, 661 participants; very low‐certainty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urinary‐derived gonadotropins (derived from urine from menopausal women) and recombinant follicle‐stimulating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follicle‐stimulating hormone. Finally, recombinant follicle‐stimulating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urinary‐derived gonadotropins. Three trials compared human menopausal gonadotropin with purified urinary follicle‐stimulating hormone and one trial compared gonadotropins with continued clomiphene citrate. Main results There may be little or no difference in live birth, multiple pregnancy, clinical pregnancy, or miscarriage rate between purified urinary‐derived gonadotropins and recombinant follicle‐stimulating hormone. We are uncertain whether human menopausal gonadotropin improves pregnancy outcomes in women with PCOS compared to urinary follicle‐stimulating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</si>
  <si>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J6285</t>
  </si>
  <si>
    <t>The cost-effectiveness of an online intervention to prevent dementia: Results from the Maintain Your Brain (MYB) randomised controlled trial</t>
  </si>
  <si>
    <t>&lt;b&gt;BACKGROUND&lt;/b&gt;: The Maintain Your Brain (MYB) randomised controlled trial (RCT) examined the effect of a multi-domain internet-based dementia prevention program against a control group (information only)._x000D_
&lt;b&gt;OBJECTIVES&lt;/b&gt;: A cost-effective analysis (CEA) quantified the differences in costs (direct healthcare and program costs) and effectiveness outcomes between the intervention and control groups from a healthcare sector perspective._x000D_
&lt;b&gt;DESIGN&lt;/b&gt;: An economic evaluation was conducted alongside the MYB RCT over three years._x000D_
&lt;b&gt;SETTING&lt;/b&gt;: Australians aged 55-77 years with at least 2 identified remediable risk factors for cognitive decline/dementia recruited from communities in New South Wales._x000D_
&lt;b&gt;PARTICIPANTS&lt;/b&gt;: There were 3,025 participants in the intervention group and 3,033 in the control group with available linked healthcare data via the Sax Institute's 45 and Up Study out of the 6104 enrolled in the trial (99.2% of total cohort)._x000D_
&lt;b&gt;INTERVENTION&lt;/b&gt;: The MYB trial comprised a personalised schedule of online coaching in physical activity, nutrition, cognitive activity, and depression or anxiety management._x000D_
&lt;b&gt;MEASUREMENTS&lt;/b&gt;: The two effectiveness outcomes were global cognition composite (GCC) scores and the Australian National University-Alzheimer's Disease Risk Index -short form (ANU-ADRI-SF) questionnaire scores. Costs included MYB program costs and the direct healthcare costs incurred by the MYB participants. All costs were reported in Australian dollars (AUD$) during the trial period. The time horizon of this analysis was 3 years after randomisation (2018-2021). Incremental cost-effectiveness ratio (ICERs) between the intervention and the control groups were calculated by comparing the average difference in costs to a mean difference in z score for GCC and ANU-ADRI-SF score using the bootstrapped means and 95% Confidence Intervals._x000D_
&lt;b&gt;RESULTS&lt;/b&gt;: The total unadjusted program and healthcare costs over three years were similar between groups (AUD$16,521 per person in the control group and AUD$16,473 in the intervention group). After adjusting for baseline characteristics, the average difference between groups in total cost per person at three years was not statistically different: AUD$467 favouring the control group (95%CI: -$552 - $1585). This was compared to a significant mean difference (improvement) in GCC z score at three years of 0.18 (95%CI: 0.13, 0.23) and -0.57 (95%CI: -0.95, -0.24) point difference in ANU-ADRI-SF for the intervention versus control. The base case ICERs were AUD$2,568 per 1 standard deviation in z score and $823 per reduction of 1 ANU-ADRI-SF point. With 1000 bootstrapped replications, the scatterplots of ICER ellipses suggest that the MYB intervention was more effective than the control group and with no significant difference in overall healthcare costs._x000D_
&lt;b&gt;CONCLUSION&lt;/b&gt;: The MYB trial showed cost-effectiveness for preventing cognitive decline and reducing dementia risk. Longer-term follow-up and dissemination to other cohorts is needed to confirm the impact on preventing future cases of dementia and relevance to other socio-economic and cultural/ethnic groups than those enrolled in the original trial.</t>
  </si>
  <si>
    <t>J6286</t>
  </si>
  <si>
    <t>J6287</t>
  </si>
  <si>
    <t>Alendronate for the primary and secondary prevention of osteoporotic fractures in postmenopausal women</t>
  </si>
  <si>
    <t>- Rationale Osteoporosis is an abnormal reduction in bone mass and bone deterioration, leading to increased fracture risk. Alendronate belongs to the bisphosphonate class of drugs, which inhibit bone resorption by interfering with the activity of osteoclasts (bone cells that break down bone tissue). This is an update of a Cochrane review first published in 2008. Objectives To assess the benefits and harms of alendronate in the primary and secondary prevention of osteoporotic fractures in postmenopausal women at lower and higher risk of fracture, respectively. Search methods We searched Evidence‐Based Medicine Reviews (which includes CENTRAL), MEDLINE, Embase, two trial registers, drug approval agency websites, and the bibliographies of relevant systematic reviews to identify the studies included in this review. The latest search date was 01 February 2023. We imposed no restrictions on language, date, form of publication, or reported outcomes. Eligibility criteria We included only randomized controlled trials that assessed the effects of alendronate on postmenopausal women. Targeted participants must have received at least one year of alendronate. We classified a study as secondary prevention if its population met one or more of the following hierarchical criteria: a diagnosis of osteoporosis, a history of vertebral fractures, a low bone mineral density T‐score (‐2.5 or lower), and 75 years old or older. If a study population met none of those criteria, we classified it as a primary prevention study. Outcomes Our major outcomes were clinical vertebral, non‐vertebral, hip, and wrist fractures, withdrawals due to adverse events, and serious adverse events. Risk of bias We used the Cochrane risk of bias 1 tool. Synthesis methods We used standard methodological procedures expected by Cochrane. Based on the previous review experience, in which the clinical and methodological characteristics in the primary and secondary prevention studies were homogeneous, we used a fixed‐effect model for meta‐analysis and estimated effects using the risk ratio (RR) for dichotomous outcomes. Our base case analyses included all eligible placebo‐controlled studies with usable data. We selected the data available for the longest treatment period. We consider a relative change exceeding 15% as clinically important. Included studies We included 119 studies, of which 102 studies provided data for quantitative synthesis. Of these, we classified 34 studies (15,188 participants) as primary prevention and 68 studies (29,577 participants) as secondary prevention. We had concerns about risks of bias in most studies. Selection bias was the most frequently overlooked domain, with only 20 studies (19%) describing appropriate methods for both sequence generation and allocation concealment. Eight studies (8%) were at low risk of bias in all seven domains. Synthesis of results The base case analyses included 16 primary prevention studies (one to five years in length; 10,057 women) and 20 secondary prevention studies (one to three years in length; 7375 women) which compared alendronate 10 mg/day (or 70 mg/week) to placebo, no treatment, or both. Indirectness, imprecision, and risk of bias emerged as the main factors contributing to the downgrading of the certainty of the evidence. For primary prevention, alendronate may lead to a clinically important reduction in clinical vertebral fractures (16/1190 in the alendronate group versus 24/926 in the placebo group; RR 0.45, 95% confidence interval [CI] 0.25 to 0.84; absolute risk reduction [ARR] 1.4% fewer, 95% CI 1.9% fewer to 0.4% fewer; low‐certainty evidence) and non‐vertebral fractures (RR 0.83, 95% CI 0.72 to 0.97; ARR 1.6% fewer, 95% CI 2.6% fewer to 0.3% fewer; low‐certainty evidence). However, clinically important differences were not observed for the following outcomes: hip fractures (RR 0.76, 95% CI 0.43 to 1.32; ARR 0.2% fewer, 95% CI 0.4% fewer to 0.2% more; low‐certainty evidence); wrist fractures (RR 1.12, 95% CI 0.84 to 1.49; ARR 0.3% more, 95% CI 0.4% fewer to 1.1 more; low‐certainty evidence); withdrawals due to adverse events (RR 1.03, 95% CI 0.89 to 1.18; ARR 0.2% more, 95% CI 0.9% fewer to 1.5% more; low‐certainty evidence); and serious adverse events (RR 1.08, 95% CI 0.82 to 1.43; ARR 0.5% more, 95% CI 1.2% fewer to 2.8% more; low‐certainty evidence). For secondary prevention, alendronate probably results in a clinically important reduction in clinical vertebral fractures (24/1114 in the alendronate group versus 51/1055 in the placebo group; RR 0.45, 95% CI 0.28 to 0.73; ARR 2.7% fewer, 95% CI 3.5% fewer to 1.3% fewer; moderate‐certainty evidence). It may lead to a clinically important reduction in non‐vertebral fractures (RR 0.80, 95% CI 0.64 to 0.99; ARR 2.8% fewer, 95% CI 5.1% fewer to 0.1% fewer; low‐certainty evidence); hip fractures (RR 0.49, 95% CI 0.25 to 0.96; ARR 1.0% fewer, 95% CI 1.5% fewer to 0.1% fewer; low‐certainty evidence); wrist fractures (RR 0.54, 95% CI 0.33 to 0.90; ARR 1.8% fewer, 95% CI 2.6% fewer to 0.4% fewer; low‐certainty evidence); and serious adverse events (RR 0.75, 95% CI 0.59 to 0.96; ARR 3.5% fewer, 95% CI 5.8% fewer to 0.6% fewer; low‐certainty evidence). However, the effects of alendronate for withdrawals due to adverse events are uncertain (RR 0.95, 95% CI 0.78 to 1.16; ARR 0.4% fewer, 95% CI 1.7% fewer to 1.3% more; very low‐certainty evidence). Furthermore, the updated evidence for the safety risks of alendronate suggests that, irrespective of participants' risk of fracture, alendronate may lead to little or no difference for gastrointestinal adverse events. Zero incidents of osteonecrosis of the jaw and atypical femoral fracture were observed. Authors' conclusions For primary prevention, compared to placebo, alendronate 10 mg/day may reduce clinical vertebral and non‐vertebral fractures, but it might make little or no difference to hip and wrist fractures, withdrawals due to adverse events, and serious adverse events. For secondary prevention, alendronate probably reduces clinical vertebral fractures, and may reduce non‐vertebral, hip, and wrist fractures, and serious adverse events, compared to placebo. The evidence is very uncertain about the effect of alendronate on withdrawals due to adverse events. Funding This Cochrane review had no dedicated funding. Registration This review is an update of the previous review (DOI: 10.1002/14651858.CD001155). Plain language summary Does alendronate help prevent fractures caused by osteoporosis in postmenopausal women? Key messages • Alendronate used for up to five years may prevent spinal fractures in women who are at lower risk for fractures, or in those who have not yet had a fracture of the spine. • Alendronate used for up to three years in women diagnosed with osteoporosis, with low bone density, or who have already had a fracture of the spine, probably prevents fractures of the spine. What is osteoporosis? Osteoporosis is a disease which makes bones weak and fragile. Bone is living tissue that is constantly being broken down and replaced. In osteoporosis, old bone breaks down faster than new bone can replace it. As this happens, the bones lose minerals (such as calcium). This makes bones more likely to break even after a minor injury, such as a bump or fall. Women are more likely to get osteoporosis after menopause. What is alendronate? Alendronate is a bisphosphonate, a type of medicine which slows down the cells that break down the old bone. What did we want to find out? We aimed to find out if alendronate is better than placebo (an inactive or 'dummy' medicine) or other medicines in preventing or reducing fractures in postmenopausal women. What did we do? We searched for studies that compared alendronate with placebo or other anti‐osteoporotic medicines for osteoporosis in postmenopausal women. We compared and summarized the results of the studies and rated our confidence in the evidence, based on factors such as study methods and sizes. What did we find? We found 119 eligible studies. Of these, 102 studies provided usable data, and 40 studies compared alen ronate to placebo (dummy pill). Key findings In women who are at a lower risk for fractures because they have bone density closer to normal, or they may not yet have a fracture in the bones of their spine, alendronate used for up to five years: may prevent clinical spinal fractures – that is, fractures indicated by clinical signs and symptoms, without radiographic evidence; may prevent fractures in bones other than the spine. However, specifically in hip and wrist fractures, alendronate may make no difference; may make no difference to the number of women who withdrew from the study due to adverse events – that is, unwanted, harmful events; may make no difference to the number of women experiencing serious adverse events. In women who are at a higher risk for fractures because they have already been diagnosed with osteoporosis, have low bone density, or have already had a spinal fracture, alendronate used for up to three years: probably prevents clinical spinal fractures; may prevent fractures in bones other than the spine; may prevent hip and wrist fractures; may reduce serious adverse events; We do not know if alendronate reduces withdrawals due to adverse events in this group of women. The best estimates for women at lower fracture risk taking alendronate or placebo are as follows. For clinical spinal fractures, evidence suggests that if 3 out of 100 women taking placebo experience a fracture, only 1 out of 100 women taking alendronate will. If 10 out of 100 women on placebo have a fracture in bones other than the spine, only 8 out of 100 on alendronate are likely to. For hip and wrist fractures, there may be no difference between the two groups in the number of women experiencing fractures. The best estimates for women at higher fracture risk taking alendronate or placebo are as follows. If 5 out of 100 women on placebo have a clinical spinal fracture, only 2 out of 100 women on alendronate are likely to. If 14 out of 100 women on placebo have a fracture in bones other than the spine, only 11 out of 100 on alendronate are likely to. If 2 out of 100 women on placebo have a hip fracture, only 1 out of 100 on alendronate are likely to. If 4 out of 100 women on placebo have a wrist fracture, only 2 out of 100 on alendronate are likely to. What are the limitations of the evidence? For most findings, our confidence in the evidence was low, because it is possible that the women in the studies, and the researchers assessing outcomes, were aware of which treatment the women received. Additionally, some of the evidence focused on specific alendronate doses, whereas the question we wanted to answer was broader. Finally, for some fracture outcomes, the evidence was based on few cases. How current is the evidence? The evidence is current to 1 February 2023. This is an update of a Cochrane review originally published in 2008.</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</si>
  <si>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platelet‐rich plasma injections (two trials), oral acetaminophen (paracetamol) (one trial), non‐steroidal anti‐inflammatory drugs plus physical therapy plus hyaluronic acid injection (one trial) and stem cell injection plus intra‐articular co‐intervention versus co‐intervention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follow‐up. At the end of follow‐up,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 Compared with placebo injection, stem cell injection for people with knee osteoarthritis may slightly improve pain and function. •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intra‐articular glucocorticoid injection (1 study, 33 participants), hyaluronic acid injection (7 studies, 429 participants), platelet‐rich plasma injection (2 studies, 142 participants), oral acetaminophen (paracetamol; 1 study, 51 participants), NSAIDs (non‐steroidal anti‐inflammatory drugs) plus physical therapy plus hyaluronic acid injection (1 study, 57 participants) and stem cell injection plus intra‐articular co‐intervention versus co‐intervention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 People who had stem cell injection rated their pain as 3.3 points. • People who had placebo injection rated their pain as 4.5 points. Function measured on a 0 to 100 scale (0 is best function) at six months was 14.2 points better with stem cell injection. • People who had stem cell injection rated their function as 32.1 points. • People who had placebo injection rated their function as 46.3 points. Quality of life measured on a 0 to 100 scale (0 is best function) at six months was 22.8 points better with stem cell injection. • People who had stem cell injection rated their quality of life as 68.1 points. • People who had placebo injection rated their quality of life as 45.3 points. After stem cell injection, 153 more people per 1000 rated their treatment a success at 12 months. • 683 per 1000 reported treatment success with stem cell injection. • 530 per 1000 reported treatment success with placebo injection. After stem cell injection, seven fewer people per 1000 had serious adverse events at 12 months. • 16 per 1000 people experienced a serious adverse event with stem cell injection. •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up‐to‐date is this evidence? The evidence is up‐to‐date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</si>
  <si>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 Author(s) (or their employer(s)) 2025.</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</si>
  <si>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cluster‐randomised trials, or controlled non‐randomised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Non‐randomized Studies of Interventions (ROBINS‐I) tool. Synthesis methods We synthesised results for each outcome within each comparison using meta‐analysis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 to two‐unit RBCs versus no transfusion Among women with moderate blood loss, low‐certainty evidence from one NRSI found that transfusing 1 to 2 units of RBCs to treat PPH may increase severe maternal morbidity – composite excluding intensive care unit (ICU) admission (risk ratio (RR) 7.00, 95% confidence interval (CI) 2.75 to 17.80; 2130 women) and severe maternal morbidity –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low‐certainty evidence). Fibrinogen concentrate probably results in little to no difference in severe maternal morbidity – ICU admission (RR 1.09,0 95% CI 0.80 to 1.49; 2 studies, 485 women; moderate‐certainty evidence). The evidence is very uncertain about the effect of fibrinogen concentrate on severe maternal morbidity – arterial embolisation (1 study, 430 women; very low‐certainty evidence). One RCT (430 women) and one NRSI (730 women) reported severe maternal morbidity – hysterectomy , each of which reported different directions of effect with low‐certainty evidence. Fibrinogen concentrate may result in little to no difference in adverse effect – thromboembolic events (RR 0.19, 95% CI 0.01 to 3.95; 2 studies, 674 women; l w‐certainty evidence). The evidence is very uncertain about the effects of fibrinogen concentrate on additional adverse effects, such as shivering or fever (1 study, 244 women; very low‐certainty evidence). Cryoprecipitate versus no cryoprecipitate The evidence is very uncertain about the effect of cryoprecipitate on maternal death . One RCT (0 deaths; 180 women; very low‐certainty evidence) and one NRSI (0 deaths; 157 women; very low‐certainty evidence) reported this outcomes. The evidence is also very uncertain about the effects of cryoprecipitate on severe maternal morbidity – ICU admission , severe maternal morbidity – any organ failure , severe maternal morbidity – laparotomy , or severe maternal morbidity – uterine artery embolisation (1 study, 180 women; very low‐certainty evidence). One RCT (180 women; very low‐certainty evidence) and one NRSI (157 women; very low‐certainty evidence) reported severe maternal morbidity – hysterectomy and the evidence is very uncertain. The evidence is also very uncertain about the effects of cryoprecipitate on adverse effects, such as thromboembolic events or transfusion‐related reactions (1 study, 180 women; very low‐certainty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</si>
  <si>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J6291</t>
  </si>
  <si>
    <t>The Comparison of Cost-Effectiveness Between Magnetic Resonance Spectroscopy and Provocative Discography in the Identification of Chronic Low Back Pain Surgery Candidates</t>
  </si>
  <si>
    <t>&lt;b&gt;Background/Context&lt;/b&gt;: Chronic low back pain (CLBP) is a significant US healthcare burden with millions of lumbar spine procedures annually. Diagnostic tests are essential to guide treatment but provocative discography (PD), the most common diagnostic procedure, is without robust evidence of its value. A non-invasive alternative using Magnetic Resonance Spectroscopy (MRS) offers a potential solution._x000D_
&lt;b&gt;Context/Purpose&lt;/b&gt;: We assess cost-effectiveness of MRS with NOCISCAN diagnostic algorithm compared to PD for identifying lumbar discs requiring surgical intervention._x000D_
&lt;b&gt;Study Design/Setting&lt;/b&gt;: We conducted cost-effectiveness analysis using modelling._x000D_
&lt;b&gt;Patient Sample&lt;/b&gt;: We used data from a clinical study of 139 CLBP patients who met criteria for and received PD of lumbar spine and presented with an ODI score &gt;=40; comparing PD and MRS-based diagnostics._x000D_
&lt;b&gt;Outcome Measures&lt;/b&gt;: We considered diagnostic costs, adverse events, surgical costs and outcomes based on a 15-point improvement on the Oswestry Disability Index._x000D_
&lt;b&gt;Methods&lt;/b&gt;: Incremental cost-effectiveness ratios (ICERS) and probabilistic sensitivity analyses were determined. Some authors have consulted for Aclarion._x000D_
&lt;b&gt;Results&lt;/b&gt;: Mean total cost per PD patient was $59,711, and $57,998 for MRS, demonstrating $1712 cost savings per MRS diagnosed patient. Diagnostic costs ($1950 for PD; $1450 for MRS), saved $500 per MRS patient. PD incurred adverse event costs ($57,323) for 1% of patients, which MRS eliminated. MRS-based diagnosis showed 78% surgical success, whereas PD achieved 68%. MRS was the dominant diagnostic strategy, with better clinical outcomes and cost savings. Probabilistic sensitivity analysis confirmed MRS dominance and was cost-effective across a wide range of willingness-to-pay thresholds and across 2 different scenarios which vary base-case outcomes and surgical rates._x000D_
&lt;b&gt;Conclusion&lt;/b&gt;: This study demonstrates cost-effectiveness dominance of MRS with the Nociscan diagnostic algorithm over PD for identifying CLBP surgical candidates. MRS provides significant cost savings and leads to better surgical outcomes, making it a preferred choice for insurers and health systems.</t>
  </si>
  <si>
    <t>J6292</t>
  </si>
  <si>
    <t>Entecavir for children and adults with chronic hepatitis B</t>
  </si>
  <si>
    <t>- Rationale Chronic hepatitis B is a major worldwide public health concern. Entecavir, one nucleos(t)ide analogue antiviral therapy option, is recommended as the first‐line drug for chronic hepatitis B in many clinical guidelines. However, none of the guideline recommendations are based on the findings of a systematic review with meta‐analysis, where entecavir versus no treatment or placebo are compared directly. Objectives To evaluate the benefits and harms of entecavir versus no treatment or placebo in children and adults with chronic hepatitis B, who are either hepatitis B e‐antigen (HBeAg)‐positive or HBeAg‐negative. Search methods We searched the Cochrane Hepato‐Biliary Group Controlled Trials Register, Cochrane Central Register of Controlled Trials, MEDLINE Ovid, Embase Ovid, three other databases, online trial registries, and reference lists, and contacted authors. The latest search was on 19 July 2024. Eligibility criteria We included randomised clinical trials comparing entecavir versus no treatment or placebo in children or adults, or both, with chronic hepatitis B, and irrespective of treatment history with other antiviral drugs and other viral co‐infections. We allowed co‐interventions when administered equally to all intervention groups. Outcomes The outcomes reported in this abstract and in the summary of findings table are all‐cause mortality, health‐related quality of life, and proportion of people with serious adverse events at the longest follow‐up. Risk of bias We used the Cochrane RoB 2 tool to assess risk of bias in the included trials. Synthesis methods We used a random‐effects model to meta‐analyse outcome results, where possible, and presented the results as a risk ratio (RR) with 95% confidence interval (CI). Where there was considerable heterogeneity, we performed a narrative analysis. We used a fixed‐effect model for sensitivity analysis. We used GRADE to evaluate the certainty of evidence. Included studies We included 22 randomised clinical trials (published from 2005 to 2022) with 2940 participants diagnosed with chronic hepatitis B. All trials had a parallel‐group design. The experimental intervention was oral entecavir, with a follow‐up duration of 5 weeks to 228 weeks. The comparator in 12 trials was no treatment, and in 10 trials was placebo. Fourteen trials equally administered co‐interventions to the trial participants in the entecavir and no treatment and placebo groups. One trial included participants between 14 years and 55 years of age, one trial included only children, 19 trials included only adults, and one trial did not provide the age of participants. Synthesis of results Twenty trials contributed data to the quantitative analysis. Ten trials (1379 participants) reported all‐cause mortality with a mean follow‐up duration of 48.9 weeks (range 5 to 100 weeks). The result was not estimable because no deaths occurred in any of the entecavir and no treatment or placebo groups. None of the trials provided data on health‐related quality of life. We are very uncertain about the effect of entecavir versus no treatment or placebo on the proportion of people with serious adverse events (RR 0.66, 95% CI 0.33 to 1.32; absolute risk difference 22 fewer per 1000 (from 44 fewer to 21 more); 15 trials, 1676 participants; very low‐certainty evidence). The mean follow‐up duration was 58.4 weeks (range 5 weeks to 228 weeks). We downgraded the certainty of evidence for these outcomes to very low, mainly because the overall risk of bias in most trials was with some concerns or high, and serious imprecision (no events or few events). Authors' conclusions Given the issues of risk of bias and insufficient power of the included trials and the very low certainty of the available evidence, we could not determine the effect of entecavir versus no treatment or placebo on critical outcomes such as all‐cause mortality and serious adverse events. There is a lack of data on health‐related quality of life. Given the first‐line recommendation and wi e usage of entecavir in people with chronic hepatitis B, further evidence on clinically important outcomes, analysed in this review, is needed. Funding This Cochrane review had no dedicated funding. Registration Registration: Entecavir for children and adults with chronic hepatitis B, CD015536 via DOI 10.1002/14651858.CD015536. Plain language summary Is entecavir better than no treatment or placebo for treating people with chronic hepatitis B? Key messages We could not estimate the effects of entecavir (a medicine used to treat infections caused by viruses) on death due to any cause in people with chronic hepatitis B (a common liver disease) as there were no deaths. No studies looked at health‐related quality of life (a measure of a person's satisfaction with their life and health). We do not know whether entecavir is better than no treatment or placebo (a pretend treatment) regarding the proportion of people with serious harmful effects. We found 10 ongoing studies that may provide further evidence for the benefits and harms of entecavir for people with chronic hepatitis B in updates of this review. What is chronic hepatitis B? Chronic hepatitis B is a common liver disease and is frequently spread through unprotected sex (without using barrier methods such as condoms), or transmission from the mother to the child during pregnancy, labour, and birth, or while breastfeeding. There were 296 million people infected with chronic hepatitis B in 2019. It is estimated that every year, about 1.5 million people will become infected with hepatitis B. Chronic hepatitis B caused more than 800,000 deaths in 2019 and is also associated with the incidence of cirrhosis (severe scarring of the liver) and hepatocellular carcinoma (liver cancer). How is chronic hepatitis B treated? Antiviral medicines (which are used to treat infections caused by viruses) are widely accepted therapies for chronic hepatitis B. These include interferon‐alpha therapy (medications that mimic a protein naturally produced by the body to combat viral infections) and nucleos(t)ide analogue therapy (medications that mimic the building blocks of viral genetic material to prevent the virus from replicating). Entecavir is a nucleos(t)ide analogue antiviral medicine and has comparable benefits and harms to other antiviral medicines, but it has a lower cost and it is not easy to develop resistance (where viruses no longer respond to antiviral medicines). Therefore, entecavir has been used as the preferred medicine in treating people with chronic hepatitis B. What did we want to find out? We wanted to find out if entecavir is useful and safe for children and adults with chronic hepatitis B compared with no treatment or placebo (a pretend treatment). What did we do? We searched for studies in which people with confirmed chronic hepatitis B were randomly allocated to one of two treatment groups. People in the studies received either entecavir or no treatment or placebo. We allowed other treatments, such as standard medical therapies and other supportive measures, if these were equally administered to the people in all study groups (which means that treatments administered to all study groups can be ignored). We compared and summarised the results of the studies and rated our confidence in the evidence, based on factors such as study methods and sizes. What did we find? We found 22 studies involving 2940 people with chronic hepatitis B. No studies looked at the impact of using entecavir on health‐related quality of life (a measure of a person's satisfaction with their life and health) in people with chronic hepatitis B. The effect of entecavir on the risk of death due to any cause could not be estimated as there were no deaths in any of the available studies. There was insufficient evidence to determine whether entecavir was better or worse than no treatment or placebo regarding the proportion of people with serious harmful effects. What are the limitations of the evidence? The included studies did not provide data on health‐related quality of life. We could not est mate the effect of entecavir on death in people with chronic hepatitis B. Some studies were very small, and some studies used methods likely to introduce errors in their results. For example, it is possible that people in the studies were aware of which treatment they were receiving and the knowledge of the treatment may have influenced how they reported the effects. Therefore, we have very low confidence in our findings and the results of further studies may change the results of this review. How up to date is this evidence? The evidence is up to date to 19 July 2024.</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</si>
  <si>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 Author(s) (or their employer(s)) 2025. Re-use permitted under CC BY. Published by BMJ Group.</t>
  </si>
  <si>
    <t>J6294</t>
  </si>
  <si>
    <t>Evolution and effectiveness of bilateral and multilateral development assistance for health: a mixed-methods review of trends and strategic shifts (1990-2022)</t>
  </si>
  <si>
    <t>Background Development assistance for health (DAH) plays a vital role in supporting health programmes in low- and middle-income countries. While DAH has historically focused on infectious diseases and maternal and child health, there is a lack of comprehensive analysis of DAH trends, strategic shifts and their impact on health systems and outcomes. This study aims to provide a comprehensive review of DAH from 1990 to 2022, examining its evolution and funding allocation shifts. Methods We conducted a mixed-methods review, adhering to the Preferred Reporting Items for Systematic Reviews and Meta-Analyses guidelines. A systematic literature search was performed across PubMed, Embase, Web of Science and the Cochrane databases, yielding 102 eligible studies. Quantitative data were obtained from the Institute for Health Metrics and Evaluation database, covering DAH data from 1990 to 2022. Qualitative data were analysed through thematic synthesis based on the WHO's six health system building blocks. Results The DAH has predominantly focused on HIV/AIDS and maternal and child health. Despite the increasing global burden of non-communicable diseases (NCDs), the proportion of DAH allocated to NCDs remained low, increasing only from 1% in 1990 to 2% in 2022. Similarly, the overall funding for health system strengthening decreased from 19% in 1990 to 7% in 2022. Major contributors to DAH included the USA, the UK and the Bill &amp; Melinda Gates Foundation. While associations between DAH and improvements in certain health outcomes were observed, establishing causality is challenging due to multiple influencing factors. The COVID-19 pandemic underscored the importance of robust health systems. However, DAH allocation did not show any substantial shift towards health system strengthening during this period. Economic evaluations calculated the median incremental cost-effectiveness ratio of DAH interventions, Conclusions This study reviews DAH trends from 1990 to 2022, showing a predominant focus on HIV/AIDS and maternal and child health, with insufficient attention to NCDs and health system strengthening. Despite the increasing burden of NCDs and the impact of COVID-19, DAH priorities have not significantly shifted, highlighting the need for ongoing evaluation and strategic adjustments. To enhance DAH effectiveness, it is crucial to adopt a more balanced approach and also align interventions with needs from recipient countries and implement evidence-based strategies with continuous monitoring and evaluation. Copyright © Author(s) (or their employer(s)) 2025. Re-use permitted under CC BY-NC. No commercial re-use. See rights and permissions. Published by BMJ Group.</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</si>
  <si>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 2025. The Author(s).</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</si>
  <si>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 2025</t>
  </si>
  <si>
    <t>J6298</t>
  </si>
  <si>
    <t>Impact of measles vaccination strategies on vaccination rates in low-income and middle-income countries: a systematic review and meta-analysis</t>
  </si>
  <si>
    <t>&lt;b&gt;INTRODUCTION&lt;/b&gt;: While many interventions aim to raise measles vaccination coverage in low-income and middle-income countries (LMICs), their overall effectiveness and cost-effectiveness are unknown. We did a review to identify and synthesise scientific research that evaluated the impact and cost-effectiveness of measles vaccination strategies on measles vaccination coverage, timeliness, hospitalisation rates, and mortality._x000D_
&lt;b&gt;METHODS&lt;/b&gt;: In this review, we searched for English-language articles published between 2012 and July 2023 in eight databases, including PubMed, ProQuest, MEDLINE (Ovid), Embase (Ovid), CINAHL, Scopus, Web of Science and the Cochrane Database of Systematic Reviews. We also included relevant grey literature sources. The review focused on studies evaluating the impact of vaccination strategies on vaccination-related outcomes in children under 5. Following Preferred Reporting Items for Systematic Reviews and Meta-Analyses guidelines throughout the process, we used Covidence software to manage most review activities. Two independent reviewers screened articles, assessed their quality using the Joanna Briggs Institute guidelines and extracted data using a predefined electronic tool. We predetermined measles vaccination coverage and timeliness as the primary outcomes, with hospitalisation and mortality as secondary outcomes. A random-effects model was employed for the meta-analysis._x000D_
&lt;b&gt;RESULTS&lt;/b&gt;: We identified 44 articles, of which 14 were included in the meta-analysis. The meta-analysis indicated that vaccination-targeting interventions such as vaccination reminders, cash incentives, community engagement and health education activities increase measles vaccination coverage (RR 1.19, 95% CI 1.10 to 1.27). Our analysis also indicated that interventions such as vaccine reminders, educational programmes and incentives improved timely vaccination. Furthermore, we identified cost-effective strategies such as geographically informed microplanning, unrestricted vial opening, supplementary immunisation activities, community engagement, outreach programmes and financial incentives._x000D_
&lt;b&gt;CONCLUSION&lt;/b&gt;: Most of the identified vaccination interventions significantly improve measles vaccination coverage and timeliness in LMICs while remaining cost-effective. Tailoring these interventions to local contexts is crucial for maximising their effectiveness in protecting children from measles and its adverse consequences._x000D_
&lt;b&gt;PROSPERO REGISTRATION NUMBER&lt;/b&gt;: CRD42023433125.</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</si>
  <si>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 2025 Fundacion Clinica Medica Sur, A.C.</t>
  </si>
  <si>
    <t>J1786</t>
  </si>
  <si>
    <t>Pharmacological interventions for antisocial personality disorder</t>
  </si>
  <si>
    <t>- Background Antisocial personality disorder (AsPD) is associated with rule‐breaking, criminality, substance use, unemployment, relationship difficulties, and premature death. Certain types of medication (drugs) may help people with AsPD. This review updates a previous Cochrane review, published in 2010. Objectives To assess the benefits and adverse effects of pharmacological interventions for adults with AsPD. Search methods We searched CENTRAL, MEDLINE, Embase, 13 other databases and two trials registers up to 5 September 2019. We also checked reference lists and contacted study authors to identify studies. Selection criteria Randomised controlled trials in which adults (age 18 years and over) with a diagnosis of AsPD or dissocial personality disorder were allocated to a pharmacological intervention or placebo control condition. Data collection and analysis Four authors independently selected studies and extracted data. We assessed risk of bias and created 'Summary of findings tables' and assessed the certainty of the evidence using the GRADE framework. The primary outcomes were: aggression; reconviction; global state/global functioning; social functioning; and adverse events. Main results We included 11 studies (three new to this update), involving 416 participants with AsPD. Most studies (10/11) were conducted in North America. Seven studies were conducted exclusively in an outpatient setting, one in an inpatient setting, and one in prison; two studies used multiple settings. The average age of participants ranged from 28.6 years to 45.1 years (overall mean age 39.6 years). Participants were predominantly (90%) male. Study duration ranged from 6 to 24 weeks, with no follow‐up period. Data were available from only four studies involving 274 participants with AsPD. All the available data came from unreplicated, single reports, and did not allow independent statistical analysis to be conducted. Many review findings were limited to descriptive summaries based on analyses carried out and reported by the trial investigators. No study set out to recruit participants on the basis of having AsPD; many participants presented primarily with substance abuse problems. The studies reported on four primary outcomes and six secondary outcomes. Primary outcomes were aggression (six studies) global/state functioning (three studies), social functioning (one study), and adverse events (seven studies). Secondary outcomes were leaving the study early (eight studies), substance misuse (five studies), employment status (one study), impulsivity (one study), anger (three studies), and mental state (three studies). No study reported data on the primary outcome of reconviction or the secondary outcomes of quality of life, engagement with services, satisfaction with treatment, housing/accommodation status, economic outcomes or prison/service outcomes. Eleven different drugs were compared with placebo, but data for AsPD participants were only available for five comparisons. Three classes of drug were represented: antiepileptic; antidepressant; and dopamine agonist (anti‐Parkinsonian) drugs. We considered selection bias to be unclear in 8/11 studies, attrition bias to be high in 7/11 studies, and performance bias to be low in 7/11 studies. Using GRADE, we rated the certainty of evidence for each outcome in this review as very low, meaning that we have very little confidence in the effect estimates reported. Phenytoin (antiepileptic) versus placebo One study (60 participants) reported very low‐certainty evidence that phenytoin (300 mg/day), compared to placebo, may reduce the mean frequency of aggressive acts per week (phenytoin mean = 0.33, no standard deviation (SD) reported; placebo mean = 0.51, no SD reported) in male prisoners with aggression (skewed data) at endpoint (six weeks). The same study (60 participants) reported no evidence of difference between phenytoin and placebo in the number of participants reporting the adverse event of nausea during week one (odds ratio (OR) 1.00, 95% confidence interval (CI) 0.06 to 16.76; very low‐certainty evidence). The study authors also reported that no important side effects were detectable via blood cell counts or liver enzyme tests (very low‐certainty evidence). The study did not measure reconviction, global/state functioning or social functioning. Desipramine (antidepressant) versus placebo One study (29 participants) reported no evidence of a difference between desipramine (250 to 300 mg/day) and placebo on mean social functioning scores (desipramine = 0.19; placebo = 0.21), assessed with the family‐social domain of the Addiction Severity Index (scores range from zero to one, with higher values indicating worse social functioning), at endpoint (12 weeks) (very low‐certainty evidence). Neither of the studies included in this comparison measured the other primary outcomes: aggression; reconviction; global/state functioning; or adverse events. Nortriptyline (antidepressant) versus placebo One study (20 participants) reported no evidence of a difference between nortriptyline (25 to 75 mg/day) and placebo on mean global state/functioning scores (nortriptyline = 0.3; placebo = 0.7), assessed with the Symptom Check List‐90 (SCL‐90) Global Severity Index (GSI; mean of subscale scores, ranging from zero to four, with higher scores indicating greater severity of symptoms), at endpoint (six months) in men with alcohol dependency (very low‐certainty evidence). The study measured side effects but did not report data on adverse events for the AsPD subgroup. The study did not measure aggression, reconviction or social functioning. Bromocriptine (dopamine agonist) versus placebo One study (18 participants) reported no evidence of difference between bromocriptine (15 mg/day) and placebo on mean global state/functioning scores (bromocriptine = 0.4; placebo = 0.7), measured with the GSI of the SCL‐90 at endpoint (six months) (very low‐certainty evidence). The study did not provide data on adverse effects, but reported that 12 patients randomised to the bromocriptine group experienced severe side effects, five of whom dropped out of the study in the first two days due to nausea and severe flu‐like symptoms (very low‐certainty evidence). The study did not measure aggression, reconviction and social functioning. Amantadine (dopamine agonist) versus placebo The study in this comparison did not measure any of the primary outcomes. Authors' conclusions The evidence summarised in this review is insufficient to draw any conclusion about the use of pharmacological interventions in the treatment of antisocial personality disorder. The evidence comes from single, unreplicated studies of mostly older medications. The studies also have methodological issues that severely limit the confidence we can draw from their results. Future studies should recruit participants on the basis of having AsPD, and use relevant outcome measures, including reconviction. Plain language summary The use of medication to treat people with antisocial personality disorder Background People with antisocial personality disorder (AsPD) may behave in a way that is harmful to themselves or others, and is against the law. They can be dishonest and act aggressively without thinking. Many misuse drugs and alcohol. Certain types of medication (drugs) may help people with AsPD. This review updates one published in 2010. Review question What are the beneficial and harmful effects of medication on aggression, reconviction (reoffending), and people's ability to function in society? Study characteristics We searched for relevant studies up to 5 September 2019 and found 11 randomised controlled trials (RCT); a type of study in which people were allocated at random (by chance alone) to have either a medication (drug) or a placebo (dummy tablet). The studies included 416 AsPD participants, mostly male (90%), with an average age of 39.6 years. Most studies (10/11) were carried out in North America in outpatient clinics (seven studies). Two studies were conducted in mixed settings and one apiece in an inpatient hospital or prison. Studies las ed between six and 24 weeks, and had no follow‐up period. Data were only available from four of the 11 included studies for 274 participants with AsPD. Some studies reported on important outcomes in AsPD: aggression (six studies), global state/functioning (three studies), social functioning (one study) and adverse effects (seven studies). Some reported on other outcomes: leaving the study early (eight studies), substance misuse (five studies), employment status (one study), impulsivity (one study), anger (three studies), and mental state (three studies). No study reported data on reconviction, quality of life, engagement with services, satisfaction with treatment, housing/accommodation status, economic or prison/service outcomes. No study set out to recruit participants on the basis of having AsPD. Many participants presented primarily with substance abuse problems. The studies used methods that increased the risk of data being biased or untrue (e.g. not reporting all of their outcomes) and that did not allow independent statistics to be calculated for this review. The studies assessed 11 medications but comparison data for AsPD participants were available for only three different types of medication and placebo: antiepileptics (drugs to treat epilepsy); antidepressants (drugs to treat depression); and dopamine agonists (drugs to treat Parkinson's disease). Main results Phenytoin (antiepileptic) versus placebo One study (60 participants) found very low‐certainty evidence that, compared to placebo, phenytoin may reduce the average frequency of aggressive acts per week in aggressive male prisoners with AsPD at six weeks. The number of participants reporting sickness during week one did not differ across groups, and no side effects were detectable by blood tests. We are very uncertain about these findings. Desipramine (antidepressant) versus placebo One study (29 participants) found no evidence of a difference in social functioning scores at 12 weeks, between a drug used to treat depression (desipramine) and placebo. We are very uncertain about these findings. Nortriptyline (antidepressant) versus placebo One study (20 participants) found no evidence of a difference in global state/functioning scores in men with alcohol dependency at six months, between a different antidepressant (nortriptyline) and placebo. We are very uncertain about these findings. Bromocriptine (dopamine agonist) versus placebo One study (18 participants) found no evidence of a difference in global state/functioning scores at six months, between a drug used to treat Parkinson's disease (bromocriptine) and placebo. Twelve participants randomised to the bromocriptine group experienced side effects, five of whom dropped out due to sickness and flu‐like symptoms in the first two days. We are very uncertain about these findings. Amantadine (dopamine agonist) versus placebo None of the included studies assessed the effectiveness of another treatment for Parkinson's disease (amantadine) for any of the primary outcomes. Conclusions The certainty of the evidence is very low, meaning that we are not confident in the findings. There is not enough evidence to determine whether or not medication is a helpful treatment for people with AsPD. Further research is required to clarify which medications, if any, are effective for treating the main features of AsPD. Future studies should recruit participants on the basis of having AsPD, and include reconviction as an outcome measure.</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</si>
  <si>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 2020, The Author(s).</t>
  </si>
  <si>
    <t>The reimbursement of immune checkpoint inhibitors is challenging. Funding these technologies involves the careful balance between awarding innovation and ensuring affordability as increases in drug spending compete directly with other health care and social expenditure. This narrative review examines the recommendations of 2 health technology assessment agencies-the Australian Pharmaceutical Benefits Advisory Committee and the British National Institute of Clinical Excellence-to determine the factors that contribute to the approval and rejection of immune checkpoint inhibitors as well as the use of manage entry schemes and risk management strategies to control expenditure. Reimbursement decisions from 6 immune checkpoint inhibitor drugs (ipilimumab, pembrolizumab, nivolumab, durvalumab, atezolizumab, avelumab) covering 10 different cancers were examined. The extrapolation of survival beyond the clinical trial and lack of head-to-head evidence are some of the main issues relating to cost effectiveness. Payers managed financial risks using different mechanisms such as risk share agreements and financial caps. This review of the reimbursement decisions and subsequent financial impact in Australia and the UK suggests budgets for immune checkpoint inhibitor therapy have been well managed so far. Through risk agreements and managed entry programmes, the example of immune checkpoint inhibitor therapies illustrates that industry and payers can effectively collaborate to ensure that innovative, but expensive, drugs can be made readily available to patients. Copyright © 2020 The British Pharmacological Society</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</si>
  <si>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 2020, The Author(s).</t>
  </si>
  <si>
    <t>J1790</t>
  </si>
  <si>
    <t>Systemic interventions for severe atopic and vernal keratoconjunctivitis in children and young people up to the age of 16 years</t>
  </si>
  <si>
    <t>- Background Atopic keratoconjunctivitis (AKC) and vernal keratoconjunctivitis (VKC) are severe and potentially sight‐threatening allergic eye diseases characterised by chronic inflammation of the ocular surface. Both topical and systemic treatments are used. This Cochrane Review focuses on systemic treatments. Objectives To assess the effects of systemic treatments (including corticosteroids, NSAIDS, immunomodulators, and monoclonal antibodies), alone or in combination, compared to placebo or other systemic or topical treatment, for severe AKC and VKC in children and young people up to the age of 16 years. Search methods We searched CENTRAL, Ovid MEDLINE, Ovid Embase, the ISRCTN registry, ClinicalTrials.gov and the World Health Organization (WHO) International Clinical Trials Registry Platform (ICTRP). There were no restrictions to language or year of publication. We last searched the electronic databases on 17 February 2020. Selection criteria We searched for randomised controlled trials (RCTs) that involved systemic treatments in children aged up to 16 years with a clinical diagnosis of AKC or VKC. We planned to include studies that evaluated a single systemic medication versus placebo, and studies that compared two or multiple active treatments. Data collection and analysis We used standard methods expected by Cochrane. Main results No trial met the inclusion criteria of this Cochrane Review. No RCTs have been carried out on this topic. Authors' conclusions There is currently no evidence from randomised controlled trials regarding the safety and efficacy of systemic treatments for VKC and AKC. Trials are required to test efficacy and safety of current and future treatments. Outcome measures need to be developed which can capture both objective clinical and patient‐reported aspects of the condition and treatments. Plain language summary What medicines, taken by mouth or given as an injection, work best to treat severe allergic eye disease in children and young people under 16 years old? What is allergic eye disease?  An immune response is how the body recognises and defends itself against substances that appear harmful, usually by producing specific blood proteins (antibodies) against them. An allergy is a reaction by the body's immune system to a particular substance (an allergen) that is usually harmless, such as grass or tree pollens in the air. Different allergens affect different tissues, and their effects can be mild or serious. In the eye, allergic reactions can cause conjunctivitis: the conjunctiva (the tissue covering the white of the eye and lining the inside of the eyelids) becomes swollen and sore. Severe allergic eye disease may also affect the cornea (the clear, front part of the eye), causing keratoconjunctivitis. Vernal keratoconjunctivitis (VKC) and atopic keratoconjunctivitis (AKC) are rare types of severe allergic eye disease. VKC usually develops in children and is more common in boys; AKC can affect children and adults. These conditions usually affect both eyes and make them red, itchy, sore, watery and sensitive to light. Both conditions can damage the cornea, which can affect eyesight and lead to blindness. Treatment is essential to save eyesight. Treatments for severe allergic eye disease  Both conditions are treated with medicines that try to block the allergic reaction and reduce swelling. Symptoms may get better with medicines given as eye drops, but if these don't work, other medicines may be taken by mouth or given as an injection (systemic medicines). Systemic medicines that are often used to treat severe allergic eye disease include ones that target or suppress the immune response, such as anti‑inflammatory medicines and antibodies. Why we did this Cochrane Review  We wanted to find out which systemic treatments work best for severe allergic eye disease in children and young people. What did we do?  We searched for studies that looked at systemic medicines to treat severe allergic eye disease in children and young people under 16 years of age. We wanted t find studies that compared a single medicine with a placebo (dummy) medicine, or studies that compared two or more medicines against each other. We looked for randomised controlled studies, in which the treatments people received were decided at random, because these studies usually give the most reliable evidence about the effects of a treatment. Search date: We searched for evidence published up to 17 February 2020. What we found  We found no randomised controlled studies in children and young people with severe allergic eye disease treated by systemic medicines. Conclusions There is no evidence from randomised controlled studies about how well systemic medicines work for severe allergic eye disease in children and young people aged under 16 years. Research is needed to investigate how well systemic medicines work to treat severe allergic eye disease in children and young people, and to learn about any unwanted effects these medicines might cause.</t>
  </si>
  <si>
    <t>J1791</t>
  </si>
  <si>
    <t>A phase ii randomised controlled trial of a cognitive behavioral therapy intervention for depression in those newly diagnosed with ms</t>
  </si>
  <si>
    <t>Background: Depression is a serious and co-morbid condition of MS. Up to 50% of individuals with MS experience clinically significant levels of depressive symptoms at any one time (Arnett et al., 2008). Depression and anxiety are especially high after diagnosis (Giordano et al., 2011; Kiropoulos et al., 2016) with 36% of individuals found to report high levels of depressive symptoms in the first years after diagnosis (Jensens et al., 2003). Cogntitive Behaviour Therapy (CBT) has shown to be effective in reducing symptoms of depression in those with MS (Kiropoulos et al., 2016) with the current study being the first RCT examining the effectiveness of a tailored cognitive behavioural therapy (CBT) intervention, compared to a supportive listening (SL) intervention, for depression in those who have been newly diagnosed with MS (within 5 years of having received a MS diagnosis). Objective(s): To assess efficacy of an early tailored CBT intervention, compared to SL, in producing significant and clinically meaningful reductions in: 1) depressive symptoms; 2) anxiety symptoms and 3) MS-related concerns (such as fatigue, sleep disturbance, pain impact). And to: 4) increase physical and mental health related quality of life, MS illness acceptance, social support, coping and resilience; and 5) to assess cost-effectiveness of providing the CBT intervention. An additional aim is to measure and examine changes in levels of cytokines before and after the interventions. Method(s): This is a two arm, parallel group, active comparator, assessor blinded RCT with the primary site being the Royal Melbourne Hospital. Recruitment is also being undertaken from three major MS clinics located in Melbourne, Victoria. 60 participants are being randomly allocated to a tailored CBT(n=30) or SL (n=30) intervention. 8 x 1 hour interventions will be delivered over 8 weeks by clinical psychologists for both treatment arms. Self-report and clinician data is and will be collected at pre, post and 3 mth follow up time points. Eligibility criteria includes mild to moderately depressed individuals newly diagnosed (within first 5 years of diagnosis) with MS. Exclusion criteria includes gross cognitive impairment; serious psychological disorder; delirium; undertaking psychological treatment for depression; unable to speak or read English. Result(s): Preliminary results will be presented for the primary outcome which is the level of clinically significant change of 10 points or more on the BDI-2 at post therapy, secondary outcomes which are the level of depression at 3 mths and level of anxiety at post-assessment and tertiary outcomes which are the level of anxiety at 3 mths follow up, pain and fatigue impact, MS illness acceptance, sleep quality, coping, social support, resilience at post and 3 mth follow up. Conclusion(s): will be provided relating to the effectiveness of the CBT intervention in the treatment of depression in individuals newly diagnosed with MS.</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</si>
  <si>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 Author(s) (or their employer(s)) 2020. Re-use permitted under CC BY. Published by BMJ.</t>
  </si>
  <si>
    <t>Antibiotic prophylaxis to prevent spontaneous bacterial peritonitis in people with liver cirrhosis: a network meta‐analysis</t>
  </si>
  <si>
    <t>- Background Approximately 2.5% of all hospitalisations in people with liver cirrhosis are for spontaneous bacterial peritonitis. Spontaneous bacterial peritonitis is associated with significant short‐term mortality; therefore, it is important to prevent spontaneous bacterial peritonitis in people at high risk of developing it. Antibiotic prophylaxis forms the mainstay preventive method, but this has to be balanced against the development of drug‐resistant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meta‐analysis with OpenBUGS using Bayesian methods and calculated the odds ratio, rate ratio, and hazard ratio (HR) with 95% credible intervals (CrI) based on an available‐case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intention‐to‐treat analysis), and use clinically important outcomes such as mortality, health‐related quality of life, and decompensation events. Plain language summary Use of antibiotics to prevent spontaneous bacterial peritonitis in people with advanced liver disease What was the aim of this Cochrane Review? People with advanced liver disease (liver cirrhosis, or late‐stage scarring of the liver with complications) are at risk of developing an abnormal build‐up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Twenty‐three studies with 2587 participants provided data for analyses. The follow‐up in the trials ranged from 1 to 12 months. The review shows that: ‐ of the 10 different antibiotics compared in the trials, norfloxacin and rifaximin were most commonly used;  ‐ 15 of every 100 people died within 12 months, and 10 of every 100 people developed spontaneous bacterial peritonitis;  ‐ giving preventive antibiotics may make no difference to the percentage of deaths or people with serious complications; however, potentially important differences cannot be ruled out;  ‐ none of the trials reported quality of life or symptomatic development of spontaneous bacterial peritonitis;  ‐ there was evidence showing that the percentage of people who developed spontaneous bacterial peritonitis as per laboratory criteria may be reduced with sulfonamides compared with no use of antibiotics (difficult to estimate how much reduction);  ‐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are;  ‐ future well‐designed trials are needed. Quality of the evidence We cannot draw any conclusions from these trials due to the sparse data.</t>
  </si>
  <si>
    <t>J1797</t>
  </si>
  <si>
    <t>Measures implemented in the school setting to contain the COVID‐19 pandemic: a rapid scoping review</t>
  </si>
  <si>
    <t>- Background In response to the spread of SARS‐CoV‐2 and the impact of COVID‐19, national and subnational governments implemented a variety of measures in order to control the spread of the virus and the associated disease. While these measures were imposed with the intention of controlling the pandemic, they were also associated with severe psychosocial, societal, and economic implications on a societal level. One setting affected heavily by these measures is the school setting. By mid‐April 2020, 192 countries had closed schools, affecting more than 90% of the world’s student population. In consideration of the adverse consequences of school closures, many countries around the world reopened their schools in the months after the initial closures. To safely reopen schools and keep them open, governments implemented a broad range of measures. The evidence with regards to these measures, however, is heterogeneous, with a multitude of study designs, populations, settings, interventions and outcomes being assessed. To make sense of this heterogeneity, we conducted a rapid scoping review (8 October to 5 November 2020). This rapid scoping review is intended to serve as a precursor to a systematic review of effectiveness, which will inform guidelines issued by the World Health Organization (WHO). This review is reported in line with the Preferred Reporting Items for Systematic Reviews and Meta‐Analyses extension for Scoping Reviews (PRISMA‐ScR) checklist and was registered with the Open Science Framework. Objectives To identify and comprehensively map the evidence assessing the impacts of measures implemented in the school setting to reopen schools, or keep schools open, or both, during the SARS‐CoV‐2/COVID‐19 pandemic, with particular focus on the types of measures implemented in different school settings, the outcomes used to measure their impacts and the study types used to assess these. Search methods We searched the Cochrane COVID‐19 Study Register, MEDLINE, Embase, the CDC COVID‐19 Research Articles Downloadable Database for preprints, and the WHO COVID‐19 Global literature on coronavirus disease on 8 October 2020. Selection criteria We included studies that assessed the impact of measures implemented in the school setting. Eligible populations were populations at risk of becoming infected with SARS‐CoV‐2, or developing COVID‐19 disease, or both, and included people both directly and indirectly impacted by interventions, including students, teachers, other school staff, and contacts of these groups, as well as the broader community. We considered all types of empirical studies, which quantitatively assessed impact including epidemiological studies, modelling studies, mixed‐methods studies, and diagnostic studies that assessed the impact of relevant interventions beyond diagnostic test accuracy. Broad outcome categories of interest included infectious disease transmission‐related outcomes, other harmful or beneficial health‐related outcomes, and societal, economic, and ecological implications. Data collection and analysis We extracted data from included studies in a standardized manner, and mapped them to categories within our a priori logic model where possible. Where not possible, we inductively developed new categories. In line with standard expectations for scoping reviews, the review provides an overview of the existing evidence regardless of methodological quality or risk of bias, and was not designed to synthesize effectiveness data, assess risk of bias, or characterize strength of evidence (GRADE). Main results We included 42 studies that assessed measures implemented in the school setting. The majority of studies used mathematical modelling designs (n = 31), while nine studies used observational designs, and two studies used experimental or quasi‐experimental designs. Studies conducted in real‐world contexts or using real data focused on the WHO European region (EUR; n = 20), the WHO region of the Americas (AMR; n = 13), the West Pacific region (WPR; n = 6 , and the WHO Eastern Mediterranean Region (EMR; n = 1). One study conducted a global assessment and one did not report on data from, or that were applicable to, a specific country. Three broad intervention categories emerged from the included studies: organizational measures to reduce transmission of SARS‐CoV‐2 (n = 36), structural/environmental measures to reduce transmission of SARS‐CoV‐2 (n = 11), and surveillance and response measures to detect SARS‐CoV‐2 infections (n = 19). Most studies assessed SARS‐CoV‐2 transmission‐related outcomes (n = 29), while others assessed healthcare utilization (n = 8), other health outcomes (n = 3), and societal, economic, and ecological outcomes (n = 5). Studies assessed both harmful and beneficial outcomes across all outcome categories. Authors' conclusions We identified a heterogeneous and complex evidence base of measures implemented in the school setting. This review is an important first step in understanding the available evidence and will inform the development of rapid reviews on this topic. Plain language summary Which school‐based measures designed to contain the COVID‐19 pandemic have been evaluated to date, and how were they evaluated? Why is this question important? To combat the spread of SARS‐CoV‐2 and the impact of COVID‐19, countries worldwide have taken a variety of public health measures. In many countries, shutting schools was one of the earliest responses. By mid‐April 2020, 192 countries had closed schools, affecting more than 90% of the world’s student population. This severely disrupted school, family and work life, with likely negative impacts including: ‐ a worsening of children’s and adolescents’ health and well‐being; ‐ increases in inequalities between children and adolescents from disadvantaged and more privileged backgrounds; ‐ possible decreased parental income and job security; ‐ possible loss of parental economic productivity. Given the potential negative consequences of school closures, many countries have since reopened schools. To avoid disease transmission among students, between staff and students, and beyond, a range of school‐based measures have been put in place. These include: ‐ students and staff wearing face masks and regularly washing their hands; ‐ adapting school activities (for example, not singing in music classes); ‐ improving ventilation systems; and ‐ screening suspected cases of infection. To date, we know little about which school‐based measures designed to contain COVID‐19 have been evaluated, and how they have been evaluated. It is important to find this out, so that, in time, we can compare the effectiveness of different measures and inform future policy guidelines. We set out to identify and map the evidence on school‐based measures to contain COVID‐19. This work is intended to form the basis of a future review about the effectiveness of these measures. This review will inform guidelines issued by the World Health Organization (WHO). How did we identify and map the evidence? First, we searched for studies that evaluated any intervention set in schools designed to prevent the spread of COVID‐19. We considered all types of studies, and a broad range of outcomes, including: ‐ infectious disease transmission; ‐ other harmful or beneficial effects on health; ‐ wider implications for society, the economy, and the population. We then grouped studies according to how similar or different they were. This allowed us to gauge: ‐ which types of study have been used to evaluate measures to date; ‐ where studies have been conducted; ‐ which types of intervention have been evaluated; and ‐ which outcomes have been studied. What did we find? We found 42 studies. Type of study Thirty‐one studies used mathematical modelling designs, to predict the effects of measures on populations. Two studies used experimental designs, in which researchers divide people or settings into groups to compare the effects of different measures. Nine studies used observational designs, in which researchers simply observed the effect of the intervention. Study setting Studies were conducted in Europe (20 studies), North and South America (13 studies), the West Pacific (6 studies), and the Eastern Mediterranean (1 study). Most studies evaluated measures in more than one school setting (for example, primary education and secondary education). Three studies focused on secondary schools. Type of intervention Studies evaluated three broad types of measure: 1. Organizational measures to reduce transmission of SARS‐CoV‐2 (36 studies): these included: ‐ measures designed to limit risks of disease transmission between people who come into contact with each other (such as face‐masks and physical distancing policies); and ‐ measures to reduce opportunities for contact (for example, staggered arrival, break and departure times). 2. Structural or environmental measures to reduce transmission of SARS‐CoV‐2 (11 studies): for example, dividing up school playgrounds or improving air circulation. 3. Surveillance and response measures to detect SARS‐CoV‐2 infections (19 studies): these included: ‐ testing, tracing, and symptom screening; and ‐ isolation of confirmed cases or quarantine of suspected cases. Outcomes studied Studies assessed the effects of measures on: ‐ SARS‐CoV‐2 transmission (29 studies), including the number of new cases or the average number of people to whom one infected person will pass the virus (reproduction number R); ‐ healthcare use (8 studies), for example, the number of hospitalizations; ‐ other health outcomes (3 studies), for example, the risk of developing hand eczema (a skin condition); and ‐ societal, economic, and other population‐level outcomes (5 studies), including cost. What are the implications of our findings? A wide range of school‐based measures designed to contain COVID‐19 have been evaluated to date. To evaluate these, researchers have used different methods and investigated different outcomes. This review is an important first step in gauging what evidence is available, and will inform future rapid reviews on this topic.</t>
  </si>
  <si>
    <t>J1798</t>
  </si>
  <si>
    <t>Surgical prehabilitation using mobile health coaching in patients with obesity: A pilot study</t>
  </si>
  <si>
    <t>Many patients spend months waiting for elective procedures, and many have significant modifiable risk factors that could contribute to an increased risk of perioperative morbidity and mortality. The minimal direct contact that usually occurs with healthcare professionals during this period represents a missed opportunity to improve patient health and surgical outcomes. Patients with obesity comprise a large proportion of the surgical workload but are under-represented in prehabilitation studies. Our study piloted a mobile phone based, multidisciplinary, prehabilitation programme for patients with obesity awaiting elective surgery. A total of 22 participants were recruited via the Wollongong Hospital pre-admissions clinic in New South Wales, Australia, and 18 completed the study. All received the study intervention of four text messages per week for six months. Questionnaires addressing the self-reported outcome measures were performed at the start and completion of the study. Forty percent of participants lost weight and 40% of smokers decreased their cigarette intake over the study. Sixty percent reported an overall improved health score. Over 80% of patients found the programme effective for themselves, and all recommended that it be made available to other patients. The cost was A$1.20 per patient per month. Our study showed improvement in some of the risk factors for perioperative morbidity and mortality. With improved methods to increase enrolment, our overall impression is that text message-based mobile health prehabilitation may be a feasible, cost-effective and worthwhile intervention for patients with obesity. Copyright © The Author(s) 2020.</t>
  </si>
  <si>
    <t>J1799</t>
  </si>
  <si>
    <t>Pns4 Impact of Pharmacists on Pain in Hospice and Palliative Care: A Systematic Literature Review</t>
  </si>
  <si>
    <t>Objectives: The inclusion of pharmacists as members of the team in hospice/palliative care has the potential to improve clinical outcomes and demonstrate cost savings, particularly in pain management. Accordingly, guidelines from the American Society of Health-System Pharmacists (ASHP) recommend pharmacist involvement in end-of-life care. The objective of the current study was to describe the impact of pharmacists on pain management in hospice/palliative care. Method(s): A systematic literature review using the PRISMA guidelines was designed to search articles in PubMed, Scopus, and Embase between 2010-2019. Articles were identified using a search strategy encompassing relevant MeSH, index and key terms (e.g. pharmacist, pharmacist services, pain, pain management, and hospice care). Inclusion criteria were studies discussing pain management in hospice/palliative care detailing the impact of pharmacist intervention. Impacts assessed include clinical, cost or interventional outcomes such as therapy recommendations, dosage modifications, prevention of adverse events, or cost-effectiveness. Studies focused on pediatric hospice care, non-English articles and conference abstracts were excluded. The review was conducted using the Covidence web application. Result(s): A total of 13 articles were identified to meet inclusion criteria for qualitative analysis. Selected studies included seven (54%) prospective evaluations of the impact of a clinical pharmacist on patient pain control, four (31%) retrospective assessments of pharmacist-led interventions, and two (15%) surveys regarding pharmacist contributions to hospice care services. The pharmacist's involvement in a multidisciplinary hospice care team had a positive impact on both clinical (reduction in pain intensity scores, symptom scores and recommendation of new effective treatments) and cost outcomes. Conclusion(s): This systematic review demonstrates the benefit of pharmacist inclusion in hospice and palliative care services, with evidence for improvement of pain and symptom management and cost-effectiveness of treatment rendered. Copyright © 2020</t>
  </si>
  <si>
    <t>- Background Many dental procedures produce aerosols (droplets, droplet nuclei and splatter) that harbour various pathogenic microâ€organisms and may pose a risk for the spread of infections between dentist and patient. The COVIDâ€19 pandemic has led to greater concern about this risk. Objectives To assess the effectiveness of methods used during dental treatment procedures to minimize aerosol production and reduce or neutralize contamination in aerosols. Search methods Cochrane Oral Healthâ€™s Information Specialist searched the following databases on 17 September 2020: Cochrane Oral Healthâ€™s Trials Register, the Cochrane Central Register of Controlled Trials (CENTRAL) (in the Cochrane Library, 2020, Issue 8), MEDLINE Ovid (from 1946); Embase Ovid (from 1980); the WHO COVIDâ€19 Global literature on coronavirus disease; the US National Institutes of Health Trials Registry (ClinicalTrials.gov); and the Cochrane COVIDâ€19 Study Register. We placed no restrictions on the language or date of publication. Selection criteria We included randomized controlled trials (RCTs) and controlled clinical trials (CCTs) on aerosolâ€generating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randomâ€effects metaâ€analysis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Highâ€volume evacuator Use of a highâ€volume evacuator (HVE) may reduce bacterial contamination in aerosols less than one foot (~ 30 cm) from a patient's mouth (MD âˆ’47.41, 95% CI âˆ’92.76 to âˆ’2.06; 3 splitâ€mouth RCTs, 122 participants; very high heterogeneity IÂ² = 95%), but not at longer distances (MD âˆ’1.00, âˆ’2.56 to 0.56; 1 RCT, 80 participants). One splitâ€mouth RCT (six participants) found that HVE may not be more effective than conventional dental suction (saliva ejector or lowâ€volume evacuator) at 40 cm (MD CFU âˆ’2.30, 95% CI âˆ’5.32 to 0.72) or 150 cm (MD âˆ’2.20, 95% CI âˆ’14.01 to 9.61). Dental isolation combination system One RCT (50 participants) found that there may be no difference in CFU between a combination system (Isolite) and a saliva ejector (lowâ€volume evacuator) during AGPs (MD âˆ’0.31, 95% CI âˆ’0.82 to 0.20) or after AGPs (MD âˆ’0.35, âˆ’0.99 to 0.29). However, an 'n of 1' design study showed that the combination system may reduce CFU compared with rubber dam plus HVE (MD âˆ’125.20, 95% CI âˆ’174.02 to âˆ’76.38) or HVE (MD âˆ’109.30, 95% CI âˆ’153.01 to âˆ’65.59). Rubber dam One splitâ€mouth RCT (10 participants) receiving dental treatment, found that there may be a reduction in CFU with rubber dam at oneâ€metre (MD âˆ’16.20, 95% CI âˆ’19.36 to âˆ’13.04) and twoâ€metre distance (MD âˆ’11.70, 95% CI âˆ 15.82 to âˆ’7.58). One RCT of 47 dental students found use of rubber dam may make no difference in CFU at the forehead (MD 0.98, 95% CI âˆ’0.73 to 2.70) and occipital region of the operator (MD 0.77, 95% CI âˆ’0.46 to 2.00). One splitâ€mouth RCT (21 participants) found that rubber dam plus HVE may reduce CFU more than cotton roll plus HVE on the patient's chest (MD âˆ’251.00, 95% CI âˆ’267.95 to âˆ’234.05) and dental unit light (MD âˆ’12.70, 95% CI âˆ’12.85 to âˆ’12.55). Air cleaning systems One splitâ€mouth CCT (two participants) used a local standâ€alone air cleaning system (ACS), which may reduce aerosol contamination during cavity preparation (MD âˆ’66.70 CFU, 95% CI âˆ’120.15 to âˆ’13.25 per cubic metre) or ultrasonic scaling (MD âˆ’32.40, 95% CI â€ 51.55 to âˆ’13.25). Another CCT (50 participants) found that laminar flow in the dental clinic combined with a HEPA filter may reduce contamination approximately 76 cm from the floor (MD âˆ’483.56 CFU, 95% CI âˆ’550.02 to âˆ’417.10 per cubic feet per minute per patient) and 20 cm to 30 cm from the patient's mouth (MD âˆ’319.14 CFU, 95% CI â€ 385.60 to âˆ’252.68). Disinfectants â€’ antimicrobial coolants Two RCTs evaluated use of antimicrobial coolants during ultrasonic scaling. Compared with distilled water, coolant containing chlorhexidine (CHX), cinnamon extract coolant or povidone iodine may reduce CFU: CHX (MD âˆ’124.00, 95% CI âˆ’135.78 to âˆ’112.22; 20 participants), povidone iodine (MD âˆ’656.45, 95% CI âˆ’672.74 to âˆ’640.16; 40 participants), cinnamon (MD âˆ’644.55, 95% CI âˆ’668.70 to âˆ’620.40; 40 participants). CHX coolant may reduce CFU more than povidone iodine (MD âˆ’59.30, 95% CI âˆ’64.16 to âˆ’54.44; 20 participants), but not more than cinnamon extract (MD âˆ’11.90, 95% CI âˆ’35.88 to 12.08; 40 participants). Authors' conclusions We found no studies that evaluated disease transmission via aerosols in a dental setting; and no evidence about viral contamination in aerosols. All of the included studies measured bacterial contamination using colonyâ€forming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patientâ€™s saliva, which may also contain microâ€organisms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â€ ways to decontaminate the mouth before aerosols are produced, for example by using antiâ€microbial mouthwash; â€ ways to prevent aerosols from leaving the mouth (for example, placing a rubber sheet â€“ known as a â€˜damâ€™ â€“ around the tooth that is to be treated, to isolate the treatment zone from saliva; or using a strawâ€like suction tube known as a saliva ejector); â€ local ventilation using a suction device (known as a highâ€volume evacuator) that draws up a large volume of air and evacuates aerosols from the treatment zone; â€ general ventilation, to reduce the concentration of aerosols in t e air, for example by keeping windows open; â€ decontamination of airâ€borne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â€ highâ€volume evacuator (7 studies); â€ handsâ€free suction device (2 studies); â€ saliva ejector (1 study); â€ rubber dam (3 studies); â€ rubber dam with a highâ€volume evacuator (1 study); or 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betterâ€quality studies in this area. How up to date is this review? The evidence in this Cochrane Review is current to September 2020.</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</si>
  <si>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 2019 American College of Radiology</t>
  </si>
  <si>
    <t>J1802</t>
  </si>
  <si>
    <t>PBI5 Future Trends on the Biosimilar Uptake in China, JAPAN, the US, the EU4 and the UK</t>
  </si>
  <si>
    <t>Objectives: Biosimilar use creates an opportunity for increased patient access, drug competition and cost-savings, especially in a landscape driven by imminent patent-expiration of biologics. Study aimed to assess trends and incentives to enhance biosimilar uptake in China, Japan, the United States (US), EU4 (France, Germany, Italy, Spain) and the United Kingdom. Method(s): Targeted literature review was conducted in Medline/Embase, complemented with desk research. Result(s): Chinese biosimilar market is evolving with 3 approved drugs since 2019, even though copy-biologics, not meeting the criteria for biosimilars, have been available in China for some time. An increase in the market growth is expected mainly due to more biosimilars in the pipeline than in any other country, yet being still worse regulated compared to EU, US and Japan. Biosimilar market in Japan is accelerating, influenced by unique payment system providing hospitals with a strong incentive to prescribe biosimilars. Also, the update of biosimilars guideline is anticipated for 2020. In France, biosimilar use became a part of the health strategy (2018-2022), the automatic substitution is still not implemented due to lack of published decree. Germany may implement automatic pharmacist level biosimilar substitution, however, due to uncertainty on the bill, it still awaits approval. In Spain and the UK, hospital pharmacy stocking of a one preferred drug over tendering for multiple products is expected. Real-world evidence for Italy shows the increasing trend for biosimilar use with great region variability. In the US, the FDA released the Biosimilars Action Plan (2018) to boost biosimilar industry and facilitate access, with a guideline for demonstrating interchangeability (2019). Conclusion(s): Even though the market share of biosimilars remains low, various countries around the globe have implemented strategies to embrace the market and provide drugs to patients. Regulations are evolving rapidly and boost in the biosimilar uptake is expected in the following years, especially in China. Copyright © 2020</t>
  </si>
  <si>
    <t>- Background Classical galactosaemia is an autosomal recessive inborn error of metabolism caused by a deficiency of the enzyme galactose‐1‐phosphate uridyltransferase. This is a rare and potentially lethal condition that classically presents in the first week of life once milk feeds have commenced. Affected babies may present with any or all of the following: cataracts; fulminant liver failure; prolonged jaundice; or Escherichia coli sepsis. Once the diagnosis is suspected, feeds containing galactose must be stopped immediately and replaced with a soya‐based formula. The majority of babies will recover, however a number will not survive. There are long‐term complications of galactosaemia, despite treatment, including learning disabilities and female infertility. It has been postulated that galactosaemia could be detected on newborn screening and this would prevent the immediate severe liver dysfunction and sepsis. This is an update of a previously published review. Objectives To assess whether there is evidence that newborn screening for galactosaemia prevents or reduces mortality and morbidity and improves clinical outcomes in affected neonates and the quality of life in older children. Search methods We searched the Cochrane Cystic Fibrosis and Genetic Disorders Group Trials Register comprising references identified from electronic database searches, handsearches of relevant journals and conference abstract books. We also searched online trials registries and the reference lists of relevant articles and reviews. Date of the most recent search of Cochrane Cystic Fibrosis Group's Trials Register: 12 December 2019. Date of the most recent search of additional resources: 02 February 2020. Selection criteria Randomised controlled studies and controlled clinical studies, published or unpublished comparing the use of any newborn screening test to diagnose infants with galactosaemia and presenting a comparison between a screened population versus a non‐screened population. Data collection and analysis No studies of newborn screening for galactosaemia were found. Main results No studies were identified for inclusion in the review. Authors' conclusions We were unable to identify any eligible studies for inclusion in this review and hence it is not possible to draw any conclusions based on randomised controlled studies. However, we are aware of uncontrolled studies which support the efficacy of newborn screening for galactosaemia. There are a number of reviews and economic analyses of non‐trial literature suggesting that screening is appropriate. Plain language summary Screening newborn babies for galactosaemia Review question We reviewed the evidence for screening newborn babies for galactosaemia in order to prevent or reduce death and illness, to improve clinical outcomes in affected babies and to improve the quality of life in affected older children. Background Galactosaemia is an inherited disease that affects the body's ability to breakdown the milk sugar galactose. Newborn babies with galactosaemia can have a variety of symptoms in the first weeks of life including poor feeding, cataracts, jaundice, an enlarged liver with liver failure or severe infection. Without treatment, babies with galactosaemia are often very unwell and highly likely to die from liver failure. Unfortunately, despite treatment, long‐term complications for people with galactosaemia include learning difficulties and fertility problems (in females). Search date The evidence is current to: 02 February 2020. Study characteristics No studies were identified for inclusion in the review. Key results No suitable studies were found, but we are aware of some uncontrolled studies which suggest newborn screening for galactosaemia and early treatment can reduce death and illness. Future research is needed to provide robust evidence for or against screening. Quality of the evidence We have not identified any relevant studies for inclusion in this review.</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</si>
  <si>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cross‐over and cluster‐RCTs, comparing VR distraction to no distraction, non‐VR distraction or other VR distraction. Data collection and analysis We used standard Cochrane methodological processes. Two reviewers assessed risk of bias and extracted data independently. The primary outcome was acute pain intensity (during procedure, and up to one hour post‐procedure). Secondary outcomes were adverse effects, child satisfaction with VR, pain‐related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Self‐report: one study (42 participants) found no beneficial effect of non‐immersive VR (very low‐certainty evidence). Observer‐report: no data. Behavioural measurements (observer‐report): two studies, 62 participants; low‐certainty evidence. One study (n = 42) found no beneficial effect of non‐immersive VR. One study (n = 20) found a beneficial effect favouring immersive VR. Acute pain intensity: post‐procedure Self‐report: 10 studies, 461 participants; very low‐certainty evidence. Four studies (n = 95) found no beneficial effect of immersive and semi‐immersive or non‐immersive VR. Five studies (n = 357) found a beneficial effect favouring immersive VR. Another study (n = 9) reported less pain in the VR group. Observer‐report: two studies (216 participants; low‐certainty evidence) found a beneficial effect of immersive VR, as reported by primary caregiver/parents or nurses. One study (n = 80) found a beneficial effect of immersive VR, as reported by researchers. Behavioural measurements (observer‐report): one study (42 participants) found no beneficial effect of non‐immersive VR (very low‐certainty evidence). Adverse effects: five studies, 154 participants; very low‐certainty evidence. Three studies (n = 53) reported no adverse effects. Two studies (n = 101) reported mild adverse effects (e.g. nausea) in the VR group. 2: VR distraction versus other non‐VR distraction Acute pain intensity: during procedure Self‐report, observer‐report and behavioural measurements (observer‐report): two studies, 106 participants: Self‐report: one study (n = 65) found a beneficial effect favouring immersive VR and one (n = 41) found no evidence of a difference in mean pain change scores (very low‐certainty evidence) Observer‐report: one study (n = 65) found a beneficial effect favouring immersive VR and one (n = 41) found no evidence of a difference in mean pain change scores (low‐certainty evidence). Behavioural measurements (observer‐report): one study (n = 65) found a beneficial effect favouring immersive VR and one (n = 41) reported a difference in mean pain change scores with fewer pain behaviours in VR group (low‐certainty evidence). Acute pain intensity: post‐procedure Self‐report: eight studies, 575 participants; very low‐certainty evidence. Two studies (n = 146) found a beneficial effect favouring immersive VR. Two studies (n = 252) reported a between‐group difference favouring immersive VR. One study (n = 59) found no beneficial effect of immersive VR versus television and Child Life non‐VR distraction. One study (n = 18) found no beneficial effect of semi‐immersive VR. Two studies (n = 100) reported no between‐group difference. Observer‐report: three studies, 187 participants; low‐certainty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(observer‐report): two studies, 106 participants; low‐certainty evidence. One study (n = 65) found a beneficial effect favouring immersive VR. Another study (n = 41) reported no evidence of a difference in mean pain change scores. Adverse effects: six studies, 429 participants; very low‐certainty evidence. Three studies (n = 229) found no evidence of a difference between groups. Two studies (n = 141) reported no adverse effects in VR group. One study (n = 59) reported no beneficial effect in reducing estimated cyber‐sickness before and after VR immersion. 3: VR distraction versus other VR distraction We did not identify any studies for this comparison. Authors' conclusions We found low‐certainty and very low‐certainty evidence of the effectiveness of VR distraction compared to no distraction or other non‐VR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well‐designed, large, high‐quality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 Fully‐immersive: users typically wear a headset with headphones and a screen, and interact with the virtual environment as if they were really in it. ‐ Semi‐immersive: users interact with a partially virtual environment (for example, a flight simulator where the controls are real, but the windows display virtual images). ‐ Non‐immersive: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non‐virtual distraction. No studies compared different types of virtual reality. During a medical procedure We cannot tell whether virtual reality reduces self‐reported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fully‐immersive virtual reality was beneficial compared to non‐virtual distraction, but not in the other. Fully‐immersive virtual reality may reduce pain assessed by an observer based on children's behaviour (for example, crying, or rubbing a body part in a way that indicates pain) more effectively than non‐virtual distraction (two studies) or no distraction (one study). Non‐immersive virtual reality was not beneficial for pain assessed by an observer based on children's behaviour compared to no distraction (one study). A fter a medical procedure We cannot tell whether virtual reality can reduce self‐reported pain after a medical procedure, as we have too little confidence in the evidence available (16 studies). Five studies investigated changes in pain assessed by an observer. Virtual reality was beneficial compared to no distraction in two studies, and also when compared to non‐virtual distraction in another two studies. However, it was no better than non‐virtual distraction in one study. Two studies investigating pain assessed by an observer based on children's behaviour reported conflicting findings: immersive virtual reality was beneficial compared to non‐virtual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well‐designed studies in this area. How up‐to date is this review? The evidence in this Cochrane Review is current to October 2019.</t>
  </si>
  <si>
    <t>J1805</t>
  </si>
  <si>
    <t>Does linear equating improve prediction in mapping? Crosswalking MacNew onto EQ-5D-5L value sets</t>
  </si>
  <si>
    <t>Purpose</t>
  </si>
  <si>
    <t>Organised inpatient (stroke unit) care for stroke: network meta‐analysis</t>
  </si>
  <si>
    <t>- Background Organised inpatient (stroke unit) care is provided by multi‐disciplinary teams that manage stroke patients. This can been provided in a ward dedicated to stroke patients (stroke ward), with a peripatetic stroke team (mobile stroke team), or within a generic disability service (mixed rehabilitation ward). Team members aim to provide co‐ordinated multi‐disciplinary care using standard approaches to manage common post‐stroke problems. Objectives • To assess the effects of organised inpatient (stroke unit) care compared with an alternative service. • To use a network meta‐analysis (NMA) approach to assess different types of organised inpatient (stroke unit) care for people admitted to hospital after a stroke (the standard comparator was care in a general ward). Originally, we conducted this systematic review to clarify: • The characteristic features of organised inpatient (stroke unit) care? • Whether organised inpatient (stroke unit) care provide better patient outcomes than alternative forms of care? •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co‐ordinators of the original trials, assessed risk of bias, and applied GRADE. The primary outcome was poor outcome (death or dependency (Rankin score 3 to 5) or requiring institutional care) at the end of scheduled follow‐up.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follow‐up (median one year): poor outcome (odds ratio (OR) 0.77, 95% confidence interval (CI) 0.69 to 0.87; moderate‐quality evidence), death (OR 0.76, 95% CI 0.66 to 0.88; moderate‐quality evidence), death or institutional care (OR 0.76, 95% CI 0.67 to 0.85; moderate‐quality evidence), and death or dependency (OR 0.75, 95% CI 0.66 to 0.85; moderate‐quality evidence). Evidence was of very low quality for subjective health status and was not available for patient satisfaction. Analysis of length of stay was complicated by variations in definitio and measurement plus substantial statistical heterogeneity (I²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follow‐up. Outcomes appeared to be independent of patient age, sex, initial stroke severity, stroke type, and duration of follow‐up.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follow‐up (OR 0.78, 95% CI 0.68 to 0.91; moderate‐quality evidence). Direct comparison of mobile stroke team versus general ward: two trials (438 participants) compared care from a mobile stroke team with care in general wards. Stroke team care may result in little difference in the odds of a poor outcome at the end of follow‐up (OR 0.80, 95% CI 0.52 to 1.22; low‐quality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follow‐up (OR 0.65, 95% CI 0.47 to 0.90; moderate‐quality evidence). In a NMA using care in a general ward as the comparator, the odds of a poor outcome were as follows: stroke ward ‐ OR 0.74, 95% CI 0.62 to 0.89, moderate‐quality evidence; mobile stroke team ‐ OR 0.88, 95% CI 0.58 to 1.34, low‐quality evidence; mixed rehabilitation ward ‐ OR 0.70, 95% CI 0.52 to 0.95, low‐quality evidence. Authors' conclusions We found moderate‐quality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 Does organised inpatient (stroke unit) care improve the recovery of people with stroke in hospital compared with conventional care in general wards? Background  Organised inpatient (stroke unit) care is a form of care provided in hospital by nurses, doctors, and therapists who specialise in looking after people with stroke. They aim to work as a co‐ordinated team to provide the most appropriate care tailored to the needs of individual people with stroke. Study characteristics  We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 At an average of 12 months after their stroke, people who received organised inpatient (stroke unit) care were more likely to be alive (an extra two people surviving for every 100 receiving stroke unit care; moderate‐quality evidence) and living at home (an extra six patients for every 100 receiving stroke unit care; moderate‐quality evidence). They also were more lik ly to be independent in daily activities (an extra six patients for every 100 receiving stroke unit care; moderate‐quality evidence). The apparent benefits were seen in men and women, older and younger patients, and people with different types of stroke and different stroke severity. Benefits were most obvious when the stroke unit was based in a discrete stroke ward. Quality of the evidence  We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low‐quality evidence. Conclusion  People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</si>
  <si>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face‐to‐face or when added to usual care. Objectives To determine whether the use of telerehabilitation leads to improved ability to perform activities of daily living amongst stroke survivors when compared with (1) in‐person rehabilitation (when the clinician and the patient are at the same physical location and rehabilitation is provided face‐to‐face); or (2) no rehabilitation or usual care. Secondary objectives were to determine whether use of telerehabilitation leads to greater independence in self‐care and domestic life and improved mobility, balance, health‐related quality of life, depression, upper limb function, cognitive function or functional communication when compared with in‐person rehabilitation and no rehabilitation. Additionally, we aimed to report on the presence of adverse events, cost‐effectiveness,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post‐hospital discharge support programs, upper limb training, lower limb and mobility retraining and communication therapy for people with post‐stroke language disorders. Studies were either conducted upon discharge from hospital or with people in the subacute or chronic phases following stroke. Primary outcome: we found moderate‐quality evidence that there was no difference in activities of daily living between people who received a post‐hospital discharge telerehabilitation intervention and those who received usual care (based on 2 studies with 661 participants (standardised mean difference (SMD) ‐0.00, 95% confidence interval (CI) ‐0.15 to 0.15)). We found low‐quality evidence of no difference in effects on activities of daily living between telerehabilitation and in‐person physical therapy programmes (based on 2 studies w th 75 participants: SMD 0.03, 95% CI ‐0.43 to 0.48). Secondary outcomes: we found a low quality of evidence that there was no difference between telerehabilitation and in‐person rehabilitation for balance outcomes (based on 3 studies with 106 participants: SMD 0.08, 95%CI ‐0.30 to 0.46). Pooling of three studies with 569 participants showed moderate‐quality evidence that there was no difference between those who received post‐discharge support interventions and those who received usual care on health‐related quality of life (SMD 0.03, 95% CI ‐0.14 to 0.20). Similarly, pooling of six studies (with 1145 participants) found moderate‐quality evidence that there was no difference in depressive symptoms when comparing post‐discharge tele‐support programs with usual care (SMD ‐0.04, 95% CI ‐0.19 to 0.11). We found no difference between groups for upper limb function (based on 3 studies with 170 participants: mean difference (MD) 1.23, 95% CI ‐2.17 to 4.64, low‐quality evidence) when a computer program was used to remotely retrain upper limb function in comparison to in‐person therapy. Evidence was insufficient to draw conclusions on the effects of telerehabilitation on mobility or participant satisfaction with the intervention. No studies evaluated the cost‐effectiveness of telerehabilitation; however, five of the studies reported health service utilisation outcomes or costs of the interventions provided within the study. Two studies reported on adverse events, although no serious trial‐related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moderate‐level evidence testing whether telerehabilitation is a more effective or similarly effective way to provide rehabilitation. Short‐term post‐hospital discharge telerehabilitation programmes have not been shown to reduce depressive symptoms, improve quality of life, or improve independence in activities of daily living when compared with usual care. Studies comparing telerehabilitation and in‐person therapy have also not found significantly different outcomes between groups, suggesting that telerehabilitation is not inferior. Some studies reported that telerehabilitation was less expensive to provide but information was lacking about cost‐effectiveness.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This review aimed to gather evidence for the use of telerehabilitation after stroke. We aimed to compare telerehabilitation with therapy delivered face‐to‐face and with no therapy (usual care). Background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As the studies were very different, it was rarely appropriate to combine results to determine overall effect. We found that people who received telerehabilitation had similar outcomes for activities of daily living function to those that received face‐to‐face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cost‐effectiveness. Only two trials reported on whether or not any adverse events had occurred; these trials found no serious adverse events were related to telerehabilitation. Further trials are required. Quality of the evidence   The quality of the evidence was generally of low or moderate quality. The quality of the evidence for each outcome was limited due to small numbers of study participants and poor reporting of study details.</t>
  </si>
  <si>
    <t>J1808</t>
  </si>
  <si>
    <t>Acupuncture for glaucoma</t>
  </si>
  <si>
    <t>- Background Glaucoma is a multi‐factorial optic neuropathy characterized by an acquired loss of retinal ganglion cells at levels beyond normal age‐related loss and corresponding atrophy of the optic nerve. Although many treatments are available to manage glaucoma, patients may seek complementary or alternative medicine approaches such as acupuncture to supplement their regular treatment. The underlying plausibility of acupuncture is that disorders related to the flow of Chi (traditional Chinese concept of vital force or energy) can be managed by stimulating relevant points on the body surface. Objectives To assess the effectiveness and safety of acupuncture compared with other treatments, no treatment, or placebo in patients with glaucoma. Search methods We searched the Cochrane Central Register of Controlled Trials (CENTRAL), which contains the Cochrane Eyes and Vision Trials Register (2018, Issue 11); Ovid MEDLINE; Embase.com; the Cumulative Index to Nursing and Allied Health Literature (CINAHL); the Allied and Complementary Medicine Database (AMED); PubMed; Latin American and Caribbean Literature on Health Sciences (LILACS); ZETOC; the meta Register of Controlled Trials ( m RCT); ClinicalTrials.gov; the World Health Organization (WHO) International Clinical Trials Registry Platform (ICTRP); and the National Center for Complementary and Alternative Medicine (NCCAM) website. We did not use any language or date restrictions in the search for trials. We last searched electronic databases on November 16, 2018, with the exception of NCCAM, which we last searched on July 14, 2010, and the meta Register of Controlled Trials ( m RCT), which we last searched on January 8, 2013. We handsearched Chinese medical journals at Peking Union Medical College Library in April 2007. We searched the Chinese Acupuncture Trials Register, the Traditional Chinese Medical Literature Analysis and Retrieval System (TCMLARS), the Chinese Biological Database (CBM), and the China National Knowledge Infrastructure (CNKI). We last searched Chinese electronic databases on November 19, 2018. Selection criteria We included randomized controlled trials (RCTs) in which one arm involved acupuncture treatment. Data collection and analysis Two review authors independently screened results, then extracted the data and assessed risk of bias for eligible trials. Main results We included three completed trials and one ongoing trial in the 2019 update of this review. The three completed trials, conducted in Taiwan and the United States, included participants with glaucoma or intraocular hypertension. The interventions investigated varied across trials. One trial compared auricular acupressure－a non‐standard acupuncture technique－with the sham procedure in 33 patients. Another trial compared transcutaneous electrical nerve stimulation (TENS) with a sham procedure in 82 patients. The third trial compared 12 sessions of acupuncture on eye‐points versus on non‐eye‐points in 22 patients. All three trials were rated at high risk of bias for at least one domain. The certainty of evidence across all outcomes was very low due to high risk of bias in at least one contributing study; substantial clinical heterogeneity and methodological heterogeneity; and imprecision of results. One trial reported change in the visual field from baseline without any between‐group comparison. Because of the quantity of missing data (50%), we did not calculate a between‐group comparison, as the quantitative results are difficult to interpret. All three trials reported data for estimation of reduction of intraocular pressure (IOP). However, time points of IOP measurement varied. For the trial comparing acupressure to a sham procedure, the difference in IOP reduction (measured in mm Hg) is estimated to be ‐3.70 (95% confidence interval [CI] ‐7.11 to ‐0.29) for the right eye and ‐4.90 (95% CI ‐8.08 to ‐1.72) for the left eye at four weeks, and ‐1.30 mm Hg (95% CI ‐4.78 to 2.18) for the right eye and ‐2.30 mm Hg (95% CI ‐5.73 to 1.13) for he left eye at eight weeks. For the trial comparing TENS to sham treatment, the difference reduction is estimated to be ‐2.81 (95% CI ‐3.8 to ‐1.84) for the right eye and ‐2.58 (95% CI ‐3.36 to ‐1.80) for the left eye immediately after treatment, ‐2.93 (95% CI ‐3.72 to ‐2.13) for the right eye and ‐3.56 (95% CI ‐4.35 to 2.78) for the left eye 30 minutes after treatment, and finally ‐3.61 (95% CI ‐4.47 to ‐2.75) for the right eye and ‐3.61 (95% ‐4.47 to ‐2.74) for the left eye. For the trial that compared acupuncture on eye‐points versus non‐eye‐points, 11 out of 22 (50%) participants did not complete the treatment. One trial reported data for estimation of visual acuity. When acupressure is compared to sham treatment, the difference in uncorrected visual acuity (UCVA, measured in logMAR) is estimated to be ‐0.01 (95% CI ‐0.24 to 0.22) for the right eye and ‐0.04 (95% CI ‐0.27 to 0.19) for the left eye at four months, and ‐0.03 logMAR (95% CI ‐0.27 to 0.21) for the right eye and ‐0.16 logMAR (95% CI ‐0.43 to 0.11) for the left eye at eight months. The difference in best corrected visual acuity (BCVA) is estimated to be 0.10 (95% CI ‐0.06 to 0.26) for the right eye and 0 (95% CI ‐0.14 to 0.14) for the left eye at four months, and ‐0.04 logMAR (95% CI ‐0.09 to 0.17) for the right eye and ‐0.04 logMAR (95% CI ‐0.18 to 0.10) for the left eye at eight months. One trial reported progression of optic disc damage or nerve fiber layer loss without any between‐group comparison. Because of the quantity of missing data (50%), we did not calculate a between‐group comparison, as the quantitative results are difficult to interpret. One trial reported adverse events in two patients (out of 22) who experienced needle sensitivity. However, the study did not report between‐group comparisons. Because of the quantity of missing data (50%), we did not calculate a between‐group comparison, as the quantitative results are difficult to interpret. Authors' conclusions At this time, it is impossible to draw reliable conclusions from available data to support the use of acupuncture for treatment of patients with glaucoma. Because of ethical considerations, RCTs comparing acupuncture alone with standard glaucoma treatment or placebo are unlikely to be justified in countries where the standard of care has already been established. Plain language summary Acupuncture as a treatment for people with glaucoma What was the aim of this review?   This review aimed to assess whether acupuncture is useful and safe in treating people with glaucoma. We included in the review three completed trials and one ongoing trial. What is the key message of this review?   At this time, it is impossible to draw reliable conclusions from available data to support the use of acupuncture for treatment of people with glaucoma. What was studied in the review?   Glaucoma is a condition that damages the optic nerve and affects visual function. It is a major cause of blindness worldwide. Although many treatments are available, including eye drops, laser treatment, and surgical procedures, some people may seek complementary or alternative medicine approaches such as acupuncture to supplement their regular treatment. What are the main results of the review?   The three completed studies were conducted in hospitals in Taiwan and the United States. These trials recruited participants with glaucoma or intraocular hypertension (higher than normal eye pressure). The trials differ greatly in the interventions compared, including auricular acupressure (a non‐standard acupuncture technique), transcutaneous electrical nerve stimulation, and acupuncture on eye‐points (12 sessions). Acupuncture may have a very small effect in reducing eye pressure, but the certainty of evidence is very low. One trial reported needle sensitivity. Trials provided no evidence of effect on visual field or visual acuity. How up‐to‐date is this review?   Cochrane Review authors searched for studies that had been published up o November 16, 2018.</t>
  </si>
  <si>
    <t>J1812</t>
  </si>
  <si>
    <t>Are low and middle-income countries prioritising high-value healthcare interventions?</t>
  </si>
  <si>
    <t>&lt;b&gt;Introduction&lt;/b&gt;: Since resources are finite, investing in services that produce the highest health gain 'return on investment' is critical. We assessed the extent to which low and middle-income countries (LMIC) have included cost-saving interventions in their national strategic health plans._x000D_
&lt;b&gt;Methods&lt;/b&gt;: We used the Tufts Medical Center Global Health Cost-Effectiveness Analysis Registry, an open-source database of English-language cost-per-disability-adjusted life year (DALY) studies, to identify analyses published in the last 10 years (2008-2017) of cost-saving health interventions in LMICs. To assess whether countries prioritised cost-saving interventions within their latest national health strategic plans, we identified 10 countries, all in sub-Saharan Africa, with the highest measures on the global burden of disease scale and reviewed their national health priority plans._x000D_
&lt;b&gt;Results&lt;/b&gt;: We identified 392 studies (63%) targeting LMICs that reported 3315 cost-per-DALY ratios, of which 207 ratios (6%) represented interventions reported to be cost saving. Over half (53%) of these targeted sub-Saharan Africa. For the 10 countries we investigated in sub-Saharan Africa, 58% (79/137) of cost-saving interventions correspond with priorities identified in country plans. Alignment ranged from 95% (21/22 prioritised cost-saving ratios) in South Africa to 17% (2/12 prioritised cost-saving ratios) in Cameroon. Human papillomavirus vaccination was a noted priority in 70% (7/10) of national health prioritisation plans, while 40% (4/10) of countries explicitly included prenatal serological screening for syphilis. HIV prevention and treatment were stated priorities in most country health plans, whereas 40% (2/5) of countries principally outlined efforts for lymphatic filariasis. From our sample of 45 unique interventions, 36% of interventions (16/45) included costs associated directly with the implementation of the intervention._x000D_
&lt;b&gt;Conclusion&lt;/b&gt;: Our findings indicate substantial variation across country and disease area in incorporating economic evidence into national health priority plans in a sample of sub-Saharan African countries. To make health economic data more salient, the authors of cost-effectiveness analyses must do more to reflect implementation costs and other factors that could limit healthcare delivery.</t>
  </si>
  <si>
    <t>J1813</t>
  </si>
  <si>
    <t>Routine Health Information System (RHIS) improvements for strengthened health system management</t>
  </si>
  <si>
    <t>- Background A well‐functioning routine health information system (RHIS) can provide the information needed for health system management, for governance, accountability, planning, policy making, surveillance and quality improvement, but poor information support has been identified as a major obstacle for improving health system management. Objectives To assess the effects of interventions to improve routine health information systems in terms of RHIS performance, and also, in terms of improved health system management performance, and improved patient and population health outcomes. Search methods We searched the Cochrane Central Register of Controlled Trials (CENTRAL) in the Cochrane Library, MEDLINE Ovid and Embase Ovid in May 2019. We searched Global Health, Ovid and PsycInfo in April 2016. In January 2020 we searched for grey literature in the Grey Literature Report and in OpenGrey, and for ongoing trials using the International Clinical Trials Registry Platform (ICTRP) and ClinicalTrials.gov. In October 2019 we also did a cited reference search using Web of Science, and a ‘similar articles’ search in PubMed. Selection criteria Randomised and non‐randomised trials, controlled before‐after studies and time‐series studies comparing routine health information system interventions, with controls, in primary, hospital or community health care settings. Participants included clinical staff and management, district management and community health workers using routine information systems. Data collection and analysis Two authors independently reviewed records to identify studies for inclusion, extracted data from the included studies and assessed the risk of bias. Interventions and outcomes were too varied across studies to allow for pooled risk analysis. We present a 'Summary of findings' table for each intervention comparisons broadly categorised into Technical and Organisational (or a combination), and report outcomes on data quality and service quality. We used the GRADE approach to assess the certainty of the evidence. Main results We included six studies: four cluster randomised trials and two controlled before‐after studies, from Africa and South America. Three studies evaluated technical interventions, one study evaluated an organisational intervention, and two studies evaluated a combination of technical and organisational interventions. Four studies reported on data quality and six studies reported on service quality. In terms of data quality, a web‐based electronic TB laboratory information system probably reduces the length of time to reporting of TB test results, and probably reduces the overall rate of recording errors of TB test results, compared to a paper‐based system (moderate certainty evidence). We are uncertain about the effect of the electronic laboratory information system on the recording rate of serious (misidentification) errors for TB test results compared to a paper‐based system (very low certainty evidence). Misidentification errors are inaccuracies in transferring test results between an electronic register and patients' clinical charts. We are also uncertain about the effect of the intervention on service quality (timeliness of starting or changing a patient's TB treatment) (very low certainty evidence). A hand‐held electronic device probably improves the length of time to report TB test results, and probably reduces the total frequency of recording errors in TB test results between the laboratory notebook and the electronic information record system, compared to a paper‐based system (moderate‐certainty evidence). We are, however, uncertain about the effect of the intervention on the frequency of serious (misidentification) errors in recording between the laboratory notebook and the electronic information record, compared to a paper‐based system (very low certainty evidence). We are uncertain about the effect of a hospital electronic health information system on service quality (length of time outpatients spend at hospital, length of hospital stay, a d hospital revenue collection), compared to a paper‐based system (very low certainty evidence). High‐intensity brief text messaging (SMS) may make little or no difference to data quality (in terms of completeness of documentation of pregnancy outcomes), compared to low‐intensity brief text messaging (low‐certainty evidence). We are uncertain about the effect of electronic drug stock notification (with either data management support or product transfer support) on service quality (in terms of transporting stock and stock levels), compared to paper‐based stock notification (very low certainty evidence). We are uncertain about the effect of health information strengthening (where it is part of comprehensive service quality improvement intervention) on service quality (health worker motivation, receipt of training by health workers, health information index scores, quality of clinical observation of children and adults) (very low certainty evidence). Authors' conclusions The review indicates mixed effects of mainly technical interventions to improve data quality, with gaps in evidence on interventions aimed at enhancing data‐informed health system management. There is a gap in interventions studying information support beyond clinical management, such as for human resources, finances, drug supply and governance. We need to have a better understanding of the causal mechanisms by which information support may affect change in management decision‐making, to inform robust intervention design and evaluation methods. Plain language summary Making improvements to routine health information systems to strengthen the management of health systems For health services and systems to function well, managers need a routine information system that produces reliable information about how well these services are working and that supports the use of this information to improve services. The aim of this Cochrane Review was to see if different ways of improving the routine information system could improve the quality and use of this information and the quality and use of health services. The review authors collected and analysed all relevant studies to answer this question and found six studies. Key messages Moving from paper‐based information systems to electronic and digital systems probably allows staff at healthcare facilities to collect some types of routine health information faster and with fewer mistakes. But there are many evidence gaps, and we still need to know more about the effect of different approaches on information quality and use and on the quality of healthcare services and the broader health system. What was studied in the review? Staff at healthcare facilities usually routinely collect information about the services they provide. This often includes information about their patients’ health and the type of treatments and tests they receive. Managers at different levels of the health system also collect information, for instance about human resources, finances, medicines and supply systems. Managers can then use this information to make decisions about how to organise and improve the services. This is referred to as a “routine health information system”. It is often a paper‐based system, but information can also be gathered through electronic systems. In many countries, these routine systems do not work well. This is often because the information is of poor quality or not that useful. Where good quality information is available, managers do not always use the information effectively to improve services. This may be because they have problems accessing the information, they lack the skills to use the information correctly, or they are not encouraged or supported in their use of the information. In this review, we looked at different ways of improving routine health information systems and the effect this has on the quality and use of the information and the quality of healthcare services and the broader health system. What are the main results of the review? The review authors found six relevant studies from countries in Africa and South America. Some of the studies assessed whether electronic systems were better than paper‐based systems. Some of the studies also looked at other ways of improving the system, for instance by using SMS mobile‐phone systems to help health workers and other staff notify central systems about supply levels, register patients, or monitor patients’ health. What effect do these types of systems have on the quality and use of the information that is collected and on health service and systems quality? ‐ When healthcare staff use electronic and digital information systems to document and communicate tuberculosis (TB) laboratory test results, compared to paper‐based systems, test results are probably reported faster and with fewer mistakes overall. But we do not know if these new systems lead to fewer serious mistakes (such as giving the wrong test results for a patient when moving information from the laboratory system to the clinic system), because the certainty of the evidence is very low. ‐ When community health workers are sent frequent text‐messages (SMS) motivating them to collect information about pregnancies, births and newborn deaths, this may make little or no difference to the quality of the information that is reported, compared to less frequent messages. We do not know what the effects of other approaches to system improvements are on information quality and use or on the quality of the services because evidence is lacking or of very low certainty. How up to date is this review? The review authors searched for studies that had been published up to May 2019.</t>
  </si>
  <si>
    <t>J1814</t>
  </si>
  <si>
    <t>Effect of Adding a Work-Focused Intervention to Integrated Care for Depression in the Veterans Health Administration: A Randomized Clinical Trial</t>
  </si>
  <si>
    <t>Importance: Thousands of working-age veterans with depression experience impaired occupational functioning. Objective(s): To test whether the Veterans Health Administration (VHA) integrated care (IC) program combined with telephonic work-focused counseling, known as Be Well at Work (BWAW), is superior to IC alone for improving occupational functioning and depression, to determine whether these effects persist 4 months later, and to determine whether the return on investment is positive. Design, Setting, and Participant(s): In this randomized clinical trial conducted from October 21, 2014, to December 6, 2019, patients undergoing IC at VHA facilities were screened for eligibility and randomized to IC alone or IC plus BWAW. Blinded interviewers administered questionnaires before the intervention, immediately after completion of the intervention at month 4, and at month 8. Eligibility criteria were individuals 18 years or older who were working at least 15 hours per week in a job they had occupied for at least 6 months, were experiencing work limitations, and had current major depressive disorder or persistent depressive disorder. Exclusion criteria were individuals who could not read or speak English, had planned maternity leave, or had a history of bipolar disorder or psychosis. Data analyses were conducted from January 1, 2018, to December 6, 2019. Intervention(s): Integrated care is multidisciplinary depression care involving screening, clinical informatics, measurement-based care, brief behavioral interventions, and referral as needed to specialty mental health care. Be Well at Work counseling involves 8 biweekly telephone sessions and 1 telephone booster visit after 4 months. Doctoral-level psychologists helped patients to identify barriers to functioning and to adopt new work-focused cognitive-behavioral and work-modification strategies. Main Outcomes and Measures: The primary outcome was the adjusted mean group difference in changes from before to after intervention (hereafter, adjusted effect) in the percentage of at-work productivity loss, measured with the Work Limitations Questionnaire (range, 0%-25%). The secondary outcome was adjusted effect in the Patient Health Questionnaire 9-item symptom severity score (range, 0-27, with 0 indicating no symptoms and 27, severe symptoms). Result(s): Of 670 veterans referred for participation, 287 veterans (42.8%) consented and completed eligibility screening, and 253 veterans (37.8%) were randomized. Among these 253 patients (mean [SD] age, 45.7 [11.6] years; 218 [86.2%] men; 135 [53.4%] white), 114 (45.1%) were randomized to IC and 139 (54.9%) were randomized to IC plus BWAW. At the 4-month follow-up, patients who received IC plus BWAW had greater reductions in at-work productivity loss (adjusted effect,-1.7; 95% CI,-3.1 to-0.4; P =.01) and depression symptom severity (adjusted effect,-2.1; 95% CI,-3.5 to-0.7; P =.003). The improvements from IC plus BWAW persisted 4 months after intervention (at-work productivity loss mean difference,-0.5; 95% CI,-1.9 to 0.9; P =.46; depression symptom severity mean difference, 0.6; 95% CI-0.9 to 2.1; P =.44). The cost per patient participating in BWAW was $690.98, and the return on investment was 160%. Conclusions and Relevance: These findings suggest that adding this work-focused intervention to IC improves veterans' occupational and psychiatric outcomes, reducing obstacles to having a productive civilian life. Trial Registration: ClinicalTrials.gov Identifier: NCT02111811. Copyright © 2020 American Medical Association. All rights reserved.</t>
  </si>
  <si>
    <t>J3597</t>
  </si>
  <si>
    <t>Cost-effectiveness and epidemiological impact of gender-neutral HPV vaccination in Spain</t>
  </si>
  <si>
    <t>All EU countries have introduced Human papilloma virus (HPV) vaccination for adolescent girls and many countries are expanding the strategy to include adolescent boys. There is uncertainty about the cost-effectiveness and epidemiological impact of a gender-neutral HPV vaccination strategy. Here we present the results of an economic model adapted for Spain. Five vaccination strategies were compared from the Spanish healthcare system perspective, combining two vaccines (4-valent and 9-valent) in a gender-neutral or girls-only programme in a dynamic population-based model with a discrete-time Markov approach. Costs and benefits were discounted at 3%. The benefits of immunization were measured with quality-adjusted life years (QALYs), which are achieved by reducing the incidence of diseases attributable to HPV. Incremental cost-effectiveness ratio (ICER) was compared with the willingness-to-pay threshold in Spain. The two most effective strategies were compared: gender-neutral 9-valent vaccination vs. girls-only 9-valent vaccination, resulting in an ICER of 34,040/QALY, and an important number of prevented cases of invasive cancers and anogenital warts. The sensitivity analysis revealed that gender-neutral 9-valent vaccination would become cost-effective if protection against oropharyngeal and penile cancers was included or if the price per dose decreased from 45 to 28. The gender-neutral 9-valent HPV vaccination in Spain offers more benefits than any other modeled strategy, although in the conservative base case it is not cost-effective. However, certain plausible assumptions would turn it into an efficient strategy, which should be borne in mind by the decision makers together with equity and justice arguments.</t>
  </si>
  <si>
    <t>J3598</t>
  </si>
  <si>
    <t>Incident and recurrent myocardial infarction (MI) in relation to comorbidities: Prediction of outcomes using machine-learning algorithms</t>
  </si>
  <si>
    <t>Background: To date, incident and recurrent MI remains a major health issue worldwide, and efforts to improve risk prediction in population health studies are needed. This may help the scalability of prevention strategies and management in terms of healthcare cost savings and improved quality of care. Method(s): We studied a large-scale population of 4.3 million US patients from different socio-economic and geographical areas from three health plans (Commercial, Medicare, Medicaid). Individuals had medical/pharmacy benefits for at least 30 months (2 years for comorbid history and followed up for 6 months or more for clinical outcomes). Machine-learning (ML) algorithms included supervised (logistic regression, neural network) and unsupervised (decision tree, gradient boosting) methodologies. Model discriminant validity, calibration and clinical utility were performed separately on allocated test sample (1/3 of original data). Result(s): In the absence of MI in comorbid history, the overall incidence rates were 0.442 cases/100 person-years and in the presence of MI history, 0.652. ML algorithms showed that supervised formulations had incrementally higher discriminant validity than unsupervised techniques (e.g., for incident MI outcome in the absence of MI in comorbid history: logistic regression LR" - c index 0.921, 95%CI 0.920-0.922; neural network "NN" - c index 0.914, 95%CI 0.913-0.915; gradient boosting "GB" - c index 0.902, 95%CI 0.900-0.904; decision tree "DT" - c index 0.500, 95%CI 0.495-0.505). Calibration and clinical utility showed good to excellent results. Conclusion(s): ML algorithms can substantially improve the prediction of incident and recurrent MI particularly in terms of the non-linear formulation. This approach may help with improved risk prediction, allowing implementation of cardiovascular prevention strategies across diversified sub-populations with different clusters of complexity. Copyright © 2022 Stichting European Society for Clinical Investigation Journal Foundation. Published by John Wiley &amp; Sons Ltd."</t>
  </si>
  <si>
    <t>J3600</t>
  </si>
  <si>
    <t>A Cost-Effectiveness Analysis of the Etonogestrel Implant in British Columbia, Canada</t>
  </si>
  <si>
    <t>Objectives: We aim to explore the cost-effectiveness of the etonogestrel implant compared to other contraceptive options to prevent unintended pregnancy (UIP) in British Columbia (BC). Method(s): A Markov analytic decision model was developed to determine the costs and outcomes of contraceptive care of the implant compared to other contraceptive options available in BC. A systematic literature review was performed to inform the model parameters including method-specific prevalence, continuation, discontinuation and failure rates. BC-specific costs were included. A hypothetical willingness-to-pay (WTP) threshold was calculated by using the weighted average of the costs associated with each pregnancy outcome in BC. Deterministic and probabilistic sensitivity analyses with a Monte Carlo simulation were conducted to evaluate the uncertainty in the model. The perspective of the Government of British Columbia as single-payer of the publicly funded health care system was employed. A cycle length of 12 months with a time horizon of 5 years were used. Result(s): Among 1000 biological females, the model estimated direct medical costs to be CAD $813 258 with 107 UIP by the implant. At a WTP threshold of 5362 CAD/UIP averted, the implant had a 70% probability of being cost-effective compared to the intrauterine device with progestogen, and a greater than 99% probability of being cost-effective compared to the copper intrauterine device, the medroxyprogesterone acetate injection and the combined hormonal contraceptive pill. Conclusion(s): The etonogestrel implant is the most cost-effective strategy to prevent unintended pregnancy in British Columbia and should be considered for inclusion in the provincial publicly funded PharmaCare Formulary. Keywords: economic evaluation; contraception; etonogestrel implant Copyright © 2022</t>
  </si>
  <si>
    <t>J3601</t>
  </si>
  <si>
    <t>Traditional Chinese herbal medicine in treating amenorrhea caused by antipsychotic drugs: Meta-analysis and systematic review</t>
  </si>
  <si>
    <t>Ethnopharmacological relevance: Amenorrhea caused by antipsychotic drugs is not uncommon in clinical practice, and various treatment strategies are used to treat the condition. Chinese herbal medicine has its own theory for amenorrhea caused by antipsychotic drugs and has developed its own medication methods. Aim of the study: To review and conduct meta-analysis of the use of traditional Chinese herbal medicine in treatment of amenorrhea caused by antipsychotic drugs. Material(s) and Method(s): A search was conducted across seven Chinese electronic databases (the China National Knowledge Infrastructure (CNKI) database, the China Science and Technology Journal Database, the Wanfang Database, the SinoMed, the Foreign Medical Literature Retrieval Service(FMRS), the Chinese University of Hong Kong Library, the Airiti Library), and the following English databases: MEDLINE, PreMEDLINE, OLD MEDLINEPublisher Supplied Citation in pubmed; JBI EBP Database, EBM Reviews, Embase, OVID Emcare, Ovid MEDLINE(R), Maternity &amp; Infant Care Database(MIDIRS), APA PsycInfo in OVID, and Cochrane Database of Systematic Reviews (Cochrane Reviews), Database of Abstracts of Reviews of Effects (Other Reviews), Cochrane Central Register of Controlled Trials (Clinical Trials),The Cochrane Methodology Register (Method Studies), Health Technology Assessment Database (Technology Assessments), NHS Economic Evaluation Database (Economic Evaluations) in Cochrane Library; and four databases (Science Direct, ProQuest, Web of Science, and Scopus) in official website using common standards and inclusion/exclusion criteria. The remaining reports were used for preliminary studies. Due to inconsistencies in control groups, randomized controlled trials and articles that combined with other drugs were also excluded. This study is a META analysis of a single rate. Result(s): Initial screening returned 912 potentially relevant publications in all databases. After subsequent filtering, a total of 18 articles were included in the analysis. The overall effectiveness for treatment amenorrhea caused by antipsychotic drugs using traditional Chinese herbal medicine was 0.91, with 95% confidence interval of 0.89-0.93. Notably in most studies, the time needed to achieve this level of effectiveness was relatively long, usually in excess of three months. Although a satisfactory verification of an improvement in menstrual cycling takes time, the long treatment duration is a downside. Our analysis revealed that the following Chinese herbal remedies were most common: Danggui (Angelica sinensis (Oliv.) Diels), Chuanxiong (Ligusticum striatum DC.), Taoren (Prunus persica (L.) Batsch), Honghua (Carthamus tinctorius L.), Gancao (Glycyrrhiza uralensis Fisch.), Fuling ((Fungus) Poria cocos (Schw.) Wolf), Baizhu (Atractylodes macrocephala Koidz.), Xiangfu (Cyperus rotundus L.), Chaihu (Bupleurum chinense DC.), Shudihuang (Rehmannia glutinosa (Gaertn.) DC.(Processed), Baishao (Cynanchum otophyllum C.K.Schneid.) Conclusion(s): Chinese herbal medicine can effectively treat amenorrhea caused by psychiatric drugs, although it takes a long time to achieve satisfactory effectiveness. More research is needed to better understand different aspects of Chinese herbal medicine use in treatment of this particular medical condition. Copyright © 2022</t>
  </si>
  <si>
    <t>J3602</t>
  </si>
  <si>
    <t>The Cost Effectiveness of Taxation of Sugary Foods and Beverages: A Systematic Review of Economic Evaluations</t>
  </si>
  <si>
    <t>J3603</t>
  </si>
  <si>
    <t>Topical pharmacologic interventions versus placebo for epidemic keratoconjunctivitis</t>
  </si>
  <si>
    <t>- Background Viruses cause about 80% of all cases of acute conjunctivitis. Human adenoviruses are believed to account for 65% to 90% of cases of viral conjunctivitis, or 20% to 75% of all causes of infectious keratoconjunctivitis worldwide. Epidemic keratoconjunctivitis (EKC) is a highly contagious subset of adenoviral conjunctivitis that has been associated with large outbreaks at military installations and at medical facilities. It is accompanied by severe conjunctival inflammation, watery discharge, and light sensitivity, and can lead to chronic complications such as corneal and conjunctival scarring with discomfort and poor quality of vision. Due to a lack of consensus on the efficacy of any pharmacotherapy to alter the clinical course of EKC, no standard of care exists, therefore many clinicians offer only supportive care. Objectives To assess the efficacy and safety of topical pharmacological therapies versus placebo, an active control, or no treatment for adults with EKC. Search methods We searched the Cochrane Central Register of Controlled Trials (CENTRAL, which contains the Cochrane Eyes and Vision Trials Register; 2021, Issue 4); Ovid MEDLINE; Ovid Embase; Latin American and Caribbean Health Sciences database (LILACS); ClinicalTrials.gov; and the World Health Organization (WHO) International Clinical Trials Registry Platform (ICTRP), with no restrictions on language or year of publication. The date of the last search was 27 April 2021. Selection criteria We included randomized controlled trials in which antiseptic agents, virustatic agents, or topical immune‐modulating therapy was compared with placebo, an active control, or no treatment. Data collection and analysis We used standard Cochrane methodology. Main results We identified 10 studies conducted in Asia, Europe, the Middle East, and North Africa with a total of 892 participants who were treated for 7 days to 6 months and followed for 7 days up to 1.5 years. Study characteristics and risk of bias In most studies participants were predominantly men (range: 44% to 90%), with an age range from 9 to 82 years. Three studies reported information on trial registration, but we found no published study protocol. The majority of trials had small sample sizes, ranging from 18 to 90 participants enrolled per study; the only exception was a trial that enrolled 350 participants. We judged most studies to be at high or unclear risk of bias across risk of bias domains. Findings We included 10 studies of 892 EKC participants and estimated combined intervention effects in analyses stratified by steroid‐containing control treatment or artificial tears. Six trials contributed to the comparisons of topical interventions (povidone‐iodine [PVP‐I], trifluridine, ganciclovir, dexamethasone plus neomycin) with artificial tears (or saline). Very low certainty evidence from two trials comparing trifluridine or ganciclovir with artificial tears showed inconsistent effects on shortening the mean duration of cardinal symptoms or signs of EKC. Low certainty evidence based on two studies (409 participants) indicated that participants treated with PVP‐I alone more often experienced resolution of symptoms (risk ratio (RR) 1.15, 95% confidence interval (CI) 1.07 to 1.24) and signs (RR 3.19, 95% CI 2.29 to 4.45) during the first week of treatment compared with those treated with artificial tears. Very low certainty evidence from two studies (77 participants) suggested that PVP‐I or ganciclovir prevented the development of subepithelial infiltrates (SEI) when compared with artificial tears within 30 days of treatment (RR 0.24, 95% CI 0.10 to 0.56). Four studies compared topical interventions (tacrolimus, cyclosporin A [CsA], trifluridine, PVP‐I + dexamethasone) with topical steroids, and one trial compared fluorometholone (FML) plus polyvinyl alcohol iodine (PVA‐I) with FML plus levofloxacin. Evidence from one trial showed that more eyes receiving PVP‐I 1.0% plus dexamethasone 0.1% had symptoms resolved by day seven compared with those receiving dexamethason alone (RR 9.00, 95% CI 1.23 to 66.05; 52 eyes). In two trials, fewer eyes treated with PVP‐I or PVA‐I plus steroid developed SEI within 15 days of treatment compared with steroid alone or steroid plus levofloxacin (RR 0.08, 95% CI 0.01 to 0.55; 69 eyes). One study found that CsA was no more effective than steroid for resolving SEI within four weeks of treatment (RR 0.84, 95% CI 0.67 to 1.06; N = 88). The evidence from trials comparing topical interventions with steroids was overall of very low level certainty. Adverse effects Antiviral or antimicrobial agents plus steroid did not differ from artificial tears in terms of ocular discomfort upon instillation (RR 9.23, 95% CI 0.61 to 140.67; N = 19). CsA and tacrolimus eye drops were associated with more cases of severe ocular discomfort, and sometimes intolerance, when compared with steroids (RR 4.64, 95% CI 1.15 to 18.71; 2 studies; N = 141). Compared with steroids, tacrolimus did not increase the risk of elevated intraocular pressure (RR 0.07, 95% CI 0 to 1.13; 1 study; N = 80), while trifluridine conferred no additional risk compared to tear substitute (RR 5.50, 95% CI 0.31 to 96.49; 1 study; N = 97). Overall, bacterial superinfection was rare (one in 23 CsA users) and not associated with use of the intervention steroid (RR 3.63, 95% CI 0.15 to 84.98; N = 51). The evidence for all estimates was of low or very low certainty. Authors' conclusions The evidence for the seven specified outcomes was of low or very low certainty due to imprecision and high risk of bias. The evidence that antiviral agents shorten the duration of symptoms or signs when compared with artificial tears was inconclusive. Low certainty evidence suggests that PVP‐I alone resolves signs and symptoms by seven days relative to artificial tears. PVP‐I or PVA‐I, alone or with steroid, is associated with lower risks of SEI development than artificial tears or steroid (very low certainty evidence). The currently available evidence is insufficient to determine whether any of the evaluated interventions confers an advantage over steroids or artificial tears with respect to virus eradication or its spread to initially uninvolved fellow eyes. Future updates of this review should provide evidence of high‐level certainty from trials with larger sample sizes, enrollment of participants with similar durations of signs and symptoms, and validated methods to assess short‐ and long‐term outcomes. Plain language summary What are the benefits and risks of topical medications for treating epidemic keratoconjunctivitis? What is epidemic keratoconjunctivitis?  Epidemic keratoconjunctivitis is inflammation of conjunctiva, the membrane covering the sclera (white outer coating of the eye) and inside of the eyelids, usually caused by specific strains of a group of common viruses known as adenoviruses. The infection can spread easily within households, healthcare settings, and the community. In some individuals, the inflammation leads to scarring of the cornea ('infiltrates') and conjunctiva, which causes persistent discomfort and poor vision. How is it treated?  Treatment is usually supportive with cool compresses, artificial tears, and sometimes steroids. What did we want to find out?  We wanted to know whether any existing topical medication can relieve symptoms or signs and prevent complications, and if these medications were well‐tolerated. What we did  We reviewed randomized controlled trials (a type of study where participants are randomly assigned to one of two or more treatment groups) of children and adults with epidemic keratoconjunctivitis. We summarized the results of these studies and rated our confidence in the evidence according to study sizes and methods. What we found  We found 10 studies that involved 892 people with epidemic keratoconjunctivitis (9 to 82 years old); studies lasted from 7 days to 18 months. When compared with artificial tears, antiviral agents appeared to shorten the duration of symptoms or signs. Povidone‐iodine alone led to more disease recovery within the fir t seven days of treatment. We found no evidence that any treatment prevented corneal scars more often than artificial tears. The immunosuppressant cyclosporin A was no more effective than steroids in treating corneal scars. Cyclosporin A and tacrolimus eye drops often caused eye discomfort but did not increase people's intraocular pressure as compared to steroids. What are the limitations of the evidence?  Nearly all of the included studies had flawed study methods and were reported poorly. These weaknesses raised our concerns about the study findings and reduced our confidence in the overall evidence summarized in the review. How up‐to‐date is the evidence?  The evidence is current to April 2021.</t>
  </si>
  <si>
    <t>J3604</t>
  </si>
  <si>
    <t>Topical corticosteroids for dry eye</t>
  </si>
  <si>
    <t>- Background Dry eye disease (DED), arising from various etiologic factors, leads to tear film instability, ocular surface damage, and neurosensory changes. DED causes symptoms such as ocular dryness, burning, itching, pain, and visual impairment. Given their well‐established anti‐inflammatory effects, topical steroid preparations have been widely used as a short‐term treatment option for DED. Because of potential risks of ocular hypertension, cataracts, and infections associated with the long‐term use of topical steroids, published trials comparing the efficacy and safety of topical steroids (versus placebo) have mostly been of short duration (three to eight weeks). Objectives To evaluate the effectiveness and safety of topical corticosteroids compared with no treatment, placebo, other steroidal or non‐steroidal therapies, or a combination of therapies for DED. Search methods We searched the Cochrane Central Register of Controlled Trials (CENTRAL, which contains the Cochrane Eyes and Vision Trials Register; 2021, Issue 8); Ovid MEDLINE; Ovid Embase; Latin American and Caribbean Health Sciences database (LILACS); ClinicalTrials.gov; and the World Health Organization (WHO) International Clinical Trials Registry Platform (ICTRP), without restriction on language or year of publication. The date of the last search was 20 August 2021. Selection criteria We included randomized controlled trials (RCTs) in which topical corticosteroids, alone or in combination with tobramycin, were compared with no treatment, artificial tears (AT), vehicles, AT plus tobramycin, or cyclosporine A (CsA). Data collection and analysis We applied standard Cochrane methodology. Main results We identified 22 RCTs conducted in the USA, Italy, Spain, China, South Korea, and India. These RCTs reported outcome data from a total of 4169 participants with DED. Study characteristics and risk of bias All trials recruited adults aged 18 years or older, except one trial that enrolled children and adolescents aged between 3 and 14 years. Half of these trials involved predominantly female participants (median 79%, interquartile range [IQR] 76% to 80%). On average, each trial enrolled 86 participants (IQR 40 to 158). The treatment duration of topical steroids ranged between one week and three months; trial duration lasted between one week and six months. Eight trials were sponsored exclusively by industry, and four trials were co‐sponsored by industry and institutional or governmental funds. We assessed the risk of bias of both subjective and objective outcomes using RoB 2, finding nearly half of the trials to be at high risk of bias associated with selective outcome reporting. Findings Of the 22 trials, 16 evaluated effects of topical steroids, alone or in combination with tobramycin, as compared with lubricants (AT, vehicle), AT plus tobramycin, or no treatment. Corticosteroids probably have a small to moderate effect on improving patient‐reported symptoms by 0.29 standardized mean difference (SMD) (95% confidence interval [CI] 0.16 to 0.42) as compared with lubricants (moderate certainty evidence). Topical steroids also likely have a small to moderate effect on lowering corneal staining scores by 0.4 SMDs (95% CI 0.18 to 0.62) (moderate certainty evidence). However, steroids may increase tear film break‐up time (TBUT) slightly (mean difference [MD] 0.70 s, 95% CI 0.06 to 1.34; low certainty evidence) but not tear osmolarity (MD 1.60 mOsm/kg, 95% CI −10.47 to 13.67; very low certainty evidence). Six trials examined topical steroids, either alone or in combination with CsA, against CsA alone. Low certainty evidence indicates that steroid‐based interventions may have a small to moderate effect on improving participants' symptoms (SMD −0.33, 95% CI −0.51 to −0.15), but little to no effect on corneal staining scores (SMD 0.05, 95% CI −0.25 to 0.35) as compared with CsA. The effect of topical steroids compared to CsA alone on TBUT (MD 0.37 s, 95% CI −0.13 to 0.87) or tear osmolarity (MD 5.80 mOsm/kg, 95% CI −0.94 to 12 54; loteprednol etabonate alone) is uncertain because the certainty of the evidence is low or very low. None of the included trials reported on quality of life scores. Adverse effects The evidence for adverse ocular effects of topical corticosteroids is very uncertain. Topical corticosteroids may increase participants' risk of intraocular pressure (IOP) elevation (risk ratio [RR] 5.96, 95% CI 1.30 to 27.38) as compared with lubricants. However, when compared with CsA, steroids alone or combined with CsA may decrease or increase IOP elevation (RR 1.45, 95% CI 0.25 to 8.33). It is also uncertain whether topical steroids may increase risk of cataract formation when compared with lubricants (RR 0.34, 95% CI 0.01 to 8.22), given the short‐term use and study duration (four weeks or less) to observe longer‐term adverse effects. Authors' conclusions Overall, the evidence for the specified review outcomes was of moderate to very low certainty, mostly due to high risk of bias associated with selective results reporting. For dry eye patients whose symptoms require anti‐inflammatory control, topical corticosteroids probably provide small to moderate degrees of symptom relief beyond lubricants, and may provide small to moderate degrees of symptom relief beyond CsA. However, the current evidence is less certain about the effects of steroids on improved tear film quality or quantity. The available evidence is also very uncertain regarding the adverse effects of topical corticosteroids on IOP elevation or cataract formation or progression. Future trials should generate high certainty evidence to inform physicians and patients of the optimal treatment strategies with topical corticosteroids in terms of regimen (types, formulations, dosages), duration, and its time‐dependent adverse profile. Plain language summary What are the benefits and harms of topical corticosteroids for treating dry eye? What is dry eye? Dry eye is a common condition that occurs when a person's tears cannot lubricate their eyes sufficiently. Tears can be inadequate and unstable for many reasons. For example, dry eye may occur when tear production is reduced or when the tear quality is poor. This tear instability leads to inflammation and damage of the eye's surface. Dry eye is uncomfortable. People with dry eye often feel stinging or burning and sometimes experience blurred vision. How is it treated? Many treatment options are available for dry eye. For dry eye caused by the relative lack of the water layer in tears, treatments may include artificial tears, tear stimulants, serum eye drops, and punctal plugs. For dry eye caused by the blocked secretion of the lipid layer in tears, treatment options may include topical antibiotics, warm compresses, and anti‐inflammatory agents, such as corticosteroids and cyclosporine A. Corticosteroids eye drops aim to reduce the inflammatory process and provide symptom relief with short‐term use. High eye pressure and cataract formation are common concerns with longer‐term use of corticosteroids. What did we want to find out? We evaluated whether corticosteroids eye drops, alone or in combination with other medications, can improve dry eye symptoms or test results used to diagnose or monitor dry eye. We also examined whether corticosteroids eye drops cause any unwanted effects on the eyes. What we did We conducted a systematic review. We searched for studies that compared corticosteroids eye drops with lubricating controls, other active treatment, or no treatment. We summarized these study findings and rated the evidence based on numbers of study participants and methods used in the studies. What we found We identified 22 clinical trials that enrolled a total of 4169 participants with dry eye. Most trials involved adults with a mean age between 50 and 67 years, except for one trial that exclusively involved children aged 3 to 14 years. Treatment duration ranged between 7 days and 3 months. When compared with lubricants, such as artificial tears, or with cyclosporine A, corticosteroids eye drops were probably effectiv in improving patient‐reported symptoms and clinical tests, such as corneal staining. Clinicians may use corneal staining as a test for cornea damage. However, corticosteroids eye drops may result in little to no difference in tear quality or quantity. At the same time, it is uncertain whether steroid use may increase or decrease the chance of increased eye pressure, new cataract formation, or worsening of an existing cataract. What are the limitations of the evidence? More than half of the included trials had flawed study methods or did not report their results fully. These deficiencies led to concerns about the study findings and decreased our confidence in the evidence generated in this systematic review. How up‐to‐date is this evidence? The evidence is up‐to‐date as of August 2021.</t>
  </si>
  <si>
    <t>Interventions for the eradication of meticillin‐resistant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</si>
  <si>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low‐certainty evidence). However, by day 168 of follow‐up, there was no difference between groups in the proportion of participants who remained MRSA‐negative (OR 1.17, 95% CI 0.31 to 4.42; low‐certainty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low‐certainty evidence) or the change from baseline in lung function or weight (both very low‐certainty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low‐certainty evidence). No differences between groups were seen in lung function or adverse effects (low‐certainty evidence), in quality of life (very low‐certainty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MRSA‐negative respiratory cultures at day 28. However, follow‐up at three or six months showed no difference between treatment and control in the proportion of participants remaining MRSA‐negative. Moreover, the longer‐term clinical consequences – in terms of lung function, mortality and cost of care – remain unclear. Using GRADE methodology, we judged the certainty of the evidence provided by this review to be very low to low, due to potential biases from the open‐label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meticillin‐resistant Staphylococcus aureus (MRSA) from the lungs of people with cystic fibrosis Review question We looked for evidence for the effects of different ways of clearing meticillin‐resistant Staphylococcus aureus (MRSA), a so‐called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</si>
  <si>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 2022 Logan et al.</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</si>
  <si>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 2022</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</si>
  <si>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CVC‐related bloodstream infections and CVC‐related colonisation, mortality, haemorrhage, heparin‐induced thrombocytopaenia, CVC‐related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meta‐analysis were available from all RCTs. We noted differences in methods used by the included studies and variation in heparin concentrations (10 to 5000 IU/mL), time to follow‐up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‐0.10 to 0.99; 6 studies; 1788 participants; low‐certainty evidence). Secondary outcomes We found no clear evidence of a difference in the following outcomes: CVC‐related bloodstream infections (RR 0.66, 95% CI 0.08 to 5.80; 3 studies; 1127 participants; very low‐certainty evidence); mortality (RR 0.76, 95% CI 0.44 to 1.31; 3 studies; 1100 participants; very low‐certainty evidence); haemorrhage (RR 1.54, 95% CI 0.41 to 5.74; 3 studies; 1197 participants; very low‐certainty evidence); or heparin‐induced thrombocytopaenia (RR 0.21, 95% CI 0.01 to 4.27; 3 studies; 443 participants; very low‐certainty evidence). The main reasons for downgrading the certainty of evidence for the primary and secondary outcomes were unclear allocation concealment, suspicion of publication bias, imprecision and inconsistency. Authors' conclusions Given the low‐certainty evidence, we are uncertain whether intermittent locking with heparin results in fewer central venous catheter occlusions than intermittent locking with normal saline in adults. Low‐certainty evidence suggests that heparin may have little or no effect on catheter patency duration. Although we found no evidence of differences in safety (CVC‐related bloodstream infections, mortality, or haemorrha e), the combined studies were not powered to detect rare adverse events such as heparin‐induced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well‐designed, large‐scale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</si>
  <si>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Introduction The number of people experiencing homelessness (PEH) is increasing worldwide. Systematic reviews show high levels of multimorbidity and mortality. Integrated health and social care outreach interventions may improve outcomes. No previous studies have targeted PEH with recent drug overdose despite high levels of drug-related deaths and few data describe their health/social care problems. Feasibility work suggests a collaborative health and social care intervention (Pharmacist and Homeless Outreach Engagement and Non-medical Independent prescribing Rx, PHOENIx) is potentially beneficial. We describe the methods of a pilot randomised controlled trial (RCT) with parallel process and economic evaluation of PEH with recent overdose. Methods and analysis Detailed health and social care information will be collected before randomisation to care-As-usual plus visits from a pharmacist and a homeless outreach worker (PHOENIx) for 6-9 months or to care-As-usual. The outcomes are the rates of presentations to emergency department for overdose or other causes and whether to progress to a definitive RCT: recruitment of &gt;=100 participants within 4 months, &gt;=60% of patients remaining in the study at 6 and 9 months, &gt;=60% of patients receiving the intervention, and &gt;=80% of patients with data collected. The secondary outcomes include health-related quality of life, hospitalisations, treatment uptake and patient-reported measures. Semistructured interviews will explore the future implementation of PHOENIx, the reasons for overdose and protective factors. We will assess the feasibility of conducting a cost-effectiveness analysis. Ethics and dissemination The study was approved by South East Scotland National Health Service Research Ethics Committee 01. Results will be made available to PEH, the study funders and other researchers. Trial registration number ISRCTN10585019. Copyright © Author(s) (or their employer(s)) 2022.</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</si>
  <si>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 2022 Lynch and Jones.</t>
  </si>
  <si>
    <t>Background: Obesity increases the risk of type 2 diabetes, heart disease, stroke, mobility problems and some cancers, and its prevalence is rising. Men engage less than women in existing weight loss interventions. Game of Stones builds on a successful feasibility study and aims to find out if automated text messages with or without endowment incentives are effective and cost-effective for weight loss at 12 months compared to a waiting list comparator arm in men with obesity. Method(s): A 3-arm, parallel group, assessor-blind superiority randomised controlled trial with process evaluation will recruit 585 adult men with body mass index of 30 kg/m&lt;sup&gt;2&lt;/sup&gt; or more living in and around three UK centres (Belfast, Bristol, Glasgow), purposively targeting disadvantaged areas. Intervention groups: (i) automated, theory-informed text messages daily for 12 months plus endowment incentives linked to verified weight loss targets at 3, 6 and 12 months; (ii) the same text messages and weight loss assessment protocol; (iii) comparator group: 12 month waiting list, then text messages for 3 months. The primary outcome is percentage weight change at 12 months from baseline. Secondary outcomes at 12 months are as follows: quality of life, wellbeing, mental health, weight stigma, behaviours, satisfaction and confidence. Follow-up includes weight at 24 months. A health economic evaluation will measure cost-effectiveness over the trial and over modelled lifetime: including health service resource-use and quality-adjusted life years. The cost-utility analysis will report incremental cost per quality-adjusted life years gained. Participant and service provider perspectives will be explored via telephone interviews, and exploratory mixed methods process evaluation analyses will focus on mental health, multiple long-term conditions, health inequalities and implementation strategies. Discussion(s): The trial will report whether text messages (with and without cash incentives) can help men to lose weight over 1 year and maintain this for another year compared to a comparator group; the costs and benefits to the health service; and men's experiences of the interventions. Process analyses with public involvement and service commissioner input will ensure that this open-source digital self-care intervention could be sustainable and scalable by a range of NHS or public services. Trial registration: ISRCTN 91974895. Registered on 14/04/2021. Copyright © 2022, The Author(s).</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</si>
  <si>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 2022 Machleid et al. This is an open access article distributed under the terms of the Creative Commons Attribution License, which permits unrestricted use, distribution, and reproduction in any medium, provided the original author and source are credited.</t>
  </si>
  <si>
    <t>J3617</t>
  </si>
  <si>
    <t>Critical Factors and Economic Methods for Regulatory Impact Assessment in the Medical Device Industry</t>
  </si>
  <si>
    <t>Introduction: The regulatory area is one that restricts human behaviour and opportunities, but it also allows the prevention of loss of property, health, or even life in various fields. Regulations provide the market with public confidence, which is extremely important in the field of innovative medical devices. The aim of this article is to analyse critical factors and economic methods for regulatory impact assessment in the medical device industry, to focus on the finances, processes, or innovation activity of organisations operating in the medical device sector. Method(s): The paper consists of a scoping review according to the PRISMA methodology of the available literature in Web of Science and Scopus database, whereby combing the keywords regulation" AND "innovation" AND "medical device" AND "economic impact," we obtained a set of 156 results in the form of English-written articles. The output was then limited to the period between 2011 and 2020. Finally, 23 papers were used based on the exclusion and inclusion criteria. Result(s): The resulting challenges of the identified problems in particular are the amount of high-quality data available at an appropriate cost and the availability of a flexible notified body. There are also challenges specific to the situation, such as demands on the safety of medical devices for children. From a public expectations point of view, there is a continuing need to maintain the urgency of the balance between available innovation and safety. Discussion(s): As for the methods of economic assessment in general, or methods for assessing the economic impact of regulations in particular, cost-effectiveness analysis is the most commonly used method for research and development, while internal rate of return is frequently used for the producers, and budget impact analysis is typically used for healthcare service providers. A non-financial indicator that is often discussed is the time demands associated with meeting compliance requirements. The time-to-market indicator is also often mentioned. Economic and financial topics are not discussed in depth, as the reviewed articles simply mention the generally high costs attendant on complying with regulations and obtaining certificates. Copyright © 2022 Maci and Maresova."</t>
  </si>
  <si>
    <t>Pn for Pn': Parenteral Nutrition for Preterm Neonates: Perspectives of a District General Hospital in Implementation of Nice Guidelines - a Quality Improvement Project</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</si>
  <si>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 2022 by the authors.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</si>
  <si>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 2022 Malcolm et al. This is an open access article distributed under the terms of the Creative Commons Attribution License, which permits unrestricted use, distribution, and reproduction in any medium, provided the original author and source are credited.</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</si>
  <si>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 2022 The Authors. Published by Elsevier Ltd.. All rights reserved.</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</si>
  <si>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 2021, The Author(s).</t>
  </si>
  <si>
    <t>J3631</t>
  </si>
  <si>
    <t>Cost effectiveness and budget impact of universal varicella vaccination in Russia</t>
  </si>
  <si>
    <t>This economic evaluation assesses the cost-effectiveness and budget impact of introducing a two-dose varicella vaccine in the Russian national immunization program. A static Markov model followed a simulated 2019 Russian cohort over its lifetime and compared outcomes and costs of three varicella vaccination strategies: strategy I (doses given at 12 and 15 months of age), strategy II (doses given at 1 year and 6 years of age), and a no vaccination scenario. Inputs on age-dependent clinical pathways, associated costs, and related health outcomes were collected from national sources and published literature. Results are presented as incremental cost-effectiveness ratio (ICER) from the healthcare payer and societal perspective over the lifetime of the birth cohort and the budget impact over a 10 years' time horizon. Vaccination strategies I and II resulted in an ICER of approximately 1.7 million rubles per quality-adjusted life years gained from the healthcare payer perspective and were cost-saving from the societal perspective. From the healthcare payer perspective, the costs per varicella case averted were 5,989 and 7,140 rubles per case for strategies I and II, respectively. However, from the societal perspective, vaccination is a dominant strategy and the budget impact analysis shows significant healthcare savings over 10 years, with strategy I realizing savings of ~2 billion rubles more than strategy II. From a public health impact perspective, varicella vaccination of children at 12 and 15 months of age through the Russian NIP is expected to be cost-effective with an affordable budget impact compared to no vaccination.</t>
  </si>
  <si>
    <t>Background and purpose: Oropharyngeal dysphagia (OD) affects 40-81% of patients after stroke. A recent systematic review on the costs of OD and its main complications showed higher acute and long-term costs for those patients who developed OD, malnutrition and pneumonia after stroke. These results suggest that appropriate management of post-stroke OD could reduce clinical complications and costs. The purpose of this systematic review is to assess the available literature for healthcare interventions that are efficient or cost-effective in the management of OD. Method(s): A systematic review on economic evaluations of health care interventions will be performed on post-stroke patients with OD following PRISMA recommendations. Four bibliographic databases will be searched and a subsequent reference check will be done. English and Spanish literature will be included without date restrictions. Studies will be included if they refer to economic evaluations or in which cost savings were reported in post-stroke patients suffering OD. Studies will be excluded if they are partial economic evaluation studies, if they refer to esophageal dysphagia, or if OD is caused by causes different from stroke. Evidence will be presented and synthetised with a narrative method and using tables. Quality evaluation will be done using the Consolidated Health Economic Evaluation Reporting Standards (CHEERS) statement. Discussion(s): The protocol for this systematic review is the first step to assess the cost-effectiveness of the healthcare interventions that have been described as potential treatments for post-stroke OD. This systematic review will summarise the current evidence on the relation between cost and benefits associated with the appropriate management of OD in post-stroke patients. Trial registration: PROSPERO CRD42020136245 Copyright © 2022, The Author(s).</t>
  </si>
  <si>
    <t>J3634</t>
  </si>
  <si>
    <t>Interventions for treating supracondylar elbow fractures in children</t>
  </si>
  <si>
    <t>- Background Elbow supracondylar fractures are common, with treatment decisions based on fracture displacement. However, there remains controversy regarding the best treatments for this injury. Objectives To assess the effects (benefits and harms) of interventions for treating supracondylar elbow fractures in children. Search methods We searched CENTRAL, MEDLINE, and Embase in March 2021. We also searched trial registers and reference lists. We applied no language or publication restrictions. Selection criteria We included randomised and quasi‐randomised controlled trials comparing different interventions for the treatment of supracondylar elbow fractures in children. We included studies investigating surgical interventions (different fixation techniques and different reduction techniques), surgical versus non‐surgical treatment, traction types, methods of non‐surgical intervention, and timing and location of treatment. Data collection and analysis We used standard methodological procedures expected by Cochrane. We collected data and conducted GRADE assessment for five critical outcomes: functional outcomes, treatment failure (requiring re‐intervention), nerve injury, major complications (pin site infection in most studies), and cosmetic deformity (cubitus varus). Main results We included 52 trials with 3594 children who had supracondylar elbow fractures; most were Gartland 2 and 3 fractures. The mean ages of children ranged from 4.9 to 8.4 years and the majority of participants were boys. Most studies (33) were conducted in countries in South‐East Asia. We identified 12 different comparisons of interventions: retrograde lateral wires versus retrograde crossed wires; lateral crossed (Dorgan) wires versus retrograde crossed wires; retrograde lateral wires versus lateral crossed (Dorgan) wires; retrograde crossed wires versus posterior intrafocal wires; retrograde lateral wires in a parallel versus divergent configuration; retrograde crossed wires using a mini‐open technique or inserted percutaneously; buried versus non‐buried wires; external versus internal fixation; open versus closed reduction; surgical fixation versus non‐surgical immobilisation; skeletal versus skin traction; and collar and cuff versus backslab. We report here the findings of four comparisons that represent the most substantial body of evidence for the most clinically relevant comparisons. All studies in these four comparisons had unclear risks of bias in at least one domain. We downgraded the certainty of all outcomes for serious risks of bias, for imprecision when evidence was derived from a small sample size or had a wide confidence interval (CI) that included the possibility of benefits or harms for both treatments, and when we detected the possibility of publication bias. Retrograde lateral wires versus retrograde crossed wires (29 studies, 2068 children) There was low‐certainty evidence of less nerve injury with retrograde lateral wires (RR 0.65, 95% CI 0.46 to 0.90; 28 studies, 1653 children). In a post hoc subgroup analysis, we noted a greater difference in the number of children with nerve injuries when lateral wires were compared to crossed wires inserted with a percutaneous medial wire technique (RR 0.41, 95% CI 0.20 to 0.81, favours lateral wires; 10 studies, 552 children), but little difference when an open technique was used (RR 0.91, 95% CI 0.59 to 1.40, favours lateral wires; 11 studies, 656 children). Although we noted a statistically significant difference between these subgroups from the interaction test (P = 0.05), we could not rule out the possibility that other factors could account for this difference. We found little or no difference between the interventions in major complications, which were described as pin site infections in all studies (RR 1.08, 95% CI 0.65 to 1.79; 19 studies, 1126 children; low‐certainty evidence). For functional status (1 study, 35 children), treatment failure requiring re‐intervention (1 study, 60 children), and cosmetic deformity (2 studies, 95 children), ther was very low‐certainty evidence showing no evidence of a difference between interventions. Open reduction versus closed reduction (4 studies, 295 children) Type of reduction method may make little or no difference to nerve injuries (RR 0.30, 95% CI 0.09 to 1.01, favours open reduction; 3 studies, 163 children). However, there may be fewer major complications (pin site infections) when closed reduction is used (RR 4.15, 95% CI 1.07 to 16.20; 4 studies, 253 children). The certainty of the evidence for these outcomes is low. No studies reported functional outcome, treatment failure requiring re‐intervention, or cosmetic deformity. The four studies in this comparison used direct visualisation during surgery. One additional study used a joystick technique for reduction, and we did not combine data from this study in analyses. Surgical fixation using wires versus non‐surgical immobilisation using a cast (3 studies, 140 children) There was very low‐certainty evidence showing little or no difference between interventions for treatment failure requiring re‐intervention (1 study, 60 children), nerve injury (3 studies, 140 children), major complications (3 studies, 126 children), and cosmetic deformity (2 studies, 80 children). No studies reported functional outcome. Backslab versus sling (1 study, 50 children) No nerve injuries or major complications were experienced by children in either group; this evidence is of very low certainty. Functional outcome, treatment failure, and cosmetic deformity were not reported. Authors' conclusions We found insufficient evidence for many treatments of supracondylar fractures. Fixation of displaced supracondylar fractures with retrograde lateral wires compared with crossed wires provided the most substantial body of evidence in this review, and our findings indicate that there may be a lower risk of nerve injury with retrograde lateral wires. In future trials of treatments, we would encourage the adoption of a core outcome set, which includes patient‐reported measures. Evaluation of the effectiveness of traction compared with surgical fixation would provide a valuable addition to this clinical field. Plain language summary What are the benefits and risks of different treatments for elbow fractures in children? Key messages ‐ A child with a supracondylar elbow fracture (a broken bone in the upper elbow, approximately 5 cm above the elbow joint) may have a lower risk of nerve injury if two or more wires are inserted from the outside of the elbow rather than having one wire inserted from the inside of the elbow and one from the outside (crossed wires). The method used by the doctor to manually move the bones back into position may not increase or reduce the risk of nerve injury, but using a closed method may reduce the risk of an infection. ‐ Because we did not find enough studies about other treatments for these elbow fractures, their benefits and risks are unclear. ‐ More, well‐designed studies are needed to give better estimates of the benefits and harms of other treatments. These studies should focus on outcomes related to elbow movement, as well as quality of life and how upset the child is. What are supracondylar elbow fractures? This type of broken bone is in the upper arm bone, approximately 5 cm above the elbow joint. It is the most common broken bone in the elbow during childhood, and can affect a child's day‐to‐day function as well as their ability to play and do sport. How are these broken bones treated? Treatment varies according to whether the bone has moved out of position. If it has moved, the doctor may manually move it back into a normal position. Doctors do this using a 'closed reduction' (without opening up the skin) or 'open reduction' (after the skin has been opened up). During surgery, metal wires are used to hold the bone in place whilst it heals. Doctors may use different types and numbers of wires, which are inserted from different angles. If the bone has not moved, surgery may not be necessary. In which case, treatments to hold the bone in p ace whilst it heals include using a plaster cast, a sling, or using traction (with weights, ropes and pulleys). What did we want to find out? We wanted to find out: ‐ which types of treatments work best to heal the bone effectively; and ‐ whether these treatments are associated with any unwanted effects. What did we do? We searched for studies that compared a range of treatments. The most common treatments were: ‐ surgical treatments using different types of metal wires after the bone has been put back into position; ‐ open reduction or closed reduction; ‐ surgery or non‐surgical treatments; and ‐ different non‐surgical treatments. We compared and summarised their results, and rated our confidence in the evidence, based on factors such as study methods and sizes. What did we find? We found 52 studies with 3594 children. Most children were about 5 to 8 years of age and most were boys. The studies were conducted in countries around the world; 33 studies were conducted in countries in South‐East Asia. Very few studies reported how they were funded. Main results ‐ Wires inserted only from the outside of the elbow may reduce the risk of nerve injury compared with crossed wires (inserted from the outside and also from the inside of the elbow). However, there is probably little or no difference between these treatments in the number of children who develop an infection where the metal wires have been inserted (pin site infections). We do not know if either of these treatments affect elbow function, the risk of needing additional surgery, or any long‐term elbow deformity (where the elbow is no longer the normal shape). ‐ The initial method used to move the bone back into position may make little or no difference to the risk of nerve injury. However, children may have fewer pin site infections when closed reduction is used. ‐ There may be little or no difference between using metal wires to fix the bone or holding the bone in place with a cast in the need for additional surgery, nerve injury, pin site infections, or elbow deformity. But we are uncertain of these findings. ‐ We do not know if a plaster cast compared to a sling has any effect on the risk of nerve injury or pin site infections. What are the limitations of the evidence? Most of the studies were either not well‐designed or did not clearly report how they were conducted. This meant that we either had little confidence or no confidence in their findings. Our confidence was also reduced because there were not enough children in the studies to be certain about their findings. It is also possible that the studies that we found had exaggerated findings and that some studies with alternative results may be missing. How up to date is this evidence? The evidence is up to date to March 2021.</t>
  </si>
  <si>
    <t>J3635</t>
  </si>
  <si>
    <t>Mosquito aquatic habitat modification and manipulation interventions to control malaria</t>
  </si>
  <si>
    <t>- Background Larval source management (LSM) may help reduce Plasmodium parasite transmission in malaria‐endemic areas. LSM approaches include habitat modification (permanently or temporarily reducing mosquito breeding aquatic habitats); habitat manipulation (temporary or recurrent change to environment); or use of chemical (e.g. larviciding) or biological agents (e.g. natural predators) to breeding sites. We examined the effectiveness of habitat modification or manipulation (or both), with and without larviciding. This is an update of a review published in 2013. Objectives 1. To describe and summarize the interventions on mosquito aquatic habitat modification or mosquito aquatic habitat manipulation, or both, on malaria control. 2. To evaluate the beneficial and harmful effects of mosquito aquatic habitat modification or mosquito aquatic habitat manipulation, or both, on malaria control. Search methods We used standard, extensive Cochrane search methods. The latest search was from January 2012 to 30 November 2021. Selection criteria Randomized controlled trials (RCT) and non‐randomized intervention studies comparing mosquito aquatic habitat modification or manipulation (or both) to no treatment or another active intervention. We also included uncontrolled before‐after (BA) studies, but only described and summarized the interventions from studies with these designs. Primary outcomes were clinical malaria incidence, malaria parasite prevalence, and malaria parasitaemia incidence. Data collection and analysis We used standard Cochrane methods. We assessed risk of bias using the Cochrane RoB 2 tool for RCTs and the ROBINS‐I tool for non‐randomized intervention studies. We used a narrative synthesis approach to systematically describe and summarize all the interventions included within the review, categorized by the type of intervention (habitat modification, habitat manipulation, combination of habitat modification and manipulation). Our primary outcomes were 1. clinical malaria incidence; 2. malaria parasite prevalence; and 3. malaria parasitaemia incidence. Our secondary outcomes were 1. incidence of severe malaria; 2. anaemia prevalence; 3. mean haemoglobin levels; 4. mortality rate due to malaria; 5. hospital admissions for malaria; 6. density of immature mosquitoes; 7. density of adult mosquitoes; 8. sporozoite rate; 9. entomological inoculation rate; and 10. harms. We used the GRADE approach to assess the certainty of the evidence for each type of intervention. Main results Sixteen studies met the inclusion criteria. Six used an RCT design, six used a controlled before‐after (CBA) study design, three used a non‐randomized controlled design, and one used an uncontrolled BA study design. Eleven studies were conducted in Africa and five in Asia. Five studies reported epidemiological outcomes and 15 studies reported entomological outcomes. None of the included studies reported on the environmental impacts associated with the intervention. For risk of bias, all trials had some concerns and other designs ranging from moderate to critical. Ten studies assessed habitat manipulation (temporary change to the environment). This included water management (spillways across streams; floodgates; intermittent flooding; different drawdown rates of water; different flooding and draining regimens), shading management (shading of drainage channels with different plants), other/combined management approaches (minimal tillage; disturbance of aquatic habitats with grass clearing and water replenishment), which showed mixed results for entomological outcomes. Spillways across streams, faster drawdown rates of water, shading drainage canals with Napier grass, and using minimal tillage may reduce the density of immature mosquitoes (range of effects from 95% reduction to 1.7 times increase; low‐certainty evidence), and spillways across streams may reduce densities of adult mosquitoes compared to no intervention (low‐certainty evidence). However, the effect of habitat manipulation on malaria parasite prevalence and clinical malaria incidence is uncertain (very low‐certainty evidence). Two studies assessed habitat manipulation with larviciding. This included reducing or removal of habitat sites; and drain cleaning, grass cutting, and minor repairs. It is uncertain whether drain cleaning, grass cutting, and minor repairs reduces malaria parasite prevalence compared to no intervention (odds ratio 0.59, 95% confidence interval (CI) 0.42 to 0.83; very low‐certainty evidence). Two studies assessed combination of habitat manipulation and permanent change (habitat modification). This included drainage canals, filling, and planting of papyrus and other reeds for shading near dams; and drainage of canals, removal of debris, land levelling, and filling ditches. Studies did not report on epidemiological outcomes, but entomological outcomes suggest that such activities may reduce the density of adult mosquitoes compared to no intervention (relative risk reduction 0.49, 95% CI 0.47 to 0.50; low‐certainty evidence), and preventing water stagnating using drainage of canals, removal of debris, land levelling, and filling ditches may reduce the density of immature mosquitoes compared to no intervention (ranged from 10% to 55% reductions; low‐certainty evidence). Three studies assessed combining manipulation and modification with larviciding. This included filling or drainage of water bodies; filling, draining, or elimination of rain pools and puddles at water supply points and stream bed pools; and shoreline work, improvement and maintenance to drainage, clearing vegetation and undergrowth, and filling pools. There were mixed effect sizes for the reduction of entomological outcomes (moderate‐certainty evidence). However, filling or draining water bodies probably makes little or no difference to malaria parasite prevalence, haemoglobin levels, or entomological inoculation rate when delivered with larviciding compared to no intervention (moderate‐certainty evidence). Authors' conclusions Habitat modification and manipulation interventions for preventing malaria has some indication of benefit in both epidemiological and entomological outcomes. While the data are quite mixed and further studies could help improve the knowledge base, these varied approaches may be useful in some circumstances. Plain language summary Which permanent and temporary changes to the water environments of immature mosquitoes work better to reduce malaria in people? Why is it important to reduce malaria in people? Malaria has a very high impact on the health of the public, mostly in people in Africa and Asia. Strategies to reduce malaria have been studied for many years. Most strategies focus on reducing the number of immature mosquitoes (larvae and pupae) to prevent them from becoming adult mosquitoes, since it is the adult female mosquito that can spread malaria through biting people. What are permanent and temporary changes to the environment of immature mosquitoes? The water environments where immature mosquitoes live can be disturbed using permanent (modification) and temporary (manipulation) changes. Examples of permanent changes include construction of drainage canals, land levelling, and filling ditches. Examples of temporary changes include altering the flow of water in streams, draining canals, cutting grass, shading of water using plants. These interventions may be used on their own or together with other standard treatments, such as the regular application of insecticides to water bodies (larviciding). What did we want to find out? We wanted to find out which permanent and temporary changes to the environment of immature mosquitoes reduce malaria in people (clinical outcomes), and the quantity of immature and adult mosquitoes (entomological outcomes). What did we do? We searched for studies that looked at permanent and temporary changes to the environment of immature mosquitoes compared to no intervention or a different permanent or temporary change. We compared and summarized the results of the studies and rated our confidence in the evidence, based n factors such as study methods. What did we find? The review included 16 studies that used a range of different randomized and non‐randomized study designs. Eleven studies were conducted in Africa and five in Asia. Only a few studies reported clinical outcomes, with most focussing on the number of immature mosquitoes, or adult mosquitoes, or both (entomological outcomes). We found there was some evidence to support the use of permanent (modification) and temporary (manipulation) changes to the water environments to reduce the number of immature mosquitoes in specific settings. However, when looking at clinical outcomes, 1. the effect of habitat manipulation on malaria parasite prevalence and clinical malaria incidence was unclear; 2. malaria parasite prevalence may be reduced when using habitat manipulation with larviciding; 3. combining manipulation and modification with larviciding probably makes little or no difference to malaria parasite prevalence and haemoglobin levels. What are the limitations of the evidence? The review included a wide range of different changes to the water environment of immature mosquitoes, with some combining them with water treatments (larviciding), which meant that very few studies looked at the same intervention. Many of the included studies had issues regarding how well they were conducted. How up to date is the evidence? This review updates a 2013 Cochrane Review. The evidence is up to date to 30 November 2021.</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</si>
  <si>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 2021 GlaxoSmithKline Biologicals S.A. Published by Informa UK Limited, trading as Taylor &amp; Francis Group.</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</si>
  <si>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 2022 The Authors. Liver International published by John Wiley &amp; Sons Ltd.</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</si>
  <si>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 2022 The Authors</t>
  </si>
  <si>
    <t>can't find this version, linked to study above</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</si>
  <si>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 2021</t>
  </si>
  <si>
    <t>Diagnostic test accuracy and cost‐effectiveness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</si>
  <si>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(PCR)‐based loss of heterozygosity (LOH) assays (also known as PCR‐based short tandem repeat or microsatellite analysis). Many other tests are available. None of the tests is perfect, although PCR‐based LOH is expected to have very high sensitivity. Objectives To estimate the sensitivity and specificity and cost‐effectiveness of different deoxyribonucleic acid (DNA)‐based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cross‐sectional studies in adults with glioma or any subtype of glioma, presenting raw data or cross‐tabulations of two or more DNA‐based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QUADAS‐2. Meta‐analyses used the hierarchical summary ROC model to estimate and compare test accuracy. We used FISH and PCR‐based LOH as alternate reference standards to examine how tests compared with those in common use, and conducted a latent class analysis comparing FISH and PCR‐based LOH. We constructed an economic model to evaluate cost‐effectiveness. Main results We included 53 studies examining: PCR‐based LOH, FISH, single nucleotide polymorphism (SNP) array, next‐generation sequencing (NGS), comparative genomic hybridisation (CGH), array comparative genomic hybridisation (aCGH), multiplex‐ligation‐dependent probe amplification (MLPA), real‐time PCR, chromogenic in situ hybridisation (CISH), mass spectrometry (MS), restriction fragment length polymorphism (RFLP) analysis, G‐banding,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PCR‐based LOH as the reference and 262 participants to analyses of comparisons between methods from studies not including FISH or PCR‐based LOH. Most evidence was available for comparison of FISH with PCR‐based LOH (15 studies, 915 participants): PCR‐based LOH detected 94% of FISH‐determined codeletions (95% credible interval (CrI) 83% to 98%) and FISH detected 91% of codeletions determined by PCR‐based LOH (CrI 78% to 97%). Of tumours determined not to have a deletion by FISH, 94% (CrI 87% to 98%) had a deletion detected by PCR‐based LOH, and of those determined not to have a deletion by PCR‐based LOH, 96% (CrI 90% to 99%) had a deletion detected by FISH. The latent class analysis suggested that PCR‐based LOH may be slightly more accurate than FISH. Most other techniques appeared to have high sensitivity (i.e. produced few false‐negative resul s) for detection of 1p/19q codeletion when either FISH or PCR‐based LOH was considered as the reference standard, although there was limited evidence. There was some indication of differences in specificity (false‐positive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PCR‐based LOH was considered the reference standard, although with much more uncertainty as these results were based on fewer studies (just one study with 49 participants for NGS and two studies with 33 participants for SNP array). G‐banding had low sensitivity and specificity when PCR‐based LOH was the reference standard. Although MS had very high sensitivity and specificity when both FISH and PCR‐based LOH were considered the reference standard, these results were based on only one study with a small number of participants. Real‐time PCR also showed high specificity with FISH as a reference standard, although there were only two studies including 40 participants. We found no relevant economic evaluations. Our economic model using FISH as the reference standard suggested that the resource‐optimising test depends on which measure of diagnostic accuracy is most important. With FISH as the reference standard, MLPA is likely to be cost‐effective if society was willing to pay GBP 1000 or less for a true positive detected. However, as the value placed on a true positive increased, CISH was most cost‐effective. Findings differed when the outcome measure changed to either true negative detected or correct diagnosis. When PCR‐based LOH was used as the reference standard, MLPA was likely to be cost‐effective for all measures of diagnostic accuracy at lower threshold values for willingness to pay. However, as the threshold values increased, none of the tests were clearly more likely to be considered cost‐effective. Authors' conclusions In our review, most techniques (except G‐banding) appeared to have good sensitivity (few false negatives) for detection of 1p/19q codeletions in glioma against both FISH and PCR‐based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PCR‐based LOH, real‐time PCR, LPA, SNP array, CGH array and NGS. None of these tests is perfect, so there is no 'gold standard' against which to compare them. The two most commonly used tests (FISH and PCR‐based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up‐to‐date is this review? The latest search for studies took place in August 2019.</t>
  </si>
  <si>
    <t>J3644</t>
  </si>
  <si>
    <t>A systematic review of economic evaluations of preoperative smoking cessation for preventing surgical complications</t>
  </si>
  <si>
    <t>Background: Whilst there is a substantial body of evidence on the costs and benefits of smoking cessation generally, the benefits of routinely providing smoking cessation for surgical populations are less well known. This review summarises the evidence on the cost-effectiveness of preoperative smoking cessation to prevent surgical complications. Material(s) and Method(s): A search of the Cochrane, Econlit, EMBASE, Health Technology Assessment, Medline Complete and Scopus databases was conducted from inception until June 23, 2021. Peer-reviewed, English-language articles describing economic evaluations of preoperative smoking cessation interventions to prevent surgical complications were included. Search results were independently screened for potentially eligible studies. Study characteristics, economic evaluation methods and cost-effectiveness results were extracted by one reviewer and details checked by a second. Two authors independently assessed reporting and methodological quality using the Consolidated Health Economic Evaluation Reporting Standards statement (CHEERS) and the Quality of Health Economic Studies Instrument checklist (QHES) respectively. Result(s): After removing duplicates, twenty full text articles were screened from 1423 database records, resulting in six included economic evaluations. Studies from the United States (n = 4), France (n = 1) and Spain (n = 1) were reported between 2009 and 2020. Four evaluations were conducted from a payer perspective. Two-thirds of evaluations were well-conducted (mean score 83) and well-reported (on average, 86% items reported). All studies concluded preoperative smoking cessation is cost-effective for preventing surgical complications; results ranged from cost saving to 53,131 per quality adjusted life year gained. Conclusion(s): Preoperative smoking cessation is cost-effective for preventing surgical complications from a payer or provider perspective when compared to standard care. There is no evidence from outside the United States and Europe to inform healthcare providers, funders and policy-makers in other jurisdictions and more information is needed to clarify the optimal point of implementation to maximise cost-effectiveness of preoperative smoking cessation intervention. Systematic review registration number: PROSPERO 2021 CRD42021257740. Research registry registration number: reviewregistry1369. Copyright © 2022 IJS Publishing Group Ltd</t>
  </si>
  <si>
    <t>more of a protocol</t>
  </si>
  <si>
    <t>rationale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</si>
</sst>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0" fillId="2" borderId="0" xfId="0" applyFill="1"/>
    <xf numFmtId="0" fontId="0" fillId="3" borderId="0" xfId="0" applyFill="1"/>
    <xf numFmtId="0" fontId="0" fillId="2" borderId="0" xfId="0" applyFill="1" applyAlignment="1">
      <alignment wrapText="1"/>
    </xf>
    <xf numFmtId="0" fontId="0" fillId="0" borderId="0" xfId="0" quotePrefix="1"/>
    <xf numFmtId="0" fontId="1" fillId="2" borderId="0" xfId="0" applyFont="1" applyFill="1"/>
    <xf numFmtId="0" fontId="3" fillId="0" borderId="0" xfId="0" applyFont="1"/>
  </cellXfs>
  <cellStyles count="1">
    <cellStyle name="Normal" xfId="0" builtinId="0"/>
  </cellStyles>
  <dxfs count="1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H271"/>
  <sheetViews>
    <sheetView workbookViewId="0">
      <selection activeCell="D8" sqref="A1:H271"/>
    </sheetView>
  </sheetViews>
  <sheetFormatPr defaultRowHeight="14.5" x14ac:dyDescent="0.35"/>
  <sheetData>
    <row r="1" spans="1:8" x14ac:dyDescent="0.35">
      <c r="A1" t="s">
        <v>0</v>
      </c>
      <c r="B1" t="s">
        <v>1</v>
      </c>
      <c r="C1" t="s">
        <v>2</v>
      </c>
      <c r="D1" t="s">
        <v>3</v>
      </c>
      <c r="E1" t="s">
        <v>176</v>
      </c>
      <c r="F1" t="s">
        <v>177</v>
      </c>
      <c r="G1" t="s">
        <v>178</v>
      </c>
      <c r="H1" t="s">
        <v>179</v>
      </c>
    </row>
    <row r="2" spans="1:8" x14ac:dyDescent="0.35">
      <c r="A2" t="s">
        <v>8</v>
      </c>
      <c r="B2">
        <v>2019</v>
      </c>
      <c r="C2" t="s">
        <v>9</v>
      </c>
      <c r="D2" t="s">
        <v>180</v>
      </c>
      <c r="E2" t="b">
        <v>1</v>
      </c>
      <c r="F2" t="s">
        <v>769</v>
      </c>
      <c r="G2" t="s">
        <v>181</v>
      </c>
      <c r="H2">
        <v>0.9</v>
      </c>
    </row>
    <row r="3" spans="1:8" x14ac:dyDescent="0.35">
      <c r="A3" t="s">
        <v>10</v>
      </c>
      <c r="B3">
        <v>2019</v>
      </c>
      <c r="C3" t="s">
        <v>11</v>
      </c>
      <c r="D3" t="s">
        <v>201</v>
      </c>
      <c r="E3" t="b">
        <v>1</v>
      </c>
      <c r="F3" t="s">
        <v>770</v>
      </c>
      <c r="G3" t="s">
        <v>181</v>
      </c>
      <c r="H3">
        <v>0.9</v>
      </c>
    </row>
    <row r="4" spans="1:8" x14ac:dyDescent="0.35">
      <c r="A4" t="s">
        <v>12</v>
      </c>
      <c r="B4">
        <v>2019</v>
      </c>
      <c r="C4" t="s">
        <v>13</v>
      </c>
      <c r="D4" t="s">
        <v>182</v>
      </c>
      <c r="E4" t="b">
        <v>1</v>
      </c>
      <c r="F4" t="s">
        <v>678</v>
      </c>
      <c r="G4" t="s">
        <v>181</v>
      </c>
      <c r="H4">
        <v>0.9</v>
      </c>
    </row>
    <row r="5" spans="1:8" x14ac:dyDescent="0.35">
      <c r="A5" t="s">
        <v>14</v>
      </c>
      <c r="B5">
        <v>2019</v>
      </c>
      <c r="C5" t="s">
        <v>15</v>
      </c>
      <c r="D5" t="s">
        <v>202</v>
      </c>
      <c r="E5" t="b">
        <v>1</v>
      </c>
      <c r="F5" t="s">
        <v>771</v>
      </c>
      <c r="G5" t="s">
        <v>205</v>
      </c>
      <c r="H5">
        <v>0.7</v>
      </c>
    </row>
    <row r="6" spans="1:8" x14ac:dyDescent="0.35">
      <c r="A6" t="s">
        <v>16</v>
      </c>
      <c r="B6">
        <v>2019</v>
      </c>
      <c r="C6" t="s">
        <v>17</v>
      </c>
      <c r="D6" t="s">
        <v>204</v>
      </c>
      <c r="E6" t="b">
        <v>1</v>
      </c>
      <c r="F6" t="s">
        <v>771</v>
      </c>
      <c r="G6" t="s">
        <v>205</v>
      </c>
      <c r="H6">
        <v>0.6</v>
      </c>
    </row>
    <row r="7" spans="1:8" x14ac:dyDescent="0.35">
      <c r="A7" t="s">
        <v>19</v>
      </c>
      <c r="B7">
        <v>2019</v>
      </c>
      <c r="C7" t="s">
        <v>20</v>
      </c>
      <c r="D7" t="s">
        <v>183</v>
      </c>
      <c r="E7" t="b">
        <v>1</v>
      </c>
      <c r="F7" t="s">
        <v>772</v>
      </c>
      <c r="G7" t="s">
        <v>181</v>
      </c>
      <c r="H7">
        <v>0.9</v>
      </c>
    </row>
    <row r="8" spans="1:8" x14ac:dyDescent="0.35">
      <c r="A8" t="s">
        <v>21</v>
      </c>
      <c r="B8">
        <v>2019</v>
      </c>
      <c r="C8" t="s">
        <v>22</v>
      </c>
      <c r="D8" t="s">
        <v>184</v>
      </c>
      <c r="E8" t="b">
        <v>1</v>
      </c>
      <c r="F8" t="s">
        <v>773</v>
      </c>
      <c r="G8" t="s">
        <v>181</v>
      </c>
      <c r="H8">
        <v>0.9</v>
      </c>
    </row>
    <row r="9" spans="1:8" x14ac:dyDescent="0.35">
      <c r="A9" t="s">
        <v>23</v>
      </c>
      <c r="B9">
        <v>2019</v>
      </c>
      <c r="C9" t="s">
        <v>206</v>
      </c>
      <c r="D9" t="s">
        <v>207</v>
      </c>
      <c r="E9" t="b">
        <v>1</v>
      </c>
      <c r="F9" t="s">
        <v>774</v>
      </c>
      <c r="G9" t="s">
        <v>181</v>
      </c>
      <c r="H9">
        <v>0.9</v>
      </c>
    </row>
    <row r="10" spans="1:8" x14ac:dyDescent="0.35">
      <c r="A10" t="s">
        <v>24</v>
      </c>
      <c r="B10">
        <v>2019</v>
      </c>
      <c r="C10" t="s">
        <v>25</v>
      </c>
      <c r="D10" t="s">
        <v>26</v>
      </c>
      <c r="E10" t="b">
        <v>1</v>
      </c>
      <c r="F10" t="s">
        <v>775</v>
      </c>
      <c r="G10" t="s">
        <v>181</v>
      </c>
      <c r="H10">
        <v>0.9</v>
      </c>
    </row>
    <row r="11" spans="1:8" x14ac:dyDescent="0.35">
      <c r="A11" t="s">
        <v>27</v>
      </c>
      <c r="B11">
        <v>2019</v>
      </c>
      <c r="C11" t="s">
        <v>28</v>
      </c>
      <c r="D11" t="s">
        <v>29</v>
      </c>
      <c r="E11" t="b">
        <v>1</v>
      </c>
      <c r="F11" t="s">
        <v>776</v>
      </c>
      <c r="G11" t="s">
        <v>181</v>
      </c>
      <c r="H11">
        <v>0.9</v>
      </c>
    </row>
    <row r="12" spans="1:8" x14ac:dyDescent="0.35">
      <c r="A12" t="s">
        <v>30</v>
      </c>
      <c r="B12">
        <v>2019</v>
      </c>
      <c r="C12" t="s">
        <v>208</v>
      </c>
      <c r="D12" t="s">
        <v>209</v>
      </c>
      <c r="E12" t="b">
        <v>1</v>
      </c>
      <c r="F12" t="s">
        <v>677</v>
      </c>
      <c r="G12" t="s">
        <v>181</v>
      </c>
      <c r="H12">
        <v>0.9</v>
      </c>
    </row>
    <row r="13" spans="1:8" x14ac:dyDescent="0.35">
      <c r="A13" t="s">
        <v>31</v>
      </c>
      <c r="B13">
        <v>2019</v>
      </c>
      <c r="C13" t="s">
        <v>185</v>
      </c>
      <c r="D13" t="s">
        <v>186</v>
      </c>
      <c r="E13" t="b">
        <v>1</v>
      </c>
      <c r="F13" t="s">
        <v>777</v>
      </c>
      <c r="G13" t="s">
        <v>181</v>
      </c>
      <c r="H13">
        <v>0.9</v>
      </c>
    </row>
    <row r="14" spans="1:8" x14ac:dyDescent="0.35">
      <c r="A14" t="s">
        <v>32</v>
      </c>
      <c r="B14">
        <v>2019</v>
      </c>
      <c r="C14" t="s">
        <v>33</v>
      </c>
      <c r="D14" t="s">
        <v>187</v>
      </c>
      <c r="E14" t="b">
        <v>1</v>
      </c>
      <c r="F14" t="s">
        <v>778</v>
      </c>
      <c r="G14" t="s">
        <v>181</v>
      </c>
      <c r="H14">
        <v>0.9</v>
      </c>
    </row>
    <row r="15" spans="1:8" x14ac:dyDescent="0.35">
      <c r="A15" t="s">
        <v>42</v>
      </c>
      <c r="B15">
        <v>2019</v>
      </c>
      <c r="C15" t="s">
        <v>43</v>
      </c>
      <c r="D15" t="s">
        <v>44</v>
      </c>
      <c r="E15" t="b">
        <v>1</v>
      </c>
      <c r="F15" t="s">
        <v>779</v>
      </c>
      <c r="G15" t="s">
        <v>181</v>
      </c>
      <c r="H15">
        <v>0.9</v>
      </c>
    </row>
    <row r="16" spans="1:8" x14ac:dyDescent="0.35">
      <c r="A16" t="s">
        <v>45</v>
      </c>
      <c r="B16">
        <v>2019</v>
      </c>
      <c r="C16" t="s">
        <v>46</v>
      </c>
      <c r="D16" t="s">
        <v>188</v>
      </c>
      <c r="E16" t="b">
        <v>1</v>
      </c>
      <c r="F16" t="s">
        <v>780</v>
      </c>
      <c r="G16" t="s">
        <v>181</v>
      </c>
      <c r="H16">
        <v>0.9</v>
      </c>
    </row>
    <row r="17" spans="1:8" x14ac:dyDescent="0.35">
      <c r="A17" t="s">
        <v>47</v>
      </c>
      <c r="B17">
        <v>2019</v>
      </c>
      <c r="C17" t="s">
        <v>48</v>
      </c>
      <c r="D17" t="s">
        <v>189</v>
      </c>
      <c r="E17" t="b">
        <v>1</v>
      </c>
      <c r="F17" t="s">
        <v>781</v>
      </c>
      <c r="G17" t="s">
        <v>181</v>
      </c>
      <c r="H17">
        <v>1</v>
      </c>
    </row>
    <row r="18" spans="1:8" x14ac:dyDescent="0.35">
      <c r="A18" t="s">
        <v>49</v>
      </c>
      <c r="B18">
        <v>2019</v>
      </c>
      <c r="C18" t="s">
        <v>210</v>
      </c>
      <c r="D18" t="s">
        <v>211</v>
      </c>
      <c r="E18" t="b">
        <v>1</v>
      </c>
      <c r="F18" t="s">
        <v>773</v>
      </c>
      <c r="G18" t="s">
        <v>181</v>
      </c>
      <c r="H18">
        <v>0.9</v>
      </c>
    </row>
    <row r="19" spans="1:8" x14ac:dyDescent="0.35">
      <c r="A19" t="s">
        <v>50</v>
      </c>
      <c r="B19">
        <v>2019</v>
      </c>
      <c r="C19" t="s">
        <v>212</v>
      </c>
      <c r="D19" t="s">
        <v>213</v>
      </c>
      <c r="E19" t="b">
        <v>1</v>
      </c>
      <c r="F19" t="s">
        <v>782</v>
      </c>
      <c r="G19" t="s">
        <v>181</v>
      </c>
      <c r="H19">
        <v>0.9</v>
      </c>
    </row>
    <row r="20" spans="1:8" x14ac:dyDescent="0.35">
      <c r="A20" t="s">
        <v>57</v>
      </c>
      <c r="B20">
        <v>2019</v>
      </c>
      <c r="C20" t="s">
        <v>58</v>
      </c>
      <c r="D20" t="s">
        <v>214</v>
      </c>
      <c r="E20" t="b">
        <v>1</v>
      </c>
      <c r="F20" t="s">
        <v>783</v>
      </c>
      <c r="G20" t="s">
        <v>181</v>
      </c>
      <c r="H20">
        <v>0.9</v>
      </c>
    </row>
    <row r="21" spans="1:8" x14ac:dyDescent="0.35">
      <c r="A21" t="s">
        <v>60</v>
      </c>
      <c r="B21">
        <v>2019</v>
      </c>
      <c r="C21" t="s">
        <v>61</v>
      </c>
      <c r="D21" t="s">
        <v>215</v>
      </c>
      <c r="E21" t="b">
        <v>1</v>
      </c>
      <c r="F21" t="s">
        <v>784</v>
      </c>
      <c r="G21" t="s">
        <v>181</v>
      </c>
      <c r="H21">
        <v>0.9</v>
      </c>
    </row>
    <row r="22" spans="1:8" x14ac:dyDescent="0.35">
      <c r="A22" t="s">
        <v>62</v>
      </c>
      <c r="B22">
        <v>2019</v>
      </c>
      <c r="C22" t="s">
        <v>63</v>
      </c>
      <c r="D22" t="s">
        <v>216</v>
      </c>
      <c r="E22" t="b">
        <v>1</v>
      </c>
      <c r="F22" t="s">
        <v>785</v>
      </c>
      <c r="G22" t="s">
        <v>181</v>
      </c>
      <c r="H22">
        <v>0.9</v>
      </c>
    </row>
    <row r="23" spans="1:8" x14ac:dyDescent="0.35">
      <c r="A23" t="s">
        <v>66</v>
      </c>
      <c r="B23">
        <v>2019</v>
      </c>
      <c r="C23" t="s">
        <v>67</v>
      </c>
      <c r="D23" t="s">
        <v>68</v>
      </c>
      <c r="E23" t="b">
        <v>0</v>
      </c>
      <c r="F23" t="s">
        <v>786</v>
      </c>
      <c r="G23" t="s">
        <v>190</v>
      </c>
      <c r="H23">
        <v>0.9</v>
      </c>
    </row>
    <row r="24" spans="1:8" x14ac:dyDescent="0.35">
      <c r="A24" t="s">
        <v>69</v>
      </c>
      <c r="B24">
        <v>2019</v>
      </c>
      <c r="C24" t="s">
        <v>70</v>
      </c>
      <c r="D24" t="s">
        <v>191</v>
      </c>
      <c r="E24" t="b">
        <v>0</v>
      </c>
      <c r="F24" t="s">
        <v>686</v>
      </c>
      <c r="G24" t="s">
        <v>192</v>
      </c>
      <c r="H24">
        <v>1</v>
      </c>
    </row>
    <row r="25" spans="1:8" ht="409.5" x14ac:dyDescent="0.35">
      <c r="A25" t="s">
        <v>71</v>
      </c>
      <c r="B25">
        <v>2019</v>
      </c>
      <c r="C25" t="s">
        <v>72</v>
      </c>
      <c r="D25" s="1" t="s">
        <v>73</v>
      </c>
      <c r="E25" t="b">
        <v>1</v>
      </c>
      <c r="F25" t="s">
        <v>787</v>
      </c>
      <c r="G25" t="s">
        <v>181</v>
      </c>
      <c r="H25">
        <v>0.9</v>
      </c>
    </row>
    <row r="26" spans="1:8" x14ac:dyDescent="0.35">
      <c r="A26" t="s">
        <v>74</v>
      </c>
      <c r="B26">
        <v>2019</v>
      </c>
      <c r="C26" t="s">
        <v>75</v>
      </c>
      <c r="D26" t="s">
        <v>217</v>
      </c>
      <c r="E26" t="b">
        <v>1</v>
      </c>
      <c r="F26" t="s">
        <v>788</v>
      </c>
      <c r="G26" t="s">
        <v>181</v>
      </c>
      <c r="H26">
        <v>0.9</v>
      </c>
    </row>
    <row r="27" spans="1:8" x14ac:dyDescent="0.35">
      <c r="A27" t="s">
        <v>76</v>
      </c>
      <c r="B27">
        <v>2019</v>
      </c>
      <c r="C27" t="s">
        <v>77</v>
      </c>
      <c r="D27" t="s">
        <v>193</v>
      </c>
      <c r="E27" t="b">
        <v>1</v>
      </c>
      <c r="F27" t="s">
        <v>789</v>
      </c>
      <c r="G27" t="s">
        <v>181</v>
      </c>
      <c r="H27">
        <v>0.9</v>
      </c>
    </row>
    <row r="28" spans="1:8" x14ac:dyDescent="0.35">
      <c r="A28" t="s">
        <v>78</v>
      </c>
      <c r="B28">
        <v>2019</v>
      </c>
      <c r="C28" t="s">
        <v>79</v>
      </c>
      <c r="D28" t="s">
        <v>194</v>
      </c>
      <c r="E28" t="b">
        <v>1</v>
      </c>
      <c r="F28" t="s">
        <v>790</v>
      </c>
      <c r="G28" t="s">
        <v>181</v>
      </c>
      <c r="H28">
        <v>0.9</v>
      </c>
    </row>
    <row r="29" spans="1:8" x14ac:dyDescent="0.35">
      <c r="A29" t="s">
        <v>83</v>
      </c>
      <c r="B29">
        <v>2019</v>
      </c>
      <c r="C29" t="s">
        <v>84</v>
      </c>
      <c r="D29" t="s">
        <v>218</v>
      </c>
      <c r="E29" t="b">
        <v>1</v>
      </c>
      <c r="F29" t="s">
        <v>791</v>
      </c>
      <c r="G29" t="s">
        <v>181</v>
      </c>
      <c r="H29">
        <v>0.9</v>
      </c>
    </row>
    <row r="30" spans="1:8" ht="409.5" x14ac:dyDescent="0.35">
      <c r="A30" t="s">
        <v>85</v>
      </c>
      <c r="B30">
        <v>2019</v>
      </c>
      <c r="C30" t="s">
        <v>86</v>
      </c>
      <c r="D30" s="1" t="s">
        <v>87</v>
      </c>
      <c r="E30" t="b">
        <v>1</v>
      </c>
      <c r="F30" t="s">
        <v>792</v>
      </c>
      <c r="G30" t="s">
        <v>181</v>
      </c>
      <c r="H30">
        <v>0.9</v>
      </c>
    </row>
    <row r="31" spans="1:8" x14ac:dyDescent="0.35">
      <c r="A31" t="s">
        <v>89</v>
      </c>
      <c r="B31">
        <v>2019</v>
      </c>
      <c r="C31" t="s">
        <v>90</v>
      </c>
      <c r="D31" t="s">
        <v>195</v>
      </c>
      <c r="E31" t="b">
        <v>0</v>
      </c>
      <c r="F31" t="s">
        <v>196</v>
      </c>
      <c r="G31" t="s">
        <v>192</v>
      </c>
      <c r="H31">
        <v>1</v>
      </c>
    </row>
    <row r="32" spans="1:8" x14ac:dyDescent="0.35">
      <c r="A32" t="s">
        <v>91</v>
      </c>
      <c r="B32">
        <v>2019</v>
      </c>
      <c r="C32" t="s">
        <v>92</v>
      </c>
      <c r="D32" t="s">
        <v>93</v>
      </c>
      <c r="E32" t="b">
        <v>1</v>
      </c>
      <c r="F32" t="s">
        <v>793</v>
      </c>
      <c r="G32" t="s">
        <v>181</v>
      </c>
      <c r="H32">
        <v>0.9</v>
      </c>
    </row>
    <row r="33" spans="1:8" x14ac:dyDescent="0.35">
      <c r="A33" t="s">
        <v>94</v>
      </c>
      <c r="B33">
        <v>2019</v>
      </c>
      <c r="C33" t="s">
        <v>95</v>
      </c>
      <c r="D33" t="s">
        <v>96</v>
      </c>
      <c r="E33" t="b">
        <v>1</v>
      </c>
      <c r="F33" t="s">
        <v>197</v>
      </c>
      <c r="G33" t="s">
        <v>181</v>
      </c>
      <c r="H33">
        <v>0.9</v>
      </c>
    </row>
    <row r="34" spans="1:8" x14ac:dyDescent="0.35">
      <c r="A34" t="s">
        <v>97</v>
      </c>
      <c r="B34">
        <v>2019</v>
      </c>
      <c r="C34" t="s">
        <v>98</v>
      </c>
      <c r="D34" t="s">
        <v>198</v>
      </c>
      <c r="E34" t="b">
        <v>0</v>
      </c>
      <c r="F34" t="s">
        <v>219</v>
      </c>
      <c r="G34" t="s">
        <v>192</v>
      </c>
      <c r="H34">
        <v>1</v>
      </c>
    </row>
    <row r="35" spans="1:8" x14ac:dyDescent="0.35">
      <c r="A35" t="s">
        <v>99</v>
      </c>
      <c r="B35">
        <v>2019</v>
      </c>
      <c r="C35" t="s">
        <v>100</v>
      </c>
      <c r="D35" t="s">
        <v>101</v>
      </c>
      <c r="E35" t="b">
        <v>1</v>
      </c>
      <c r="F35" t="s">
        <v>794</v>
      </c>
      <c r="G35" t="s">
        <v>181</v>
      </c>
      <c r="H35">
        <v>0.9</v>
      </c>
    </row>
    <row r="36" spans="1:8" x14ac:dyDescent="0.35">
      <c r="A36" t="s">
        <v>103</v>
      </c>
      <c r="B36">
        <v>2019</v>
      </c>
      <c r="C36" t="s">
        <v>104</v>
      </c>
      <c r="D36" t="s">
        <v>105</v>
      </c>
      <c r="E36" t="b">
        <v>1</v>
      </c>
      <c r="F36" t="s">
        <v>795</v>
      </c>
      <c r="G36" t="s">
        <v>181</v>
      </c>
      <c r="H36">
        <v>0.9</v>
      </c>
    </row>
    <row r="37" spans="1:8" x14ac:dyDescent="0.35">
      <c r="A37" t="s">
        <v>106</v>
      </c>
      <c r="B37">
        <v>2019</v>
      </c>
      <c r="C37" t="s">
        <v>107</v>
      </c>
      <c r="D37" t="s">
        <v>220</v>
      </c>
      <c r="E37" t="b">
        <v>1</v>
      </c>
      <c r="F37" t="s">
        <v>796</v>
      </c>
      <c r="G37" t="s">
        <v>181</v>
      </c>
      <c r="H37">
        <v>0.9</v>
      </c>
    </row>
    <row r="38" spans="1:8" x14ac:dyDescent="0.35">
      <c r="A38" t="s">
        <v>221</v>
      </c>
      <c r="B38">
        <v>2019</v>
      </c>
      <c r="C38" t="s">
        <v>222</v>
      </c>
      <c r="D38" t="s">
        <v>223</v>
      </c>
      <c r="E38" t="b">
        <v>1</v>
      </c>
      <c r="F38" t="s">
        <v>797</v>
      </c>
      <c r="G38" t="s">
        <v>181</v>
      </c>
      <c r="H38">
        <v>0.9</v>
      </c>
    </row>
    <row r="39" spans="1:8" x14ac:dyDescent="0.35">
      <c r="A39" t="s">
        <v>224</v>
      </c>
      <c r="B39">
        <v>2019</v>
      </c>
      <c r="C39" t="s">
        <v>671</v>
      </c>
      <c r="D39" t="s">
        <v>672</v>
      </c>
      <c r="E39" t="b">
        <v>1</v>
      </c>
      <c r="F39" t="s">
        <v>798</v>
      </c>
      <c r="G39" t="s">
        <v>181</v>
      </c>
      <c r="H39">
        <v>0.9</v>
      </c>
    </row>
    <row r="40" spans="1:8" x14ac:dyDescent="0.35">
      <c r="A40" t="s">
        <v>230</v>
      </c>
      <c r="B40">
        <v>2019</v>
      </c>
      <c r="C40" t="s">
        <v>231</v>
      </c>
      <c r="D40" t="s">
        <v>673</v>
      </c>
      <c r="E40" t="b">
        <v>1</v>
      </c>
      <c r="F40" t="s">
        <v>799</v>
      </c>
      <c r="G40" t="s">
        <v>181</v>
      </c>
      <c r="H40">
        <v>0.9</v>
      </c>
    </row>
    <row r="41" spans="1:8" x14ac:dyDescent="0.35">
      <c r="A41" t="s">
        <v>233</v>
      </c>
      <c r="B41">
        <v>2019</v>
      </c>
      <c r="C41" t="s">
        <v>234</v>
      </c>
      <c r="D41" t="s">
        <v>235</v>
      </c>
      <c r="E41" t="b">
        <v>1</v>
      </c>
      <c r="F41" t="s">
        <v>771</v>
      </c>
      <c r="G41" t="s">
        <v>205</v>
      </c>
      <c r="H41">
        <v>0.7</v>
      </c>
    </row>
    <row r="42" spans="1:8" x14ac:dyDescent="0.35">
      <c r="A42" t="s">
        <v>236</v>
      </c>
      <c r="B42">
        <v>2019</v>
      </c>
      <c r="C42" t="s">
        <v>237</v>
      </c>
      <c r="D42" t="s">
        <v>238</v>
      </c>
      <c r="E42" t="b">
        <v>1</v>
      </c>
      <c r="F42" t="s">
        <v>771</v>
      </c>
      <c r="G42" t="s">
        <v>205</v>
      </c>
      <c r="H42">
        <v>0.6</v>
      </c>
    </row>
    <row r="43" spans="1:8" x14ac:dyDescent="0.35">
      <c r="A43" t="s">
        <v>239</v>
      </c>
      <c r="B43">
        <v>2019</v>
      </c>
      <c r="C43" t="s">
        <v>240</v>
      </c>
      <c r="D43" t="s">
        <v>675</v>
      </c>
      <c r="E43" t="b">
        <v>1</v>
      </c>
      <c r="F43" t="s">
        <v>800</v>
      </c>
      <c r="G43" t="s">
        <v>181</v>
      </c>
      <c r="H43">
        <v>0.9</v>
      </c>
    </row>
    <row r="44" spans="1:8" x14ac:dyDescent="0.35">
      <c r="A44" t="s">
        <v>242</v>
      </c>
      <c r="B44">
        <v>2019</v>
      </c>
      <c r="C44" t="s">
        <v>243</v>
      </c>
      <c r="D44" t="s">
        <v>676</v>
      </c>
      <c r="E44" t="b">
        <v>1</v>
      </c>
      <c r="F44" t="s">
        <v>677</v>
      </c>
      <c r="G44" t="s">
        <v>181</v>
      </c>
      <c r="H44">
        <v>0.9</v>
      </c>
    </row>
    <row r="45" spans="1:8" x14ac:dyDescent="0.35">
      <c r="A45" t="s">
        <v>245</v>
      </c>
      <c r="B45">
        <v>2019</v>
      </c>
      <c r="C45" t="s">
        <v>246</v>
      </c>
      <c r="D45" t="s">
        <v>247</v>
      </c>
      <c r="E45" t="b">
        <v>1</v>
      </c>
      <c r="F45" t="s">
        <v>778</v>
      </c>
      <c r="G45" t="s">
        <v>181</v>
      </c>
      <c r="H45">
        <v>0.9</v>
      </c>
    </row>
    <row r="46" spans="1:8" x14ac:dyDescent="0.35">
      <c r="A46" t="s">
        <v>251</v>
      </c>
      <c r="B46">
        <v>2019</v>
      </c>
      <c r="C46" t="s">
        <v>252</v>
      </c>
      <c r="D46" t="s">
        <v>679</v>
      </c>
      <c r="E46" t="b">
        <v>1</v>
      </c>
      <c r="F46" t="s">
        <v>801</v>
      </c>
      <c r="G46" t="s">
        <v>181</v>
      </c>
      <c r="H46">
        <v>0.9</v>
      </c>
    </row>
    <row r="47" spans="1:8" x14ac:dyDescent="0.35">
      <c r="A47" t="s">
        <v>254</v>
      </c>
      <c r="B47">
        <v>2019</v>
      </c>
      <c r="C47" t="s">
        <v>255</v>
      </c>
      <c r="D47" t="s">
        <v>680</v>
      </c>
      <c r="E47" t="b">
        <v>1</v>
      </c>
      <c r="F47" t="s">
        <v>802</v>
      </c>
      <c r="G47" t="s">
        <v>181</v>
      </c>
      <c r="H47">
        <v>0.9</v>
      </c>
    </row>
    <row r="48" spans="1:8" x14ac:dyDescent="0.35">
      <c r="A48" t="s">
        <v>257</v>
      </c>
      <c r="B48">
        <v>2019</v>
      </c>
      <c r="C48" t="s">
        <v>258</v>
      </c>
      <c r="D48" t="s">
        <v>259</v>
      </c>
      <c r="E48" t="b">
        <v>0</v>
      </c>
      <c r="F48" t="s">
        <v>803</v>
      </c>
      <c r="G48" t="s">
        <v>192</v>
      </c>
      <c r="H48">
        <v>1</v>
      </c>
    </row>
    <row r="49" spans="1:8" x14ac:dyDescent="0.35">
      <c r="A49" t="s">
        <v>263</v>
      </c>
      <c r="B49">
        <v>2019</v>
      </c>
      <c r="C49" t="s">
        <v>264</v>
      </c>
      <c r="D49" t="s">
        <v>265</v>
      </c>
      <c r="E49" t="b">
        <v>1</v>
      </c>
      <c r="F49" t="s">
        <v>800</v>
      </c>
      <c r="G49" t="s">
        <v>181</v>
      </c>
      <c r="H49">
        <v>0.9</v>
      </c>
    </row>
    <row r="50" spans="1:8" x14ac:dyDescent="0.35">
      <c r="A50" t="s">
        <v>266</v>
      </c>
      <c r="B50">
        <v>2019</v>
      </c>
      <c r="C50" t="s">
        <v>267</v>
      </c>
      <c r="D50" t="s">
        <v>681</v>
      </c>
      <c r="E50" t="b">
        <v>1</v>
      </c>
      <c r="F50" t="s">
        <v>800</v>
      </c>
      <c r="G50" t="s">
        <v>181</v>
      </c>
      <c r="H50">
        <v>0.9</v>
      </c>
    </row>
    <row r="51" spans="1:8" x14ac:dyDescent="0.35">
      <c r="A51" t="s">
        <v>269</v>
      </c>
      <c r="B51">
        <v>2019</v>
      </c>
      <c r="C51" t="s">
        <v>682</v>
      </c>
      <c r="D51" t="s">
        <v>683</v>
      </c>
      <c r="E51" t="b">
        <v>1</v>
      </c>
      <c r="F51" t="s">
        <v>804</v>
      </c>
      <c r="G51" t="s">
        <v>181</v>
      </c>
      <c r="H51">
        <v>0.9</v>
      </c>
    </row>
    <row r="52" spans="1:8" x14ac:dyDescent="0.35">
      <c r="A52" t="s">
        <v>278</v>
      </c>
      <c r="B52">
        <v>2019</v>
      </c>
      <c r="C52" t="s">
        <v>684</v>
      </c>
      <c r="D52" t="s">
        <v>685</v>
      </c>
      <c r="E52" t="b">
        <v>1</v>
      </c>
      <c r="F52" t="s">
        <v>805</v>
      </c>
      <c r="G52" t="s">
        <v>181</v>
      </c>
      <c r="H52">
        <v>0.9</v>
      </c>
    </row>
    <row r="53" spans="1:8" ht="409.5" x14ac:dyDescent="0.35">
      <c r="A53" t="s">
        <v>281</v>
      </c>
      <c r="B53">
        <v>2019</v>
      </c>
      <c r="C53" t="s">
        <v>282</v>
      </c>
      <c r="D53" s="1" t="s">
        <v>283</v>
      </c>
      <c r="E53" t="b">
        <v>1</v>
      </c>
      <c r="F53" t="s">
        <v>806</v>
      </c>
      <c r="G53" t="s">
        <v>181</v>
      </c>
      <c r="H53">
        <v>0.9</v>
      </c>
    </row>
    <row r="54" spans="1:8" x14ac:dyDescent="0.35">
      <c r="A54" t="s">
        <v>287</v>
      </c>
      <c r="B54">
        <v>2019</v>
      </c>
      <c r="C54" t="s">
        <v>288</v>
      </c>
      <c r="D54" t="s">
        <v>289</v>
      </c>
      <c r="E54" t="b">
        <v>0</v>
      </c>
      <c r="F54" t="s">
        <v>803</v>
      </c>
      <c r="G54" t="s">
        <v>192</v>
      </c>
      <c r="H54">
        <v>1</v>
      </c>
    </row>
    <row r="55" spans="1:8" x14ac:dyDescent="0.35">
      <c r="A55" t="s">
        <v>290</v>
      </c>
      <c r="B55">
        <v>2019</v>
      </c>
      <c r="C55" t="s">
        <v>291</v>
      </c>
      <c r="D55" t="s">
        <v>292</v>
      </c>
      <c r="E55" t="b">
        <v>1</v>
      </c>
      <c r="F55" t="s">
        <v>807</v>
      </c>
      <c r="G55" t="s">
        <v>674</v>
      </c>
      <c r="H55">
        <v>0.9</v>
      </c>
    </row>
    <row r="56" spans="1:8" x14ac:dyDescent="0.35">
      <c r="A56" t="s">
        <v>293</v>
      </c>
      <c r="B56">
        <v>2019</v>
      </c>
      <c r="C56" t="s">
        <v>294</v>
      </c>
      <c r="D56" t="s">
        <v>687</v>
      </c>
      <c r="E56" t="b">
        <v>1</v>
      </c>
      <c r="F56" t="s">
        <v>808</v>
      </c>
      <c r="G56" t="s">
        <v>181</v>
      </c>
      <c r="H56">
        <v>0.9</v>
      </c>
    </row>
    <row r="57" spans="1:8" x14ac:dyDescent="0.35">
      <c r="A57" t="s">
        <v>296</v>
      </c>
      <c r="B57">
        <v>2019</v>
      </c>
      <c r="C57" t="s">
        <v>297</v>
      </c>
      <c r="D57" t="s">
        <v>688</v>
      </c>
      <c r="E57" t="b">
        <v>0</v>
      </c>
      <c r="F57" t="s">
        <v>686</v>
      </c>
      <c r="G57" t="s">
        <v>192</v>
      </c>
      <c r="H57">
        <v>1</v>
      </c>
    </row>
    <row r="58" spans="1:8" x14ac:dyDescent="0.35">
      <c r="A58" t="s">
        <v>311</v>
      </c>
      <c r="B58">
        <v>2019</v>
      </c>
      <c r="C58" t="s">
        <v>312</v>
      </c>
      <c r="D58" t="s">
        <v>313</v>
      </c>
      <c r="E58" t="b">
        <v>1</v>
      </c>
      <c r="F58" t="s">
        <v>771</v>
      </c>
      <c r="G58" t="s">
        <v>205</v>
      </c>
      <c r="H58">
        <v>0.6</v>
      </c>
    </row>
    <row r="59" spans="1:8" x14ac:dyDescent="0.35">
      <c r="A59" t="s">
        <v>317</v>
      </c>
      <c r="B59">
        <v>2019</v>
      </c>
      <c r="C59" t="s">
        <v>318</v>
      </c>
      <c r="D59" t="s">
        <v>689</v>
      </c>
      <c r="E59" t="b">
        <v>1</v>
      </c>
      <c r="F59" t="s">
        <v>809</v>
      </c>
      <c r="G59" t="s">
        <v>181</v>
      </c>
      <c r="H59">
        <v>0.9</v>
      </c>
    </row>
    <row r="60" spans="1:8" x14ac:dyDescent="0.35">
      <c r="A60" t="s">
        <v>326</v>
      </c>
      <c r="B60">
        <v>2019</v>
      </c>
      <c r="C60" t="s">
        <v>327</v>
      </c>
      <c r="D60" t="s">
        <v>690</v>
      </c>
      <c r="E60" t="b">
        <v>1</v>
      </c>
      <c r="F60" t="s">
        <v>705</v>
      </c>
      <c r="G60" t="s">
        <v>181</v>
      </c>
      <c r="H60">
        <v>0.9</v>
      </c>
    </row>
    <row r="61" spans="1:8" ht="409.5" x14ac:dyDescent="0.35">
      <c r="A61" t="s">
        <v>329</v>
      </c>
      <c r="B61">
        <v>2019</v>
      </c>
      <c r="C61" t="s">
        <v>330</v>
      </c>
      <c r="D61" s="1" t="s">
        <v>331</v>
      </c>
      <c r="E61" t="b">
        <v>1</v>
      </c>
      <c r="F61" t="s">
        <v>810</v>
      </c>
      <c r="G61" t="s">
        <v>205</v>
      </c>
      <c r="H61">
        <v>0.8</v>
      </c>
    </row>
    <row r="62" spans="1:8" x14ac:dyDescent="0.35">
      <c r="A62" t="s">
        <v>332</v>
      </c>
      <c r="B62">
        <v>2019</v>
      </c>
      <c r="C62" t="s">
        <v>333</v>
      </c>
      <c r="D62" t="s">
        <v>691</v>
      </c>
      <c r="E62" t="b">
        <v>1</v>
      </c>
      <c r="F62" t="s">
        <v>771</v>
      </c>
      <c r="G62" t="s">
        <v>205</v>
      </c>
      <c r="H62">
        <v>0.6</v>
      </c>
    </row>
    <row r="63" spans="1:8" x14ac:dyDescent="0.35">
      <c r="A63" t="s">
        <v>338</v>
      </c>
      <c r="B63">
        <v>2019</v>
      </c>
      <c r="C63" t="s">
        <v>339</v>
      </c>
      <c r="D63" t="s">
        <v>692</v>
      </c>
      <c r="E63" t="b">
        <v>1</v>
      </c>
      <c r="F63" t="s">
        <v>811</v>
      </c>
      <c r="G63" t="s">
        <v>181</v>
      </c>
      <c r="H63">
        <v>0.9</v>
      </c>
    </row>
    <row r="64" spans="1:8" x14ac:dyDescent="0.35">
      <c r="A64" t="s">
        <v>344</v>
      </c>
      <c r="B64">
        <v>2019</v>
      </c>
      <c r="C64" t="s">
        <v>345</v>
      </c>
      <c r="D64" t="s">
        <v>346</v>
      </c>
      <c r="E64" t="b">
        <v>1</v>
      </c>
      <c r="F64" t="s">
        <v>799</v>
      </c>
      <c r="G64" t="s">
        <v>181</v>
      </c>
      <c r="H64">
        <v>0.9</v>
      </c>
    </row>
    <row r="65" spans="1:8" x14ac:dyDescent="0.35">
      <c r="A65" t="s">
        <v>347</v>
      </c>
      <c r="B65">
        <v>2019</v>
      </c>
      <c r="C65" t="s">
        <v>348</v>
      </c>
      <c r="D65" t="s">
        <v>349</v>
      </c>
      <c r="E65" t="b">
        <v>1</v>
      </c>
      <c r="F65" t="s">
        <v>812</v>
      </c>
      <c r="G65" t="s">
        <v>181</v>
      </c>
      <c r="H65">
        <v>0.9</v>
      </c>
    </row>
    <row r="66" spans="1:8" x14ac:dyDescent="0.35">
      <c r="A66" t="s">
        <v>350</v>
      </c>
      <c r="B66">
        <v>2019</v>
      </c>
      <c r="C66" t="s">
        <v>351</v>
      </c>
      <c r="D66" t="s">
        <v>352</v>
      </c>
      <c r="E66" t="b">
        <v>1</v>
      </c>
      <c r="F66" t="s">
        <v>813</v>
      </c>
      <c r="G66" t="s">
        <v>181</v>
      </c>
      <c r="H66">
        <v>0.9</v>
      </c>
    </row>
    <row r="67" spans="1:8" x14ac:dyDescent="0.35">
      <c r="A67" t="s">
        <v>353</v>
      </c>
      <c r="B67">
        <v>2019</v>
      </c>
      <c r="C67" t="s">
        <v>354</v>
      </c>
      <c r="D67" t="s">
        <v>693</v>
      </c>
      <c r="E67" t="b">
        <v>1</v>
      </c>
      <c r="F67" t="s">
        <v>771</v>
      </c>
      <c r="G67" t="s">
        <v>205</v>
      </c>
      <c r="H67">
        <v>0.7</v>
      </c>
    </row>
    <row r="68" spans="1:8" x14ac:dyDescent="0.35">
      <c r="A68" t="s">
        <v>362</v>
      </c>
      <c r="B68">
        <v>2019</v>
      </c>
      <c r="C68" t="s">
        <v>363</v>
      </c>
      <c r="D68" t="s">
        <v>694</v>
      </c>
      <c r="E68" t="b">
        <v>1</v>
      </c>
      <c r="F68" t="s">
        <v>789</v>
      </c>
      <c r="G68" t="s">
        <v>181</v>
      </c>
      <c r="H68">
        <v>0.9</v>
      </c>
    </row>
    <row r="69" spans="1:8" x14ac:dyDescent="0.35">
      <c r="A69" t="s">
        <v>365</v>
      </c>
      <c r="B69">
        <v>2019</v>
      </c>
      <c r="C69" t="s">
        <v>366</v>
      </c>
      <c r="D69" t="s">
        <v>695</v>
      </c>
      <c r="E69" t="b">
        <v>1</v>
      </c>
      <c r="F69" t="s">
        <v>705</v>
      </c>
      <c r="G69" t="s">
        <v>181</v>
      </c>
      <c r="H69">
        <v>0.9</v>
      </c>
    </row>
    <row r="70" spans="1:8" x14ac:dyDescent="0.35">
      <c r="A70" t="s">
        <v>368</v>
      </c>
      <c r="B70">
        <v>2021</v>
      </c>
      <c r="C70" t="s">
        <v>369</v>
      </c>
      <c r="D70" t="s">
        <v>696</v>
      </c>
      <c r="E70" t="b">
        <v>1</v>
      </c>
      <c r="F70" t="s">
        <v>814</v>
      </c>
      <c r="G70" t="s">
        <v>674</v>
      </c>
      <c r="H70">
        <v>0.9</v>
      </c>
    </row>
    <row r="71" spans="1:8" x14ac:dyDescent="0.35">
      <c r="A71" t="s">
        <v>374</v>
      </c>
      <c r="B71">
        <v>2021</v>
      </c>
      <c r="C71" t="s">
        <v>375</v>
      </c>
      <c r="D71" t="s">
        <v>376</v>
      </c>
      <c r="E71" t="b">
        <v>1</v>
      </c>
      <c r="F71" t="s">
        <v>771</v>
      </c>
      <c r="G71" t="s">
        <v>205</v>
      </c>
      <c r="H71">
        <v>0.7</v>
      </c>
    </row>
    <row r="72" spans="1:8" x14ac:dyDescent="0.35">
      <c r="A72" t="s">
        <v>377</v>
      </c>
      <c r="B72">
        <v>2021</v>
      </c>
      <c r="C72" t="s">
        <v>697</v>
      </c>
      <c r="D72" t="s">
        <v>698</v>
      </c>
      <c r="E72" t="b">
        <v>1</v>
      </c>
      <c r="F72" t="s">
        <v>800</v>
      </c>
      <c r="G72" t="s">
        <v>181</v>
      </c>
      <c r="H72">
        <v>0.9</v>
      </c>
    </row>
    <row r="73" spans="1:8" x14ac:dyDescent="0.35">
      <c r="A73" t="s">
        <v>380</v>
      </c>
      <c r="B73">
        <v>2021</v>
      </c>
      <c r="C73" t="s">
        <v>381</v>
      </c>
      <c r="D73" t="s">
        <v>699</v>
      </c>
      <c r="E73" t="b">
        <v>0</v>
      </c>
      <c r="F73" t="s">
        <v>815</v>
      </c>
      <c r="G73" t="s">
        <v>190</v>
      </c>
      <c r="H73">
        <v>0.9</v>
      </c>
    </row>
    <row r="74" spans="1:8" x14ac:dyDescent="0.35">
      <c r="A74" t="s">
        <v>383</v>
      </c>
      <c r="B74">
        <v>2021</v>
      </c>
      <c r="C74" t="s">
        <v>700</v>
      </c>
      <c r="D74" t="s">
        <v>701</v>
      </c>
      <c r="E74" t="b">
        <v>1</v>
      </c>
      <c r="F74" t="s">
        <v>702</v>
      </c>
      <c r="G74" t="s">
        <v>181</v>
      </c>
      <c r="H74">
        <v>0.9</v>
      </c>
    </row>
    <row r="75" spans="1:8" x14ac:dyDescent="0.35">
      <c r="A75" t="s">
        <v>386</v>
      </c>
      <c r="B75">
        <v>2021</v>
      </c>
      <c r="C75" t="s">
        <v>387</v>
      </c>
      <c r="D75" t="s">
        <v>388</v>
      </c>
      <c r="E75" t="b">
        <v>1</v>
      </c>
      <c r="F75" t="s">
        <v>771</v>
      </c>
      <c r="G75" t="s">
        <v>205</v>
      </c>
      <c r="H75">
        <v>0.7</v>
      </c>
    </row>
    <row r="76" spans="1:8" x14ac:dyDescent="0.35">
      <c r="A76" t="s">
        <v>398</v>
      </c>
      <c r="B76">
        <v>2021</v>
      </c>
      <c r="C76" t="s">
        <v>399</v>
      </c>
      <c r="D76" t="s">
        <v>703</v>
      </c>
      <c r="E76" t="b">
        <v>1</v>
      </c>
      <c r="F76" t="s">
        <v>816</v>
      </c>
      <c r="G76" t="s">
        <v>181</v>
      </c>
      <c r="H76">
        <v>0.9</v>
      </c>
    </row>
    <row r="77" spans="1:8" x14ac:dyDescent="0.35">
      <c r="A77" t="s">
        <v>401</v>
      </c>
      <c r="B77">
        <v>2021</v>
      </c>
      <c r="C77" t="s">
        <v>402</v>
      </c>
      <c r="D77" t="s">
        <v>704</v>
      </c>
      <c r="E77" t="b">
        <v>1</v>
      </c>
      <c r="F77" t="s">
        <v>705</v>
      </c>
      <c r="G77" t="s">
        <v>181</v>
      </c>
      <c r="H77">
        <v>0.9</v>
      </c>
    </row>
    <row r="78" spans="1:8" x14ac:dyDescent="0.35">
      <c r="A78" t="s">
        <v>404</v>
      </c>
      <c r="B78">
        <v>2021</v>
      </c>
      <c r="C78" t="s">
        <v>405</v>
      </c>
      <c r="D78" t="s">
        <v>706</v>
      </c>
      <c r="E78" t="b">
        <v>1</v>
      </c>
      <c r="F78" t="s">
        <v>817</v>
      </c>
      <c r="G78" t="s">
        <v>674</v>
      </c>
      <c r="H78">
        <v>0.9</v>
      </c>
    </row>
    <row r="79" spans="1:8" x14ac:dyDescent="0.35">
      <c r="A79" t="s">
        <v>407</v>
      </c>
      <c r="B79">
        <v>2021</v>
      </c>
      <c r="C79" t="s">
        <v>408</v>
      </c>
      <c r="D79" t="s">
        <v>707</v>
      </c>
      <c r="E79" t="b">
        <v>1</v>
      </c>
      <c r="F79" t="s">
        <v>818</v>
      </c>
      <c r="G79" t="s">
        <v>181</v>
      </c>
      <c r="H79">
        <v>0.95</v>
      </c>
    </row>
    <row r="80" spans="1:8" x14ac:dyDescent="0.35">
      <c r="A80" t="s">
        <v>410</v>
      </c>
      <c r="B80">
        <v>2021</v>
      </c>
      <c r="C80" t="s">
        <v>411</v>
      </c>
      <c r="D80" t="s">
        <v>708</v>
      </c>
      <c r="E80" t="b">
        <v>1</v>
      </c>
      <c r="F80" t="s">
        <v>819</v>
      </c>
      <c r="G80" t="s">
        <v>181</v>
      </c>
      <c r="H80">
        <v>0.9</v>
      </c>
    </row>
    <row r="81" spans="1:8" x14ac:dyDescent="0.35">
      <c r="A81" t="s">
        <v>413</v>
      </c>
      <c r="B81">
        <v>2021</v>
      </c>
      <c r="C81" t="s">
        <v>414</v>
      </c>
      <c r="D81" t="s">
        <v>709</v>
      </c>
      <c r="E81" t="b">
        <v>0</v>
      </c>
      <c r="F81" t="s">
        <v>803</v>
      </c>
      <c r="G81" t="s">
        <v>192</v>
      </c>
      <c r="H81">
        <v>1</v>
      </c>
    </row>
    <row r="82" spans="1:8" x14ac:dyDescent="0.35">
      <c r="A82" t="s">
        <v>416</v>
      </c>
      <c r="B82">
        <v>2021</v>
      </c>
      <c r="C82" t="s">
        <v>417</v>
      </c>
      <c r="D82" t="s">
        <v>710</v>
      </c>
      <c r="E82" t="b">
        <v>1</v>
      </c>
      <c r="F82" t="s">
        <v>820</v>
      </c>
      <c r="G82" t="s">
        <v>181</v>
      </c>
      <c r="H82">
        <v>0.9</v>
      </c>
    </row>
    <row r="83" spans="1:8" x14ac:dyDescent="0.35">
      <c r="A83" t="s">
        <v>419</v>
      </c>
      <c r="B83">
        <v>2021</v>
      </c>
      <c r="C83" t="s">
        <v>420</v>
      </c>
      <c r="D83" t="s">
        <v>711</v>
      </c>
      <c r="E83" t="b">
        <v>1</v>
      </c>
      <c r="F83" t="s">
        <v>821</v>
      </c>
      <c r="G83" t="s">
        <v>181</v>
      </c>
      <c r="H83">
        <v>0.9</v>
      </c>
    </row>
    <row r="84" spans="1:8" x14ac:dyDescent="0.35">
      <c r="A84" t="s">
        <v>422</v>
      </c>
      <c r="B84">
        <v>2021</v>
      </c>
      <c r="C84" t="s">
        <v>423</v>
      </c>
      <c r="D84" t="s">
        <v>712</v>
      </c>
      <c r="E84" t="b">
        <v>1</v>
      </c>
      <c r="F84" t="s">
        <v>822</v>
      </c>
      <c r="G84" t="s">
        <v>181</v>
      </c>
      <c r="H84">
        <v>0.9</v>
      </c>
    </row>
    <row r="85" spans="1:8" x14ac:dyDescent="0.35">
      <c r="A85" t="s">
        <v>425</v>
      </c>
      <c r="B85">
        <v>2021</v>
      </c>
      <c r="C85" t="s">
        <v>426</v>
      </c>
      <c r="D85" t="s">
        <v>713</v>
      </c>
      <c r="E85" t="b">
        <v>1</v>
      </c>
      <c r="F85" t="s">
        <v>823</v>
      </c>
      <c r="G85" t="s">
        <v>181</v>
      </c>
      <c r="H85">
        <v>0.9</v>
      </c>
    </row>
    <row r="86" spans="1:8" ht="409.5" x14ac:dyDescent="0.35">
      <c r="A86" t="s">
        <v>428</v>
      </c>
      <c r="B86">
        <v>2021</v>
      </c>
      <c r="C86" t="s">
        <v>429</v>
      </c>
      <c r="D86" s="1" t="s">
        <v>430</v>
      </c>
      <c r="E86" t="b">
        <v>1</v>
      </c>
      <c r="F86" t="s">
        <v>678</v>
      </c>
      <c r="G86" t="s">
        <v>181</v>
      </c>
      <c r="H86">
        <v>0.9</v>
      </c>
    </row>
    <row r="87" spans="1:8" x14ac:dyDescent="0.35">
      <c r="A87" t="s">
        <v>431</v>
      </c>
      <c r="B87">
        <v>2021</v>
      </c>
      <c r="C87" t="s">
        <v>432</v>
      </c>
      <c r="D87" t="s">
        <v>433</v>
      </c>
      <c r="E87" t="b">
        <v>1</v>
      </c>
      <c r="F87" t="s">
        <v>824</v>
      </c>
      <c r="G87" t="s">
        <v>181</v>
      </c>
      <c r="H87">
        <v>0.9</v>
      </c>
    </row>
    <row r="88" spans="1:8" x14ac:dyDescent="0.35">
      <c r="A88" t="s">
        <v>434</v>
      </c>
      <c r="B88">
        <v>2021</v>
      </c>
      <c r="C88" t="s">
        <v>435</v>
      </c>
      <c r="D88" t="s">
        <v>714</v>
      </c>
      <c r="E88" t="b">
        <v>1</v>
      </c>
      <c r="F88" t="s">
        <v>825</v>
      </c>
      <c r="G88" t="s">
        <v>181</v>
      </c>
      <c r="H88">
        <v>0.95</v>
      </c>
    </row>
    <row r="89" spans="1:8" x14ac:dyDescent="0.35">
      <c r="A89" t="s">
        <v>437</v>
      </c>
      <c r="B89">
        <v>2021</v>
      </c>
      <c r="C89" t="s">
        <v>438</v>
      </c>
      <c r="D89" t="s">
        <v>715</v>
      </c>
      <c r="E89" t="b">
        <v>1</v>
      </c>
      <c r="F89" t="s">
        <v>826</v>
      </c>
      <c r="G89" t="s">
        <v>181</v>
      </c>
      <c r="H89">
        <v>0.9</v>
      </c>
    </row>
    <row r="90" spans="1:8" x14ac:dyDescent="0.35">
      <c r="A90" t="s">
        <v>440</v>
      </c>
      <c r="B90">
        <v>2021</v>
      </c>
      <c r="C90" t="s">
        <v>441</v>
      </c>
      <c r="D90" t="s">
        <v>716</v>
      </c>
      <c r="E90" t="b">
        <v>1</v>
      </c>
      <c r="F90" t="s">
        <v>827</v>
      </c>
      <c r="G90" t="s">
        <v>181</v>
      </c>
      <c r="H90">
        <v>0.9</v>
      </c>
    </row>
    <row r="91" spans="1:8" x14ac:dyDescent="0.35">
      <c r="A91" t="s">
        <v>443</v>
      </c>
      <c r="B91">
        <v>2021</v>
      </c>
      <c r="C91" t="s">
        <v>444</v>
      </c>
      <c r="D91" t="s">
        <v>717</v>
      </c>
      <c r="E91" t="b">
        <v>1</v>
      </c>
      <c r="F91" t="s">
        <v>828</v>
      </c>
      <c r="G91" t="s">
        <v>181</v>
      </c>
      <c r="H91">
        <v>0.9</v>
      </c>
    </row>
    <row r="92" spans="1:8" x14ac:dyDescent="0.35">
      <c r="A92" t="s">
        <v>446</v>
      </c>
      <c r="B92">
        <v>2021</v>
      </c>
      <c r="C92" t="s">
        <v>447</v>
      </c>
      <c r="D92" t="s">
        <v>448</v>
      </c>
      <c r="E92" t="b">
        <v>1</v>
      </c>
      <c r="F92" t="s">
        <v>829</v>
      </c>
      <c r="G92" t="s">
        <v>181</v>
      </c>
      <c r="H92">
        <v>0.9</v>
      </c>
    </row>
    <row r="93" spans="1:8" x14ac:dyDescent="0.35">
      <c r="A93" t="s">
        <v>449</v>
      </c>
      <c r="B93">
        <v>2021</v>
      </c>
      <c r="C93" t="s">
        <v>718</v>
      </c>
      <c r="D93" t="s">
        <v>719</v>
      </c>
      <c r="E93" t="b">
        <v>1</v>
      </c>
      <c r="F93" t="s">
        <v>722</v>
      </c>
      <c r="G93" t="s">
        <v>181</v>
      </c>
      <c r="H93">
        <v>0.9</v>
      </c>
    </row>
    <row r="94" spans="1:8" x14ac:dyDescent="0.35">
      <c r="A94" t="s">
        <v>452</v>
      </c>
      <c r="B94">
        <v>2021</v>
      </c>
      <c r="C94" t="s">
        <v>720</v>
      </c>
      <c r="D94" t="s">
        <v>721</v>
      </c>
      <c r="E94" t="b">
        <v>1</v>
      </c>
      <c r="F94" t="s">
        <v>830</v>
      </c>
      <c r="G94" t="s">
        <v>181</v>
      </c>
      <c r="H94">
        <v>0.9</v>
      </c>
    </row>
    <row r="95" spans="1:8" x14ac:dyDescent="0.35">
      <c r="A95" t="s">
        <v>461</v>
      </c>
      <c r="B95">
        <v>2021</v>
      </c>
      <c r="C95" t="s">
        <v>462</v>
      </c>
      <c r="D95" t="s">
        <v>723</v>
      </c>
      <c r="E95" t="b">
        <v>1</v>
      </c>
      <c r="F95" t="s">
        <v>831</v>
      </c>
      <c r="G95" t="s">
        <v>181</v>
      </c>
      <c r="H95">
        <v>0.9</v>
      </c>
    </row>
    <row r="96" spans="1:8" x14ac:dyDescent="0.35">
      <c r="A96" t="s">
        <v>464</v>
      </c>
      <c r="B96">
        <v>2021</v>
      </c>
      <c r="C96" t="s">
        <v>465</v>
      </c>
      <c r="D96" t="s">
        <v>466</v>
      </c>
      <c r="E96" t="b">
        <v>1</v>
      </c>
      <c r="F96" t="s">
        <v>771</v>
      </c>
      <c r="G96" t="s">
        <v>205</v>
      </c>
      <c r="H96">
        <v>0.6</v>
      </c>
    </row>
    <row r="97" spans="1:8" ht="409.5" x14ac:dyDescent="0.35">
      <c r="A97" t="s">
        <v>467</v>
      </c>
      <c r="B97">
        <v>2021</v>
      </c>
      <c r="C97" t="s">
        <v>468</v>
      </c>
      <c r="D97" s="1" t="s">
        <v>469</v>
      </c>
      <c r="E97" t="b">
        <v>1</v>
      </c>
      <c r="F97" t="s">
        <v>832</v>
      </c>
      <c r="G97" t="s">
        <v>181</v>
      </c>
      <c r="H97">
        <v>0.9</v>
      </c>
    </row>
    <row r="98" spans="1:8" x14ac:dyDescent="0.35">
      <c r="A98" t="s">
        <v>470</v>
      </c>
      <c r="B98">
        <v>2021</v>
      </c>
      <c r="C98" t="s">
        <v>471</v>
      </c>
      <c r="D98" t="s">
        <v>724</v>
      </c>
      <c r="E98" t="b">
        <v>0</v>
      </c>
      <c r="F98" t="s">
        <v>803</v>
      </c>
      <c r="G98" t="s">
        <v>192</v>
      </c>
      <c r="H98">
        <v>1</v>
      </c>
    </row>
    <row r="99" spans="1:8" x14ac:dyDescent="0.35">
      <c r="A99" t="s">
        <v>473</v>
      </c>
      <c r="B99">
        <v>2021</v>
      </c>
      <c r="C99" t="s">
        <v>725</v>
      </c>
      <c r="D99" t="s">
        <v>726</v>
      </c>
      <c r="E99" t="b">
        <v>1</v>
      </c>
      <c r="F99" t="s">
        <v>833</v>
      </c>
      <c r="G99" t="s">
        <v>181</v>
      </c>
      <c r="H99">
        <v>0.9</v>
      </c>
    </row>
    <row r="100" spans="1:8" x14ac:dyDescent="0.35">
      <c r="A100" t="s">
        <v>476</v>
      </c>
      <c r="B100">
        <v>2021</v>
      </c>
      <c r="C100" t="s">
        <v>477</v>
      </c>
      <c r="D100" t="s">
        <v>478</v>
      </c>
      <c r="E100" t="b">
        <v>0</v>
      </c>
      <c r="F100" t="s">
        <v>803</v>
      </c>
      <c r="G100" t="s">
        <v>192</v>
      </c>
      <c r="H100">
        <v>1</v>
      </c>
    </row>
    <row r="101" spans="1:8" x14ac:dyDescent="0.35">
      <c r="A101" t="s">
        <v>479</v>
      </c>
      <c r="B101">
        <v>2021</v>
      </c>
      <c r="C101" t="s">
        <v>727</v>
      </c>
      <c r="D101" t="s">
        <v>728</v>
      </c>
      <c r="E101" t="b">
        <v>0</v>
      </c>
      <c r="F101" t="s">
        <v>834</v>
      </c>
      <c r="G101" t="s">
        <v>190</v>
      </c>
      <c r="H101">
        <v>0.8</v>
      </c>
    </row>
    <row r="102" spans="1:8" x14ac:dyDescent="0.35">
      <c r="A102" t="s">
        <v>482</v>
      </c>
      <c r="B102">
        <v>2021</v>
      </c>
      <c r="C102" t="s">
        <v>483</v>
      </c>
      <c r="D102" t="s">
        <v>729</v>
      </c>
      <c r="E102" t="b">
        <v>0</v>
      </c>
      <c r="F102" t="s">
        <v>835</v>
      </c>
      <c r="G102" t="s">
        <v>192</v>
      </c>
      <c r="H102">
        <v>0.9</v>
      </c>
    </row>
    <row r="103" spans="1:8" x14ac:dyDescent="0.35">
      <c r="A103" t="s">
        <v>485</v>
      </c>
      <c r="B103">
        <v>2021</v>
      </c>
      <c r="C103" t="s">
        <v>486</v>
      </c>
      <c r="D103" t="s">
        <v>487</v>
      </c>
      <c r="E103" t="b">
        <v>1</v>
      </c>
      <c r="F103" t="s">
        <v>836</v>
      </c>
      <c r="G103" t="s">
        <v>181</v>
      </c>
      <c r="H103">
        <v>0.9</v>
      </c>
    </row>
    <row r="104" spans="1:8" x14ac:dyDescent="0.35">
      <c r="A104" t="s">
        <v>488</v>
      </c>
      <c r="B104">
        <v>2021</v>
      </c>
      <c r="C104" t="s">
        <v>489</v>
      </c>
      <c r="D104" t="s">
        <v>730</v>
      </c>
      <c r="E104" t="b">
        <v>1</v>
      </c>
      <c r="F104" t="s">
        <v>837</v>
      </c>
      <c r="G104" t="s">
        <v>205</v>
      </c>
      <c r="H104">
        <v>0.8</v>
      </c>
    </row>
    <row r="105" spans="1:8" x14ac:dyDescent="0.35">
      <c r="A105" t="s">
        <v>491</v>
      </c>
      <c r="B105">
        <v>2021</v>
      </c>
      <c r="C105" t="s">
        <v>492</v>
      </c>
      <c r="D105" t="s">
        <v>493</v>
      </c>
      <c r="E105" t="b">
        <v>1</v>
      </c>
      <c r="F105" t="s">
        <v>838</v>
      </c>
      <c r="G105" t="s">
        <v>181</v>
      </c>
      <c r="H105">
        <v>0.9</v>
      </c>
    </row>
    <row r="106" spans="1:8" x14ac:dyDescent="0.35">
      <c r="A106" t="s">
        <v>494</v>
      </c>
      <c r="B106">
        <v>2021</v>
      </c>
      <c r="C106" t="s">
        <v>495</v>
      </c>
      <c r="D106" t="s">
        <v>731</v>
      </c>
      <c r="E106" t="b">
        <v>0</v>
      </c>
      <c r="F106" t="s">
        <v>803</v>
      </c>
      <c r="G106" t="s">
        <v>192</v>
      </c>
      <c r="H106">
        <v>1</v>
      </c>
    </row>
    <row r="107" spans="1:8" x14ac:dyDescent="0.35">
      <c r="A107" t="s">
        <v>497</v>
      </c>
      <c r="B107">
        <v>2021</v>
      </c>
      <c r="C107" t="s">
        <v>498</v>
      </c>
      <c r="D107" t="s">
        <v>499</v>
      </c>
      <c r="E107" t="b">
        <v>0</v>
      </c>
      <c r="F107" t="s">
        <v>839</v>
      </c>
      <c r="G107" t="s">
        <v>192</v>
      </c>
      <c r="H107">
        <v>1</v>
      </c>
    </row>
    <row r="108" spans="1:8" x14ac:dyDescent="0.35">
      <c r="A108" t="s">
        <v>500</v>
      </c>
      <c r="B108">
        <v>2021</v>
      </c>
      <c r="C108" t="s">
        <v>501</v>
      </c>
      <c r="D108" t="s">
        <v>732</v>
      </c>
      <c r="E108" t="b">
        <v>0</v>
      </c>
      <c r="F108" t="s">
        <v>803</v>
      </c>
      <c r="G108" t="s">
        <v>192</v>
      </c>
      <c r="H108">
        <v>1</v>
      </c>
    </row>
    <row r="109" spans="1:8" x14ac:dyDescent="0.35">
      <c r="A109" t="s">
        <v>506</v>
      </c>
      <c r="B109">
        <v>2021</v>
      </c>
      <c r="C109" t="s">
        <v>507</v>
      </c>
      <c r="D109" t="s">
        <v>733</v>
      </c>
      <c r="E109" t="b">
        <v>1</v>
      </c>
      <c r="F109" t="s">
        <v>840</v>
      </c>
      <c r="G109" t="s">
        <v>181</v>
      </c>
      <c r="H109">
        <v>0.9</v>
      </c>
    </row>
    <row r="110" spans="1:8" x14ac:dyDescent="0.35">
      <c r="A110" t="s">
        <v>509</v>
      </c>
      <c r="B110">
        <v>2021</v>
      </c>
      <c r="C110" t="s">
        <v>510</v>
      </c>
      <c r="D110" t="s">
        <v>734</v>
      </c>
      <c r="E110" t="b">
        <v>1</v>
      </c>
      <c r="F110" t="s">
        <v>771</v>
      </c>
      <c r="G110" t="s">
        <v>205</v>
      </c>
      <c r="H110">
        <v>0.7</v>
      </c>
    </row>
    <row r="111" spans="1:8" x14ac:dyDescent="0.35">
      <c r="A111" t="s">
        <v>512</v>
      </c>
      <c r="B111">
        <v>2021</v>
      </c>
      <c r="C111" t="s">
        <v>735</v>
      </c>
      <c r="D111" t="s">
        <v>736</v>
      </c>
      <c r="E111" t="b">
        <v>1</v>
      </c>
      <c r="F111" t="s">
        <v>705</v>
      </c>
      <c r="G111" t="s">
        <v>181</v>
      </c>
      <c r="H111">
        <v>0.95</v>
      </c>
    </row>
    <row r="112" spans="1:8" x14ac:dyDescent="0.35">
      <c r="A112" t="s">
        <v>515</v>
      </c>
      <c r="B112">
        <v>2021</v>
      </c>
      <c r="C112" t="s">
        <v>516</v>
      </c>
      <c r="D112" t="s">
        <v>517</v>
      </c>
      <c r="E112" t="b">
        <v>1</v>
      </c>
      <c r="F112" t="s">
        <v>678</v>
      </c>
      <c r="G112" t="s">
        <v>181</v>
      </c>
      <c r="H112">
        <v>0.9</v>
      </c>
    </row>
    <row r="113" spans="1:8" x14ac:dyDescent="0.35">
      <c r="A113" t="s">
        <v>518</v>
      </c>
      <c r="B113">
        <v>2021</v>
      </c>
      <c r="C113" t="s">
        <v>519</v>
      </c>
      <c r="D113" t="s">
        <v>499</v>
      </c>
      <c r="E113" t="b">
        <v>1</v>
      </c>
      <c r="F113" t="s">
        <v>771</v>
      </c>
      <c r="G113" t="s">
        <v>205</v>
      </c>
      <c r="H113">
        <v>0.7</v>
      </c>
    </row>
    <row r="114" spans="1:8" x14ac:dyDescent="0.35">
      <c r="A114" t="s">
        <v>520</v>
      </c>
      <c r="B114">
        <v>2021</v>
      </c>
      <c r="C114" t="s">
        <v>521</v>
      </c>
      <c r="D114" t="s">
        <v>737</v>
      </c>
      <c r="E114" t="b">
        <v>1</v>
      </c>
      <c r="F114" t="s">
        <v>841</v>
      </c>
      <c r="G114" t="s">
        <v>181</v>
      </c>
      <c r="H114">
        <v>0.9</v>
      </c>
    </row>
    <row r="115" spans="1:8" x14ac:dyDescent="0.35">
      <c r="A115" t="s">
        <v>523</v>
      </c>
      <c r="B115">
        <v>2021</v>
      </c>
      <c r="C115" t="s">
        <v>524</v>
      </c>
      <c r="D115" t="s">
        <v>738</v>
      </c>
      <c r="E115" t="b">
        <v>0</v>
      </c>
      <c r="F115" t="s">
        <v>842</v>
      </c>
      <c r="G115" t="s">
        <v>192</v>
      </c>
      <c r="H115">
        <v>0.9</v>
      </c>
    </row>
    <row r="116" spans="1:8" x14ac:dyDescent="0.35">
      <c r="A116" t="s">
        <v>526</v>
      </c>
      <c r="B116">
        <v>2021</v>
      </c>
      <c r="C116" t="s">
        <v>527</v>
      </c>
      <c r="D116" t="s">
        <v>739</v>
      </c>
      <c r="E116" t="b">
        <v>1</v>
      </c>
      <c r="F116" t="s">
        <v>843</v>
      </c>
      <c r="G116" t="s">
        <v>181</v>
      </c>
      <c r="H116">
        <v>0.9</v>
      </c>
    </row>
    <row r="117" spans="1:8" x14ac:dyDescent="0.35">
      <c r="A117" t="s">
        <v>529</v>
      </c>
      <c r="B117">
        <v>2021</v>
      </c>
      <c r="C117" t="s">
        <v>530</v>
      </c>
      <c r="D117" t="s">
        <v>740</v>
      </c>
      <c r="E117" t="b">
        <v>1</v>
      </c>
      <c r="F117" t="s">
        <v>799</v>
      </c>
      <c r="G117" t="s">
        <v>181</v>
      </c>
      <c r="H117">
        <v>0.9</v>
      </c>
    </row>
    <row r="118" spans="1:8" x14ac:dyDescent="0.35">
      <c r="A118" t="s">
        <v>532</v>
      </c>
      <c r="B118">
        <v>2021</v>
      </c>
      <c r="C118" t="s">
        <v>533</v>
      </c>
      <c r="D118" t="s">
        <v>534</v>
      </c>
      <c r="E118" t="b">
        <v>1</v>
      </c>
      <c r="F118" t="s">
        <v>771</v>
      </c>
      <c r="G118" t="s">
        <v>205</v>
      </c>
      <c r="H118">
        <v>0.6</v>
      </c>
    </row>
    <row r="119" spans="1:8" x14ac:dyDescent="0.35">
      <c r="A119" t="s">
        <v>535</v>
      </c>
      <c r="B119">
        <v>2021</v>
      </c>
      <c r="C119" t="s">
        <v>536</v>
      </c>
      <c r="D119" t="s">
        <v>537</v>
      </c>
      <c r="E119" t="b">
        <v>1</v>
      </c>
      <c r="F119" t="s">
        <v>741</v>
      </c>
      <c r="G119" t="s">
        <v>181</v>
      </c>
      <c r="H119">
        <v>0.9</v>
      </c>
    </row>
    <row r="120" spans="1:8" x14ac:dyDescent="0.35">
      <c r="A120" t="s">
        <v>538</v>
      </c>
      <c r="B120">
        <v>2021</v>
      </c>
      <c r="C120" t="s">
        <v>742</v>
      </c>
      <c r="D120" t="s">
        <v>743</v>
      </c>
      <c r="E120" t="b">
        <v>1</v>
      </c>
      <c r="F120" t="s">
        <v>844</v>
      </c>
      <c r="G120" t="s">
        <v>181</v>
      </c>
      <c r="H120">
        <v>0.9</v>
      </c>
    </row>
    <row r="121" spans="1:8" x14ac:dyDescent="0.35">
      <c r="A121" t="s">
        <v>541</v>
      </c>
      <c r="B121">
        <v>2021</v>
      </c>
      <c r="C121" t="s">
        <v>744</v>
      </c>
      <c r="D121" t="s">
        <v>745</v>
      </c>
      <c r="E121" t="b">
        <v>1</v>
      </c>
      <c r="F121" t="s">
        <v>845</v>
      </c>
      <c r="G121" t="s">
        <v>181</v>
      </c>
      <c r="H121">
        <v>0.9</v>
      </c>
    </row>
    <row r="122" spans="1:8" x14ac:dyDescent="0.35">
      <c r="A122" t="s">
        <v>544</v>
      </c>
      <c r="B122">
        <v>2021</v>
      </c>
      <c r="C122" t="s">
        <v>545</v>
      </c>
      <c r="D122" t="s">
        <v>746</v>
      </c>
      <c r="E122" t="b">
        <v>1</v>
      </c>
      <c r="F122" t="s">
        <v>846</v>
      </c>
      <c r="G122" t="s">
        <v>181</v>
      </c>
      <c r="H122">
        <v>0.95</v>
      </c>
    </row>
    <row r="123" spans="1:8" ht="409.5" x14ac:dyDescent="0.35">
      <c r="A123" t="s">
        <v>547</v>
      </c>
      <c r="B123">
        <v>2021</v>
      </c>
      <c r="C123" t="s">
        <v>548</v>
      </c>
      <c r="D123" s="1" t="s">
        <v>549</v>
      </c>
      <c r="E123" t="b">
        <v>1</v>
      </c>
      <c r="F123" t="s">
        <v>847</v>
      </c>
      <c r="G123" t="s">
        <v>181</v>
      </c>
      <c r="H123">
        <v>0.95</v>
      </c>
    </row>
    <row r="124" spans="1:8" x14ac:dyDescent="0.35">
      <c r="A124" t="s">
        <v>550</v>
      </c>
      <c r="B124">
        <v>2021</v>
      </c>
      <c r="C124" t="s">
        <v>551</v>
      </c>
      <c r="D124" t="s">
        <v>747</v>
      </c>
      <c r="E124" t="b">
        <v>0</v>
      </c>
      <c r="F124" t="s">
        <v>848</v>
      </c>
      <c r="G124" t="s">
        <v>192</v>
      </c>
      <c r="H124">
        <v>1</v>
      </c>
    </row>
    <row r="125" spans="1:8" x14ac:dyDescent="0.35">
      <c r="A125" t="s">
        <v>553</v>
      </c>
      <c r="B125">
        <v>2021</v>
      </c>
      <c r="C125" t="s">
        <v>554</v>
      </c>
      <c r="D125" t="s">
        <v>748</v>
      </c>
      <c r="E125" t="b">
        <v>1</v>
      </c>
      <c r="F125" t="s">
        <v>800</v>
      </c>
      <c r="G125" t="s">
        <v>181</v>
      </c>
      <c r="H125">
        <v>0.9</v>
      </c>
    </row>
    <row r="126" spans="1:8" x14ac:dyDescent="0.35">
      <c r="A126" t="s">
        <v>556</v>
      </c>
      <c r="B126">
        <v>2021</v>
      </c>
      <c r="C126" t="s">
        <v>557</v>
      </c>
      <c r="D126" t="s">
        <v>558</v>
      </c>
      <c r="E126" t="b">
        <v>1</v>
      </c>
      <c r="F126" t="s">
        <v>849</v>
      </c>
      <c r="G126" t="s">
        <v>181</v>
      </c>
      <c r="H126">
        <v>0.9</v>
      </c>
    </row>
    <row r="127" spans="1:8" x14ac:dyDescent="0.35">
      <c r="A127" t="s">
        <v>559</v>
      </c>
      <c r="B127">
        <v>2021</v>
      </c>
      <c r="C127" t="s">
        <v>749</v>
      </c>
      <c r="D127" t="s">
        <v>750</v>
      </c>
      <c r="E127" t="b">
        <v>1</v>
      </c>
      <c r="F127" t="s">
        <v>771</v>
      </c>
      <c r="G127" t="s">
        <v>205</v>
      </c>
      <c r="H127">
        <v>0.6</v>
      </c>
    </row>
    <row r="128" spans="1:8" x14ac:dyDescent="0.35">
      <c r="A128" t="s">
        <v>562</v>
      </c>
      <c r="B128">
        <v>2021</v>
      </c>
      <c r="C128" t="s">
        <v>563</v>
      </c>
      <c r="D128" t="s">
        <v>564</v>
      </c>
      <c r="E128" t="b">
        <v>1</v>
      </c>
      <c r="F128" t="s">
        <v>751</v>
      </c>
      <c r="G128" t="s">
        <v>674</v>
      </c>
      <c r="H128">
        <v>0.8</v>
      </c>
    </row>
    <row r="129" spans="1:8" x14ac:dyDescent="0.35">
      <c r="A129" t="s">
        <v>565</v>
      </c>
      <c r="B129">
        <v>2021</v>
      </c>
      <c r="C129" t="s">
        <v>566</v>
      </c>
      <c r="D129" t="s">
        <v>752</v>
      </c>
      <c r="E129" t="b">
        <v>1</v>
      </c>
      <c r="F129" t="s">
        <v>771</v>
      </c>
      <c r="G129" t="s">
        <v>205</v>
      </c>
      <c r="H129">
        <v>0.5</v>
      </c>
    </row>
    <row r="130" spans="1:8" x14ac:dyDescent="0.35">
      <c r="A130" t="s">
        <v>568</v>
      </c>
      <c r="B130">
        <v>2021</v>
      </c>
      <c r="C130" t="s">
        <v>569</v>
      </c>
      <c r="D130" t="s">
        <v>753</v>
      </c>
      <c r="E130" t="b">
        <v>1</v>
      </c>
      <c r="F130" t="s">
        <v>789</v>
      </c>
      <c r="G130" t="s">
        <v>181</v>
      </c>
      <c r="H130">
        <v>0.95</v>
      </c>
    </row>
    <row r="131" spans="1:8" ht="409.5" x14ac:dyDescent="0.35">
      <c r="A131" t="s">
        <v>571</v>
      </c>
      <c r="B131">
        <v>2021</v>
      </c>
      <c r="C131" t="s">
        <v>572</v>
      </c>
      <c r="D131" s="1" t="s">
        <v>573</v>
      </c>
      <c r="E131" t="b">
        <v>0</v>
      </c>
      <c r="F131" t="s">
        <v>850</v>
      </c>
      <c r="G131" t="s">
        <v>192</v>
      </c>
      <c r="H131">
        <v>0.9</v>
      </c>
    </row>
    <row r="132" spans="1:8" x14ac:dyDescent="0.35">
      <c r="A132" t="s">
        <v>574</v>
      </c>
      <c r="B132">
        <v>2021</v>
      </c>
      <c r="C132" t="s">
        <v>754</v>
      </c>
      <c r="D132" t="s">
        <v>755</v>
      </c>
      <c r="E132" t="b">
        <v>1</v>
      </c>
      <c r="F132" t="s">
        <v>846</v>
      </c>
      <c r="G132" t="s">
        <v>181</v>
      </c>
      <c r="H132">
        <v>0.9</v>
      </c>
    </row>
    <row r="133" spans="1:8" x14ac:dyDescent="0.35">
      <c r="A133" t="s">
        <v>583</v>
      </c>
      <c r="B133">
        <v>2021</v>
      </c>
      <c r="C133" t="s">
        <v>584</v>
      </c>
      <c r="D133" t="s">
        <v>585</v>
      </c>
      <c r="E133" t="b">
        <v>1</v>
      </c>
      <c r="F133" t="s">
        <v>851</v>
      </c>
      <c r="G133" t="s">
        <v>181</v>
      </c>
      <c r="H133">
        <v>0.9</v>
      </c>
    </row>
    <row r="134" spans="1:8" x14ac:dyDescent="0.35">
      <c r="A134" t="s">
        <v>588</v>
      </c>
      <c r="B134">
        <v>2021</v>
      </c>
      <c r="C134" t="s">
        <v>589</v>
      </c>
      <c r="D134" t="s">
        <v>756</v>
      </c>
      <c r="E134" t="b">
        <v>1</v>
      </c>
      <c r="F134" t="s">
        <v>805</v>
      </c>
      <c r="G134" t="s">
        <v>181</v>
      </c>
      <c r="H134">
        <v>0.9</v>
      </c>
    </row>
    <row r="135" spans="1:8" x14ac:dyDescent="0.35">
      <c r="A135" t="s">
        <v>591</v>
      </c>
      <c r="B135">
        <v>2021</v>
      </c>
      <c r="C135" t="s">
        <v>757</v>
      </c>
      <c r="D135" t="s">
        <v>758</v>
      </c>
      <c r="E135" t="b">
        <v>1</v>
      </c>
      <c r="F135" t="s">
        <v>203</v>
      </c>
      <c r="G135" t="s">
        <v>181</v>
      </c>
      <c r="H135">
        <v>0.9</v>
      </c>
    </row>
    <row r="136" spans="1:8" x14ac:dyDescent="0.35">
      <c r="A136" t="s">
        <v>594</v>
      </c>
      <c r="B136">
        <v>2021</v>
      </c>
      <c r="C136" t="s">
        <v>595</v>
      </c>
      <c r="D136" t="s">
        <v>596</v>
      </c>
      <c r="E136" t="b">
        <v>1</v>
      </c>
      <c r="F136" t="s">
        <v>852</v>
      </c>
      <c r="G136" t="s">
        <v>181</v>
      </c>
      <c r="H136">
        <v>0.9</v>
      </c>
    </row>
    <row r="137" spans="1:8" x14ac:dyDescent="0.35">
      <c r="A137" t="s">
        <v>597</v>
      </c>
      <c r="B137">
        <v>2021</v>
      </c>
      <c r="C137" t="s">
        <v>598</v>
      </c>
      <c r="D137" t="s">
        <v>759</v>
      </c>
      <c r="E137" t="b">
        <v>1</v>
      </c>
      <c r="F137" t="s">
        <v>789</v>
      </c>
      <c r="G137" t="s">
        <v>181</v>
      </c>
      <c r="H137">
        <v>0.9</v>
      </c>
    </row>
    <row r="138" spans="1:8" x14ac:dyDescent="0.35">
      <c r="A138" t="s">
        <v>600</v>
      </c>
      <c r="B138">
        <v>2021</v>
      </c>
      <c r="C138" t="s">
        <v>601</v>
      </c>
      <c r="D138" t="s">
        <v>760</v>
      </c>
      <c r="E138" t="b">
        <v>1</v>
      </c>
      <c r="F138" t="s">
        <v>853</v>
      </c>
      <c r="G138" t="s">
        <v>181</v>
      </c>
      <c r="H138">
        <v>0.9</v>
      </c>
    </row>
    <row r="139" spans="1:8" ht="409.5" x14ac:dyDescent="0.35">
      <c r="A139" t="s">
        <v>603</v>
      </c>
      <c r="B139">
        <v>2021</v>
      </c>
      <c r="C139" t="s">
        <v>601</v>
      </c>
      <c r="D139" s="1" t="s">
        <v>604</v>
      </c>
      <c r="E139" t="b">
        <v>1</v>
      </c>
      <c r="F139" t="s">
        <v>854</v>
      </c>
      <c r="G139" t="s">
        <v>181</v>
      </c>
      <c r="H139">
        <v>0.9</v>
      </c>
    </row>
    <row r="140" spans="1:8" x14ac:dyDescent="0.35">
      <c r="A140" t="s">
        <v>605</v>
      </c>
      <c r="B140">
        <v>2021</v>
      </c>
      <c r="C140" t="s">
        <v>606</v>
      </c>
      <c r="D140" t="s">
        <v>607</v>
      </c>
      <c r="E140" t="b">
        <v>1</v>
      </c>
      <c r="F140" t="s">
        <v>771</v>
      </c>
      <c r="G140" t="s">
        <v>205</v>
      </c>
      <c r="H140">
        <v>0.6</v>
      </c>
    </row>
    <row r="141" spans="1:8" ht="409.5" x14ac:dyDescent="0.35">
      <c r="A141" t="s">
        <v>608</v>
      </c>
      <c r="B141">
        <v>2025</v>
      </c>
      <c r="C141" t="s">
        <v>609</v>
      </c>
      <c r="D141" s="1" t="s">
        <v>610</v>
      </c>
      <c r="E141" t="b">
        <v>1</v>
      </c>
      <c r="F141" t="s">
        <v>855</v>
      </c>
      <c r="G141" t="s">
        <v>181</v>
      </c>
      <c r="H141">
        <v>0.95</v>
      </c>
    </row>
    <row r="142" spans="1:8" x14ac:dyDescent="0.35">
      <c r="A142" t="s">
        <v>611</v>
      </c>
      <c r="B142">
        <v>2025</v>
      </c>
      <c r="C142" t="s">
        <v>609</v>
      </c>
      <c r="D142" t="s">
        <v>761</v>
      </c>
      <c r="E142" t="b">
        <v>1</v>
      </c>
      <c r="F142" t="s">
        <v>855</v>
      </c>
      <c r="G142" t="s">
        <v>181</v>
      </c>
      <c r="H142">
        <v>0.9</v>
      </c>
    </row>
    <row r="143" spans="1:8" x14ac:dyDescent="0.35">
      <c r="A143" t="s">
        <v>613</v>
      </c>
      <c r="B143">
        <v>2025</v>
      </c>
      <c r="C143" t="s">
        <v>614</v>
      </c>
      <c r="D143" t="s">
        <v>762</v>
      </c>
      <c r="E143" t="b">
        <v>0</v>
      </c>
      <c r="F143" t="s">
        <v>856</v>
      </c>
      <c r="G143" t="s">
        <v>181</v>
      </c>
      <c r="H143">
        <v>0.9</v>
      </c>
    </row>
    <row r="144" spans="1:8" x14ac:dyDescent="0.35">
      <c r="A144" t="s">
        <v>619</v>
      </c>
      <c r="B144">
        <v>2025</v>
      </c>
      <c r="C144" t="s">
        <v>620</v>
      </c>
      <c r="D144" t="s">
        <v>621</v>
      </c>
      <c r="E144" t="b">
        <v>1</v>
      </c>
      <c r="F144" t="s">
        <v>857</v>
      </c>
      <c r="G144" t="s">
        <v>181</v>
      </c>
      <c r="H144">
        <v>0.9</v>
      </c>
    </row>
    <row r="145" spans="1:8" x14ac:dyDescent="0.35">
      <c r="A145" t="s">
        <v>622</v>
      </c>
      <c r="B145">
        <v>2025</v>
      </c>
      <c r="C145" t="s">
        <v>623</v>
      </c>
      <c r="D145" t="s">
        <v>624</v>
      </c>
      <c r="E145" t="b">
        <v>1</v>
      </c>
      <c r="F145" t="s">
        <v>798</v>
      </c>
      <c r="G145" t="s">
        <v>181</v>
      </c>
      <c r="H145">
        <v>0.9</v>
      </c>
    </row>
    <row r="146" spans="1:8" x14ac:dyDescent="0.35">
      <c r="A146" t="s">
        <v>625</v>
      </c>
      <c r="B146">
        <v>2025</v>
      </c>
      <c r="C146" t="s">
        <v>763</v>
      </c>
      <c r="D146" t="s">
        <v>764</v>
      </c>
      <c r="E146" t="b">
        <v>1</v>
      </c>
      <c r="F146" t="s">
        <v>858</v>
      </c>
      <c r="G146" t="s">
        <v>181</v>
      </c>
      <c r="H146">
        <v>0.9</v>
      </c>
    </row>
    <row r="147" spans="1:8" x14ac:dyDescent="0.35">
      <c r="A147" t="s">
        <v>628</v>
      </c>
      <c r="B147">
        <v>2025</v>
      </c>
      <c r="C147" t="s">
        <v>629</v>
      </c>
      <c r="D147" t="s">
        <v>630</v>
      </c>
      <c r="E147" t="b">
        <v>1</v>
      </c>
      <c r="F147" t="s">
        <v>771</v>
      </c>
      <c r="G147" t="s">
        <v>205</v>
      </c>
      <c r="H147">
        <v>0.7</v>
      </c>
    </row>
    <row r="148" spans="1:8" x14ac:dyDescent="0.35">
      <c r="A148" t="s">
        <v>634</v>
      </c>
      <c r="B148">
        <v>2025</v>
      </c>
      <c r="C148" t="s">
        <v>635</v>
      </c>
      <c r="D148" t="s">
        <v>765</v>
      </c>
      <c r="E148" t="b">
        <v>1</v>
      </c>
      <c r="F148" t="s">
        <v>702</v>
      </c>
      <c r="G148" t="s">
        <v>181</v>
      </c>
      <c r="H148">
        <v>0.9</v>
      </c>
    </row>
    <row r="149" spans="1:8" x14ac:dyDescent="0.35">
      <c r="A149" t="s">
        <v>637</v>
      </c>
      <c r="B149">
        <v>2025</v>
      </c>
      <c r="C149" t="s">
        <v>638</v>
      </c>
      <c r="D149" t="s">
        <v>639</v>
      </c>
      <c r="E149" t="b">
        <v>1</v>
      </c>
      <c r="F149" t="s">
        <v>678</v>
      </c>
      <c r="G149" t="s">
        <v>181</v>
      </c>
      <c r="H149">
        <v>0.9</v>
      </c>
    </row>
    <row r="150" spans="1:8" x14ac:dyDescent="0.35">
      <c r="A150" t="s">
        <v>640</v>
      </c>
      <c r="B150">
        <v>2025</v>
      </c>
      <c r="C150" t="s">
        <v>641</v>
      </c>
      <c r="D150" t="s">
        <v>766</v>
      </c>
      <c r="E150" t="b">
        <v>1</v>
      </c>
      <c r="F150" t="s">
        <v>859</v>
      </c>
      <c r="G150" t="s">
        <v>181</v>
      </c>
      <c r="H150">
        <v>0.9</v>
      </c>
    </row>
    <row r="151" spans="1:8" x14ac:dyDescent="0.35">
      <c r="A151" t="s">
        <v>643</v>
      </c>
      <c r="B151">
        <v>2025</v>
      </c>
      <c r="C151" t="s">
        <v>644</v>
      </c>
      <c r="D151" t="s">
        <v>645</v>
      </c>
      <c r="E151" t="b">
        <v>1</v>
      </c>
      <c r="F151" t="s">
        <v>860</v>
      </c>
      <c r="G151" t="s">
        <v>181</v>
      </c>
      <c r="H151">
        <v>0.9</v>
      </c>
    </row>
    <row r="152" spans="1:8" x14ac:dyDescent="0.35">
      <c r="A152" t="s">
        <v>646</v>
      </c>
      <c r="B152">
        <v>2025</v>
      </c>
      <c r="C152" t="s">
        <v>647</v>
      </c>
      <c r="D152" t="s">
        <v>767</v>
      </c>
      <c r="E152" t="b">
        <v>1</v>
      </c>
      <c r="F152" t="s">
        <v>861</v>
      </c>
      <c r="G152" t="s">
        <v>181</v>
      </c>
      <c r="H152">
        <v>0.9</v>
      </c>
    </row>
    <row r="153" spans="1:8" x14ac:dyDescent="0.35">
      <c r="A153" t="s">
        <v>658</v>
      </c>
      <c r="B153">
        <v>2025</v>
      </c>
      <c r="C153" t="s">
        <v>659</v>
      </c>
      <c r="D153" t="s">
        <v>660</v>
      </c>
      <c r="E153" t="b">
        <v>1</v>
      </c>
      <c r="F153" t="s">
        <v>771</v>
      </c>
      <c r="G153" t="s">
        <v>205</v>
      </c>
      <c r="H153">
        <v>0.7</v>
      </c>
    </row>
    <row r="154" spans="1:8" x14ac:dyDescent="0.35">
      <c r="A154" t="s">
        <v>661</v>
      </c>
      <c r="B154">
        <v>2025</v>
      </c>
      <c r="C154" t="s">
        <v>662</v>
      </c>
      <c r="D154" t="s">
        <v>768</v>
      </c>
      <c r="E154" t="b">
        <v>1</v>
      </c>
      <c r="F154" t="s">
        <v>677</v>
      </c>
      <c r="G154" t="s">
        <v>181</v>
      </c>
      <c r="H154">
        <v>0.9</v>
      </c>
    </row>
    <row r="155" spans="1:8" x14ac:dyDescent="0.35">
      <c r="A155" t="s">
        <v>862</v>
      </c>
      <c r="B155">
        <v>2025</v>
      </c>
      <c r="C155" t="s">
        <v>863</v>
      </c>
      <c r="D155" t="s">
        <v>864</v>
      </c>
      <c r="E155" t="b">
        <v>0</v>
      </c>
      <c r="F155" t="s">
        <v>839</v>
      </c>
      <c r="G155" t="s">
        <v>192</v>
      </c>
      <c r="H155">
        <v>1</v>
      </c>
    </row>
    <row r="156" spans="1:8" ht="409.5" x14ac:dyDescent="0.35">
      <c r="A156" t="s">
        <v>865</v>
      </c>
      <c r="B156">
        <v>2025</v>
      </c>
      <c r="C156" t="s">
        <v>866</v>
      </c>
      <c r="D156" s="1" t="s">
        <v>867</v>
      </c>
      <c r="E156" t="b">
        <v>1</v>
      </c>
      <c r="F156" t="s">
        <v>868</v>
      </c>
      <c r="G156" t="s">
        <v>181</v>
      </c>
      <c r="H156">
        <v>0.9</v>
      </c>
    </row>
    <row r="157" spans="1:8" x14ac:dyDescent="0.35">
      <c r="A157" t="s">
        <v>869</v>
      </c>
      <c r="B157">
        <v>2025</v>
      </c>
      <c r="C157" t="s">
        <v>866</v>
      </c>
      <c r="D157" t="s">
        <v>870</v>
      </c>
      <c r="E157" t="b">
        <v>1</v>
      </c>
      <c r="F157" t="s">
        <v>871</v>
      </c>
      <c r="G157" t="s">
        <v>181</v>
      </c>
      <c r="H157">
        <v>0.9</v>
      </c>
    </row>
    <row r="158" spans="1:8" x14ac:dyDescent="0.35">
      <c r="A158" t="s">
        <v>872</v>
      </c>
      <c r="B158">
        <v>2025</v>
      </c>
      <c r="C158" t="s">
        <v>873</v>
      </c>
      <c r="D158" t="s">
        <v>874</v>
      </c>
      <c r="E158" t="b">
        <v>1</v>
      </c>
      <c r="F158" t="s">
        <v>789</v>
      </c>
      <c r="G158" t="s">
        <v>181</v>
      </c>
      <c r="H158">
        <v>0.9</v>
      </c>
    </row>
    <row r="159" spans="1:8" ht="409.5" x14ac:dyDescent="0.35">
      <c r="A159" t="s">
        <v>875</v>
      </c>
      <c r="B159">
        <v>2025</v>
      </c>
      <c r="C159" t="s">
        <v>876</v>
      </c>
      <c r="D159" s="1" t="s">
        <v>877</v>
      </c>
      <c r="E159" t="b">
        <v>1</v>
      </c>
      <c r="F159" t="s">
        <v>878</v>
      </c>
      <c r="G159" t="s">
        <v>181</v>
      </c>
      <c r="H159">
        <v>0.9</v>
      </c>
    </row>
    <row r="160" spans="1:8" x14ac:dyDescent="0.35">
      <c r="A160" t="s">
        <v>879</v>
      </c>
      <c r="B160">
        <v>2025</v>
      </c>
      <c r="C160" t="s">
        <v>880</v>
      </c>
      <c r="D160" t="s">
        <v>881</v>
      </c>
      <c r="E160" t="b">
        <v>1</v>
      </c>
      <c r="F160" t="s">
        <v>882</v>
      </c>
      <c r="G160" t="s">
        <v>181</v>
      </c>
      <c r="H160">
        <v>0.9</v>
      </c>
    </row>
    <row r="161" spans="1:8" x14ac:dyDescent="0.35">
      <c r="A161" t="s">
        <v>883</v>
      </c>
      <c r="B161">
        <v>2025</v>
      </c>
      <c r="C161" t="s">
        <v>884</v>
      </c>
      <c r="D161" t="s">
        <v>885</v>
      </c>
      <c r="E161" t="b">
        <v>1</v>
      </c>
      <c r="F161" t="s">
        <v>886</v>
      </c>
      <c r="G161" t="s">
        <v>181</v>
      </c>
      <c r="H161">
        <v>0.9</v>
      </c>
    </row>
    <row r="162" spans="1:8" x14ac:dyDescent="0.35">
      <c r="A162" t="s">
        <v>887</v>
      </c>
      <c r="B162">
        <v>2025</v>
      </c>
      <c r="C162" t="s">
        <v>888</v>
      </c>
      <c r="D162" t="s">
        <v>889</v>
      </c>
      <c r="E162" t="b">
        <v>1</v>
      </c>
      <c r="F162" t="s">
        <v>890</v>
      </c>
      <c r="G162" t="s">
        <v>205</v>
      </c>
      <c r="H162">
        <v>0.8</v>
      </c>
    </row>
    <row r="163" spans="1:8" x14ac:dyDescent="0.35">
      <c r="A163" t="s">
        <v>891</v>
      </c>
      <c r="B163">
        <v>2025</v>
      </c>
      <c r="C163" t="s">
        <v>892</v>
      </c>
      <c r="D163" t="s">
        <v>893</v>
      </c>
      <c r="E163" t="b">
        <v>1</v>
      </c>
      <c r="F163" t="s">
        <v>894</v>
      </c>
      <c r="G163" t="s">
        <v>181</v>
      </c>
      <c r="H163">
        <v>0.9</v>
      </c>
    </row>
    <row r="164" spans="1:8" x14ac:dyDescent="0.35">
      <c r="A164" t="s">
        <v>895</v>
      </c>
      <c r="B164">
        <v>2025</v>
      </c>
      <c r="C164" t="s">
        <v>896</v>
      </c>
      <c r="D164" t="s">
        <v>897</v>
      </c>
      <c r="E164" t="b">
        <v>1</v>
      </c>
      <c r="F164" t="s">
        <v>898</v>
      </c>
      <c r="G164" t="s">
        <v>181</v>
      </c>
      <c r="H164">
        <v>0.9</v>
      </c>
    </row>
    <row r="165" spans="1:8" x14ac:dyDescent="0.35">
      <c r="A165" t="s">
        <v>899</v>
      </c>
      <c r="B165">
        <v>2025</v>
      </c>
      <c r="C165" t="s">
        <v>900</v>
      </c>
      <c r="D165" t="s">
        <v>901</v>
      </c>
      <c r="E165" t="b">
        <v>1</v>
      </c>
      <c r="F165" t="s">
        <v>902</v>
      </c>
      <c r="G165" t="s">
        <v>181</v>
      </c>
      <c r="H165">
        <v>0.9</v>
      </c>
    </row>
    <row r="166" spans="1:8" x14ac:dyDescent="0.35">
      <c r="A166" t="s">
        <v>903</v>
      </c>
      <c r="B166">
        <v>2025</v>
      </c>
      <c r="C166" t="s">
        <v>904</v>
      </c>
      <c r="D166" t="s">
        <v>905</v>
      </c>
      <c r="E166" t="b">
        <v>0</v>
      </c>
      <c r="F166" t="s">
        <v>803</v>
      </c>
      <c r="G166" t="s">
        <v>192</v>
      </c>
      <c r="H166">
        <v>1</v>
      </c>
    </row>
    <row r="167" spans="1:8" x14ac:dyDescent="0.35">
      <c r="A167" t="s">
        <v>906</v>
      </c>
      <c r="B167">
        <v>2025</v>
      </c>
      <c r="C167" t="s">
        <v>907</v>
      </c>
      <c r="D167" t="s">
        <v>908</v>
      </c>
      <c r="E167" t="b">
        <v>0</v>
      </c>
      <c r="F167" t="s">
        <v>803</v>
      </c>
      <c r="G167" t="s">
        <v>192</v>
      </c>
      <c r="H167">
        <v>1</v>
      </c>
    </row>
    <row r="168" spans="1:8" x14ac:dyDescent="0.35">
      <c r="A168" t="s">
        <v>909</v>
      </c>
      <c r="B168">
        <v>2025</v>
      </c>
      <c r="C168" t="s">
        <v>910</v>
      </c>
      <c r="D168" t="s">
        <v>911</v>
      </c>
      <c r="E168" t="b">
        <v>1</v>
      </c>
      <c r="F168" t="s">
        <v>912</v>
      </c>
      <c r="G168" t="s">
        <v>181</v>
      </c>
      <c r="H168">
        <v>0.9</v>
      </c>
    </row>
    <row r="169" spans="1:8" ht="409.5" x14ac:dyDescent="0.35">
      <c r="A169" t="s">
        <v>913</v>
      </c>
      <c r="B169">
        <v>2025</v>
      </c>
      <c r="C169" t="s">
        <v>914</v>
      </c>
      <c r="D169" s="1" t="s">
        <v>915</v>
      </c>
      <c r="E169" t="b">
        <v>1</v>
      </c>
      <c r="F169" t="s">
        <v>678</v>
      </c>
      <c r="G169" t="s">
        <v>181</v>
      </c>
      <c r="H169">
        <v>0.9</v>
      </c>
    </row>
    <row r="170" spans="1:8" ht="409.5" x14ac:dyDescent="0.35">
      <c r="A170" t="s">
        <v>916</v>
      </c>
      <c r="B170">
        <v>2025</v>
      </c>
      <c r="C170" t="s">
        <v>917</v>
      </c>
      <c r="D170" s="1" t="s">
        <v>918</v>
      </c>
      <c r="E170" t="b">
        <v>1</v>
      </c>
      <c r="F170" t="s">
        <v>919</v>
      </c>
      <c r="G170" t="s">
        <v>181</v>
      </c>
      <c r="H170">
        <v>0.9</v>
      </c>
    </row>
    <row r="171" spans="1:8" x14ac:dyDescent="0.35">
      <c r="A171" t="s">
        <v>920</v>
      </c>
      <c r="B171">
        <v>2025</v>
      </c>
      <c r="C171" t="s">
        <v>921</v>
      </c>
      <c r="D171" t="s">
        <v>922</v>
      </c>
      <c r="E171" t="b">
        <v>1</v>
      </c>
      <c r="F171" t="s">
        <v>923</v>
      </c>
      <c r="G171" t="s">
        <v>181</v>
      </c>
      <c r="H171">
        <v>0.9</v>
      </c>
    </row>
    <row r="172" spans="1:8" x14ac:dyDescent="0.35">
      <c r="A172" t="s">
        <v>924</v>
      </c>
      <c r="B172">
        <v>2025</v>
      </c>
      <c r="C172" t="s">
        <v>925</v>
      </c>
      <c r="D172" t="s">
        <v>926</v>
      </c>
      <c r="E172" t="b">
        <v>1</v>
      </c>
      <c r="F172" t="s">
        <v>771</v>
      </c>
      <c r="G172" t="s">
        <v>205</v>
      </c>
      <c r="H172">
        <v>0.6</v>
      </c>
    </row>
    <row r="173" spans="1:8" x14ac:dyDescent="0.35">
      <c r="A173" t="s">
        <v>927</v>
      </c>
      <c r="B173">
        <v>2025</v>
      </c>
      <c r="C173" t="s">
        <v>928</v>
      </c>
      <c r="D173" t="s">
        <v>929</v>
      </c>
      <c r="E173" t="b">
        <v>1</v>
      </c>
      <c r="F173" t="s">
        <v>826</v>
      </c>
      <c r="G173" t="s">
        <v>181</v>
      </c>
      <c r="H173">
        <v>0.9</v>
      </c>
    </row>
    <row r="174" spans="1:8" x14ac:dyDescent="0.35">
      <c r="A174" t="s">
        <v>930</v>
      </c>
      <c r="B174">
        <v>2025</v>
      </c>
      <c r="C174" t="s">
        <v>931</v>
      </c>
      <c r="D174" t="s">
        <v>932</v>
      </c>
      <c r="E174" t="b">
        <v>1</v>
      </c>
      <c r="F174" t="s">
        <v>933</v>
      </c>
      <c r="G174" t="s">
        <v>181</v>
      </c>
      <c r="H174">
        <v>0.9</v>
      </c>
    </row>
    <row r="175" spans="1:8" x14ac:dyDescent="0.35">
      <c r="A175" t="s">
        <v>934</v>
      </c>
      <c r="B175">
        <v>2025</v>
      </c>
      <c r="C175" t="s">
        <v>935</v>
      </c>
      <c r="D175" t="s">
        <v>936</v>
      </c>
      <c r="E175" t="b">
        <v>1</v>
      </c>
      <c r="F175" t="s">
        <v>799</v>
      </c>
      <c r="G175" t="s">
        <v>181</v>
      </c>
      <c r="H175">
        <v>0.9</v>
      </c>
    </row>
    <row r="176" spans="1:8" x14ac:dyDescent="0.35">
      <c r="A176" t="s">
        <v>937</v>
      </c>
      <c r="B176">
        <v>2025</v>
      </c>
      <c r="C176" t="s">
        <v>938</v>
      </c>
      <c r="D176" t="s">
        <v>939</v>
      </c>
      <c r="E176" t="b">
        <v>1</v>
      </c>
      <c r="F176" t="s">
        <v>940</v>
      </c>
      <c r="G176" t="s">
        <v>181</v>
      </c>
      <c r="H176">
        <v>0.9</v>
      </c>
    </row>
    <row r="177" spans="1:8" x14ac:dyDescent="0.35">
      <c r="A177" t="s">
        <v>941</v>
      </c>
      <c r="B177">
        <v>2025</v>
      </c>
      <c r="C177" t="s">
        <v>942</v>
      </c>
      <c r="D177" t="s">
        <v>943</v>
      </c>
      <c r="E177" t="b">
        <v>1</v>
      </c>
      <c r="F177" t="s">
        <v>802</v>
      </c>
      <c r="G177" t="s">
        <v>181</v>
      </c>
      <c r="H177">
        <v>0.9</v>
      </c>
    </row>
    <row r="178" spans="1:8" x14ac:dyDescent="0.35">
      <c r="A178" t="s">
        <v>944</v>
      </c>
      <c r="B178">
        <v>2025</v>
      </c>
      <c r="C178" t="s">
        <v>945</v>
      </c>
      <c r="D178" t="s">
        <v>946</v>
      </c>
      <c r="E178" t="b">
        <v>1</v>
      </c>
      <c r="F178" t="s">
        <v>947</v>
      </c>
      <c r="G178" t="s">
        <v>181</v>
      </c>
      <c r="H178">
        <v>0.9</v>
      </c>
    </row>
    <row r="179" spans="1:8" x14ac:dyDescent="0.35">
      <c r="A179" t="s">
        <v>948</v>
      </c>
      <c r="B179">
        <v>2025</v>
      </c>
      <c r="C179" t="s">
        <v>949</v>
      </c>
      <c r="D179" t="s">
        <v>499</v>
      </c>
      <c r="E179" t="b">
        <v>1</v>
      </c>
      <c r="F179" t="s">
        <v>771</v>
      </c>
      <c r="G179" t="s">
        <v>205</v>
      </c>
      <c r="H179">
        <v>0.7</v>
      </c>
    </row>
    <row r="180" spans="1:8" x14ac:dyDescent="0.35">
      <c r="A180" t="s">
        <v>950</v>
      </c>
      <c r="B180">
        <v>2025</v>
      </c>
      <c r="C180" t="s">
        <v>951</v>
      </c>
      <c r="D180" t="s">
        <v>952</v>
      </c>
      <c r="E180" t="b">
        <v>1</v>
      </c>
      <c r="F180" t="s">
        <v>789</v>
      </c>
      <c r="G180" t="s">
        <v>181</v>
      </c>
      <c r="H180">
        <v>0.9</v>
      </c>
    </row>
    <row r="181" spans="1:8" x14ac:dyDescent="0.35">
      <c r="A181" t="s">
        <v>953</v>
      </c>
      <c r="B181">
        <v>2025</v>
      </c>
      <c r="C181" t="s">
        <v>954</v>
      </c>
      <c r="D181" t="s">
        <v>955</v>
      </c>
      <c r="E181" t="b">
        <v>1</v>
      </c>
      <c r="F181" t="s">
        <v>956</v>
      </c>
      <c r="G181" t="s">
        <v>181</v>
      </c>
      <c r="H181">
        <v>0.9</v>
      </c>
    </row>
    <row r="182" spans="1:8" ht="409.5" x14ac:dyDescent="0.35">
      <c r="A182" t="s">
        <v>957</v>
      </c>
      <c r="B182">
        <v>2025</v>
      </c>
      <c r="C182" t="s">
        <v>958</v>
      </c>
      <c r="D182" s="1" t="s">
        <v>959</v>
      </c>
      <c r="E182" t="b">
        <v>0</v>
      </c>
      <c r="F182" t="s">
        <v>850</v>
      </c>
      <c r="G182" t="s">
        <v>192</v>
      </c>
      <c r="H182">
        <v>1</v>
      </c>
    </row>
    <row r="183" spans="1:8" x14ac:dyDescent="0.35">
      <c r="A183" t="s">
        <v>960</v>
      </c>
      <c r="B183">
        <v>2025</v>
      </c>
      <c r="C183" t="s">
        <v>961</v>
      </c>
      <c r="D183" t="s">
        <v>962</v>
      </c>
      <c r="E183" t="b">
        <v>1</v>
      </c>
      <c r="F183" t="s">
        <v>963</v>
      </c>
      <c r="G183" t="s">
        <v>181</v>
      </c>
      <c r="H183">
        <v>0.9</v>
      </c>
    </row>
    <row r="184" spans="1:8" x14ac:dyDescent="0.35">
      <c r="A184" t="s">
        <v>964</v>
      </c>
      <c r="B184">
        <v>2025</v>
      </c>
      <c r="C184" t="s">
        <v>965</v>
      </c>
      <c r="D184" t="s">
        <v>966</v>
      </c>
      <c r="E184" t="b">
        <v>1</v>
      </c>
      <c r="F184" t="s">
        <v>967</v>
      </c>
      <c r="G184" t="s">
        <v>181</v>
      </c>
      <c r="H184">
        <v>0.9</v>
      </c>
    </row>
    <row r="185" spans="1:8" x14ac:dyDescent="0.35">
      <c r="A185" t="s">
        <v>968</v>
      </c>
      <c r="B185">
        <v>2025</v>
      </c>
      <c r="C185" t="s">
        <v>969</v>
      </c>
      <c r="D185" t="s">
        <v>970</v>
      </c>
      <c r="E185" t="b">
        <v>1</v>
      </c>
      <c r="F185" t="s">
        <v>789</v>
      </c>
      <c r="G185" t="s">
        <v>181</v>
      </c>
      <c r="H185">
        <v>0.9</v>
      </c>
    </row>
    <row r="186" spans="1:8" x14ac:dyDescent="0.35">
      <c r="A186" t="s">
        <v>971</v>
      </c>
      <c r="B186">
        <v>2025</v>
      </c>
      <c r="C186" t="s">
        <v>972</v>
      </c>
      <c r="D186" t="s">
        <v>973</v>
      </c>
      <c r="E186" t="b">
        <v>1</v>
      </c>
      <c r="F186" t="s">
        <v>831</v>
      </c>
      <c r="G186" t="s">
        <v>181</v>
      </c>
      <c r="H186">
        <v>0.9</v>
      </c>
    </row>
    <row r="187" spans="1:8" x14ac:dyDescent="0.35">
      <c r="A187" t="s">
        <v>974</v>
      </c>
      <c r="B187">
        <v>2025</v>
      </c>
      <c r="C187" t="s">
        <v>975</v>
      </c>
      <c r="D187" t="s">
        <v>976</v>
      </c>
      <c r="E187" t="b">
        <v>1</v>
      </c>
      <c r="F187" t="s">
        <v>977</v>
      </c>
      <c r="G187" t="s">
        <v>181</v>
      </c>
      <c r="H187">
        <v>0.9</v>
      </c>
    </row>
    <row r="188" spans="1:8" x14ac:dyDescent="0.35">
      <c r="A188" t="s">
        <v>978</v>
      </c>
      <c r="B188">
        <v>2025</v>
      </c>
      <c r="C188" t="s">
        <v>979</v>
      </c>
      <c r="D188" t="s">
        <v>980</v>
      </c>
      <c r="E188" t="b">
        <v>1</v>
      </c>
      <c r="F188" t="s">
        <v>981</v>
      </c>
      <c r="G188" t="s">
        <v>181</v>
      </c>
      <c r="H188">
        <v>0.9</v>
      </c>
    </row>
    <row r="189" spans="1:8" x14ac:dyDescent="0.35">
      <c r="A189" t="s">
        <v>982</v>
      </c>
      <c r="B189">
        <v>2025</v>
      </c>
      <c r="C189" t="s">
        <v>983</v>
      </c>
      <c r="D189" t="s">
        <v>984</v>
      </c>
      <c r="E189" t="b">
        <v>1</v>
      </c>
      <c r="F189" t="s">
        <v>705</v>
      </c>
      <c r="G189" t="s">
        <v>181</v>
      </c>
      <c r="H189">
        <v>0.9</v>
      </c>
    </row>
    <row r="190" spans="1:8" x14ac:dyDescent="0.35">
      <c r="A190" t="s">
        <v>985</v>
      </c>
      <c r="B190">
        <v>2025</v>
      </c>
      <c r="C190" t="s">
        <v>986</v>
      </c>
      <c r="D190" t="s">
        <v>987</v>
      </c>
      <c r="E190" t="b">
        <v>1</v>
      </c>
      <c r="F190" t="s">
        <v>771</v>
      </c>
      <c r="G190" t="s">
        <v>205</v>
      </c>
      <c r="H190">
        <v>0.7</v>
      </c>
    </row>
    <row r="191" spans="1:8" x14ac:dyDescent="0.35">
      <c r="A191" t="s">
        <v>988</v>
      </c>
      <c r="B191">
        <v>2025</v>
      </c>
      <c r="C191" t="s">
        <v>989</v>
      </c>
      <c r="D191" t="s">
        <v>990</v>
      </c>
      <c r="E191" t="b">
        <v>1</v>
      </c>
      <c r="F191" t="s">
        <v>991</v>
      </c>
      <c r="G191" t="s">
        <v>181</v>
      </c>
      <c r="H191">
        <v>0.9</v>
      </c>
    </row>
    <row r="192" spans="1:8" x14ac:dyDescent="0.35">
      <c r="A192" t="s">
        <v>992</v>
      </c>
      <c r="B192">
        <v>2025</v>
      </c>
      <c r="C192" t="s">
        <v>993</v>
      </c>
      <c r="D192" t="s">
        <v>994</v>
      </c>
      <c r="E192" t="b">
        <v>1</v>
      </c>
      <c r="F192" t="s">
        <v>912</v>
      </c>
      <c r="G192" t="s">
        <v>181</v>
      </c>
      <c r="H192">
        <v>0.9</v>
      </c>
    </row>
    <row r="193" spans="1:8" x14ac:dyDescent="0.35">
      <c r="A193" t="s">
        <v>995</v>
      </c>
      <c r="B193">
        <v>2025</v>
      </c>
      <c r="C193" t="s">
        <v>996</v>
      </c>
      <c r="D193" t="s">
        <v>997</v>
      </c>
      <c r="E193" t="b">
        <v>1</v>
      </c>
      <c r="F193" t="s">
        <v>771</v>
      </c>
      <c r="G193" t="s">
        <v>205</v>
      </c>
      <c r="H193">
        <v>0.7</v>
      </c>
    </row>
    <row r="194" spans="1:8" x14ac:dyDescent="0.35">
      <c r="A194" t="s">
        <v>998</v>
      </c>
      <c r="B194">
        <v>2025</v>
      </c>
      <c r="C194" t="s">
        <v>999</v>
      </c>
      <c r="D194" t="s">
        <v>1000</v>
      </c>
      <c r="E194" t="b">
        <v>1</v>
      </c>
      <c r="F194" t="s">
        <v>1001</v>
      </c>
      <c r="G194" t="s">
        <v>181</v>
      </c>
      <c r="H194">
        <v>0.9</v>
      </c>
    </row>
    <row r="195" spans="1:8" x14ac:dyDescent="0.35">
      <c r="A195" t="s">
        <v>1002</v>
      </c>
      <c r="B195">
        <v>2025</v>
      </c>
      <c r="C195" t="s">
        <v>1003</v>
      </c>
      <c r="D195" t="s">
        <v>1004</v>
      </c>
      <c r="E195" t="b">
        <v>1</v>
      </c>
      <c r="F195" t="s">
        <v>1005</v>
      </c>
      <c r="G195" t="s">
        <v>181</v>
      </c>
      <c r="H195">
        <v>0.9</v>
      </c>
    </row>
    <row r="196" spans="1:8" x14ac:dyDescent="0.35">
      <c r="A196" t="s">
        <v>1006</v>
      </c>
      <c r="B196">
        <v>2025</v>
      </c>
      <c r="C196" t="s">
        <v>1007</v>
      </c>
      <c r="D196" t="s">
        <v>1008</v>
      </c>
      <c r="E196" t="b">
        <v>1</v>
      </c>
      <c r="F196" t="s">
        <v>1009</v>
      </c>
      <c r="G196" t="s">
        <v>181</v>
      </c>
      <c r="H196">
        <v>0.9</v>
      </c>
    </row>
    <row r="197" spans="1:8" x14ac:dyDescent="0.35">
      <c r="A197" t="s">
        <v>1010</v>
      </c>
      <c r="B197">
        <v>2025</v>
      </c>
      <c r="C197" t="s">
        <v>1011</v>
      </c>
      <c r="D197" t="s">
        <v>1012</v>
      </c>
      <c r="E197" t="b">
        <v>1</v>
      </c>
      <c r="F197" t="s">
        <v>771</v>
      </c>
      <c r="G197" t="s">
        <v>205</v>
      </c>
      <c r="H197">
        <v>0.6</v>
      </c>
    </row>
    <row r="198" spans="1:8" x14ac:dyDescent="0.35">
      <c r="A198" t="s">
        <v>1013</v>
      </c>
      <c r="B198">
        <v>2025</v>
      </c>
      <c r="C198" t="s">
        <v>1014</v>
      </c>
      <c r="D198" t="s">
        <v>1015</v>
      </c>
      <c r="E198" t="b">
        <v>1</v>
      </c>
      <c r="F198" t="s">
        <v>677</v>
      </c>
      <c r="G198" t="s">
        <v>181</v>
      </c>
      <c r="H198">
        <v>0.9</v>
      </c>
    </row>
    <row r="199" spans="1:8" ht="409.5" x14ac:dyDescent="0.35">
      <c r="A199" t="s">
        <v>1016</v>
      </c>
      <c r="B199">
        <v>2025</v>
      </c>
      <c r="C199" t="s">
        <v>1017</v>
      </c>
      <c r="D199" s="1" t="s">
        <v>1018</v>
      </c>
      <c r="E199" t="b">
        <v>1</v>
      </c>
      <c r="F199" t="s">
        <v>1019</v>
      </c>
      <c r="G199" t="s">
        <v>181</v>
      </c>
      <c r="H199">
        <v>0.9</v>
      </c>
    </row>
    <row r="200" spans="1:8" x14ac:dyDescent="0.35">
      <c r="A200" t="s">
        <v>1020</v>
      </c>
      <c r="B200">
        <v>2025</v>
      </c>
      <c r="C200" t="s">
        <v>1021</v>
      </c>
      <c r="D200" t="s">
        <v>1022</v>
      </c>
      <c r="E200" t="b">
        <v>1</v>
      </c>
      <c r="F200" t="s">
        <v>1023</v>
      </c>
      <c r="G200" t="s">
        <v>181</v>
      </c>
      <c r="H200">
        <v>0.9</v>
      </c>
    </row>
    <row r="201" spans="1:8" x14ac:dyDescent="0.35">
      <c r="A201" t="s">
        <v>1024</v>
      </c>
      <c r="B201">
        <v>2025</v>
      </c>
      <c r="C201" t="s">
        <v>1025</v>
      </c>
      <c r="D201" t="s">
        <v>1026</v>
      </c>
      <c r="E201" t="b">
        <v>1</v>
      </c>
      <c r="F201" t="s">
        <v>912</v>
      </c>
      <c r="G201" t="s">
        <v>181</v>
      </c>
      <c r="H201">
        <v>0.9</v>
      </c>
    </row>
    <row r="202" spans="1:8" x14ac:dyDescent="0.35">
      <c r="A202" t="s">
        <v>1027</v>
      </c>
      <c r="B202">
        <v>2025</v>
      </c>
      <c r="C202" t="s">
        <v>1028</v>
      </c>
      <c r="D202" t="s">
        <v>1029</v>
      </c>
      <c r="E202" t="b">
        <v>1</v>
      </c>
      <c r="F202" t="s">
        <v>769</v>
      </c>
      <c r="G202" t="s">
        <v>181</v>
      </c>
      <c r="H202">
        <v>0.9</v>
      </c>
    </row>
    <row r="203" spans="1:8" ht="409.5" x14ac:dyDescent="0.35">
      <c r="A203" t="s">
        <v>1030</v>
      </c>
      <c r="B203">
        <v>2025</v>
      </c>
      <c r="C203" t="s">
        <v>1031</v>
      </c>
      <c r="D203" s="1" t="s">
        <v>1032</v>
      </c>
      <c r="E203" t="b">
        <v>1</v>
      </c>
      <c r="F203" t="s">
        <v>1033</v>
      </c>
      <c r="G203" t="s">
        <v>181</v>
      </c>
      <c r="H203">
        <v>0.9</v>
      </c>
    </row>
    <row r="204" spans="1:8" ht="409.5" x14ac:dyDescent="0.35">
      <c r="A204" t="s">
        <v>1034</v>
      </c>
      <c r="B204">
        <v>2025</v>
      </c>
      <c r="C204" t="s">
        <v>1035</v>
      </c>
      <c r="D204" s="1" t="s">
        <v>1036</v>
      </c>
      <c r="E204" t="b">
        <v>1</v>
      </c>
      <c r="F204" t="s">
        <v>1037</v>
      </c>
      <c r="G204" t="s">
        <v>181</v>
      </c>
      <c r="H204">
        <v>0.9</v>
      </c>
    </row>
    <row r="205" spans="1:8" x14ac:dyDescent="0.35">
      <c r="A205" t="s">
        <v>1038</v>
      </c>
      <c r="B205">
        <v>2025</v>
      </c>
      <c r="C205" t="s">
        <v>1039</v>
      </c>
      <c r="D205" t="s">
        <v>1040</v>
      </c>
      <c r="E205" t="b">
        <v>1</v>
      </c>
      <c r="F205" t="s">
        <v>1041</v>
      </c>
      <c r="G205" t="s">
        <v>181</v>
      </c>
      <c r="H205">
        <v>0.9</v>
      </c>
    </row>
    <row r="206" spans="1:8" x14ac:dyDescent="0.35">
      <c r="A206" t="s">
        <v>1042</v>
      </c>
      <c r="B206">
        <v>2025</v>
      </c>
      <c r="C206" t="s">
        <v>1043</v>
      </c>
      <c r="D206" t="s">
        <v>1044</v>
      </c>
      <c r="E206" t="b">
        <v>1</v>
      </c>
      <c r="F206" t="s">
        <v>1045</v>
      </c>
      <c r="G206" t="s">
        <v>181</v>
      </c>
      <c r="H206">
        <v>0.9</v>
      </c>
    </row>
    <row r="207" spans="1:8" x14ac:dyDescent="0.35">
      <c r="A207" t="s">
        <v>1046</v>
      </c>
      <c r="B207">
        <v>2025</v>
      </c>
      <c r="C207" t="s">
        <v>1047</v>
      </c>
      <c r="D207" t="s">
        <v>1048</v>
      </c>
      <c r="E207" t="b">
        <v>1</v>
      </c>
      <c r="F207" t="s">
        <v>1049</v>
      </c>
      <c r="G207" t="s">
        <v>181</v>
      </c>
      <c r="H207">
        <v>0.9</v>
      </c>
    </row>
    <row r="208" spans="1:8" x14ac:dyDescent="0.35">
      <c r="A208" t="s">
        <v>1050</v>
      </c>
      <c r="B208">
        <v>2025</v>
      </c>
      <c r="C208" t="s">
        <v>1051</v>
      </c>
      <c r="D208" t="s">
        <v>1052</v>
      </c>
      <c r="E208" t="b">
        <v>1</v>
      </c>
      <c r="F208" t="s">
        <v>776</v>
      </c>
      <c r="G208" t="s">
        <v>181</v>
      </c>
      <c r="H208">
        <v>0.9</v>
      </c>
    </row>
    <row r="209" spans="1:8" x14ac:dyDescent="0.35">
      <c r="A209" t="s">
        <v>1053</v>
      </c>
      <c r="B209">
        <v>2025</v>
      </c>
      <c r="C209" t="s">
        <v>1054</v>
      </c>
      <c r="D209" t="s">
        <v>1055</v>
      </c>
      <c r="E209" t="b">
        <v>1</v>
      </c>
      <c r="F209" t="s">
        <v>1056</v>
      </c>
      <c r="G209" t="s">
        <v>181</v>
      </c>
      <c r="H209">
        <v>0.9</v>
      </c>
    </row>
    <row r="210" spans="1:8" x14ac:dyDescent="0.35">
      <c r="A210" t="s">
        <v>1057</v>
      </c>
      <c r="B210">
        <v>2025</v>
      </c>
      <c r="C210" t="s">
        <v>1058</v>
      </c>
      <c r="D210" t="s">
        <v>1059</v>
      </c>
      <c r="E210" t="b">
        <v>1</v>
      </c>
      <c r="F210" t="s">
        <v>771</v>
      </c>
      <c r="G210" t="s">
        <v>205</v>
      </c>
      <c r="H210">
        <v>0.7</v>
      </c>
    </row>
    <row r="211" spans="1:8" x14ac:dyDescent="0.35">
      <c r="A211" t="s">
        <v>1060</v>
      </c>
      <c r="B211">
        <v>2025</v>
      </c>
      <c r="C211" t="s">
        <v>1061</v>
      </c>
      <c r="D211" t="s">
        <v>1062</v>
      </c>
      <c r="E211" t="b">
        <v>1</v>
      </c>
      <c r="F211" t="s">
        <v>1063</v>
      </c>
      <c r="G211" t="s">
        <v>181</v>
      </c>
      <c r="H211">
        <v>0.9</v>
      </c>
    </row>
    <row r="212" spans="1:8" x14ac:dyDescent="0.35">
      <c r="A212" t="s">
        <v>1064</v>
      </c>
      <c r="B212">
        <v>2025</v>
      </c>
      <c r="C212" t="s">
        <v>1065</v>
      </c>
      <c r="D212" t="s">
        <v>1066</v>
      </c>
      <c r="E212" t="b">
        <v>1</v>
      </c>
      <c r="F212" t="s">
        <v>1067</v>
      </c>
      <c r="G212" t="s">
        <v>181</v>
      </c>
      <c r="H212">
        <v>0.9</v>
      </c>
    </row>
    <row r="213" spans="1:8" x14ac:dyDescent="0.35">
      <c r="A213" t="s">
        <v>1068</v>
      </c>
      <c r="B213">
        <v>2025</v>
      </c>
      <c r="C213" t="s">
        <v>1065</v>
      </c>
      <c r="D213" t="s">
        <v>1069</v>
      </c>
      <c r="E213" t="b">
        <v>1</v>
      </c>
      <c r="F213" t="s">
        <v>678</v>
      </c>
      <c r="G213" t="s">
        <v>181</v>
      </c>
      <c r="H213">
        <v>0.9</v>
      </c>
    </row>
    <row r="214" spans="1:8" x14ac:dyDescent="0.35">
      <c r="A214" t="s">
        <v>1070</v>
      </c>
      <c r="B214">
        <v>2025</v>
      </c>
      <c r="C214" t="s">
        <v>1071</v>
      </c>
      <c r="D214" t="s">
        <v>1072</v>
      </c>
      <c r="E214" t="b">
        <v>1</v>
      </c>
      <c r="F214" t="s">
        <v>1073</v>
      </c>
      <c r="G214" t="s">
        <v>674</v>
      </c>
      <c r="H214">
        <v>0.9</v>
      </c>
    </row>
    <row r="215" spans="1:8" x14ac:dyDescent="0.35">
      <c r="A215" t="s">
        <v>1074</v>
      </c>
      <c r="B215">
        <v>2025</v>
      </c>
      <c r="C215" t="s">
        <v>1075</v>
      </c>
      <c r="D215" t="s">
        <v>1076</v>
      </c>
      <c r="E215" t="b">
        <v>1</v>
      </c>
      <c r="F215" t="s">
        <v>1077</v>
      </c>
      <c r="G215" t="s">
        <v>181</v>
      </c>
      <c r="H215">
        <v>0.9</v>
      </c>
    </row>
    <row r="216" spans="1:8" x14ac:dyDescent="0.35">
      <c r="A216" t="s">
        <v>1078</v>
      </c>
      <c r="B216">
        <v>2020</v>
      </c>
      <c r="C216" t="s">
        <v>1079</v>
      </c>
      <c r="D216" t="s">
        <v>1080</v>
      </c>
      <c r="E216" t="b">
        <v>1</v>
      </c>
      <c r="F216" t="s">
        <v>771</v>
      </c>
      <c r="G216" t="s">
        <v>205</v>
      </c>
      <c r="H216">
        <v>0.6</v>
      </c>
    </row>
    <row r="217" spans="1:8" x14ac:dyDescent="0.35">
      <c r="A217" t="s">
        <v>1081</v>
      </c>
      <c r="B217">
        <v>2020</v>
      </c>
      <c r="C217" t="s">
        <v>1082</v>
      </c>
      <c r="D217" t="s">
        <v>1083</v>
      </c>
      <c r="E217" t="b">
        <v>1</v>
      </c>
      <c r="F217" t="s">
        <v>1084</v>
      </c>
      <c r="G217" t="s">
        <v>181</v>
      </c>
      <c r="H217">
        <v>0.9</v>
      </c>
    </row>
    <row r="218" spans="1:8" x14ac:dyDescent="0.35">
      <c r="A218" t="s">
        <v>1085</v>
      </c>
      <c r="B218">
        <v>2020</v>
      </c>
      <c r="C218" t="s">
        <v>1086</v>
      </c>
      <c r="D218" t="s">
        <v>1087</v>
      </c>
      <c r="E218" t="b">
        <v>0</v>
      </c>
      <c r="F218" t="s">
        <v>815</v>
      </c>
      <c r="G218" t="s">
        <v>190</v>
      </c>
      <c r="H218">
        <v>0.9</v>
      </c>
    </row>
    <row r="219" spans="1:8" x14ac:dyDescent="0.35">
      <c r="A219" t="s">
        <v>1088</v>
      </c>
      <c r="B219">
        <v>2020</v>
      </c>
      <c r="C219" t="s">
        <v>1089</v>
      </c>
      <c r="D219" t="s">
        <v>1090</v>
      </c>
      <c r="E219" t="b">
        <v>1</v>
      </c>
      <c r="F219" t="s">
        <v>1091</v>
      </c>
      <c r="G219" t="s">
        <v>181</v>
      </c>
      <c r="H219">
        <v>0.9</v>
      </c>
    </row>
    <row r="220" spans="1:8" x14ac:dyDescent="0.35">
      <c r="A220" t="s">
        <v>1092</v>
      </c>
      <c r="B220">
        <v>2020</v>
      </c>
      <c r="C220" t="s">
        <v>1093</v>
      </c>
      <c r="D220" t="s">
        <v>1094</v>
      </c>
      <c r="E220" t="b">
        <v>1</v>
      </c>
      <c r="F220" t="s">
        <v>1095</v>
      </c>
      <c r="G220" t="s">
        <v>181</v>
      </c>
      <c r="H220">
        <v>0.9</v>
      </c>
    </row>
    <row r="221" spans="1:8" x14ac:dyDescent="0.35">
      <c r="A221" t="s">
        <v>1096</v>
      </c>
      <c r="B221">
        <v>2020</v>
      </c>
      <c r="C221" t="s">
        <v>1097</v>
      </c>
      <c r="D221" t="s">
        <v>1098</v>
      </c>
      <c r="E221" t="b">
        <v>1</v>
      </c>
      <c r="F221" t="s">
        <v>1099</v>
      </c>
      <c r="G221" t="s">
        <v>181</v>
      </c>
      <c r="H221">
        <v>0.9</v>
      </c>
    </row>
    <row r="222" spans="1:8" x14ac:dyDescent="0.35">
      <c r="A222" t="s">
        <v>1100</v>
      </c>
      <c r="B222">
        <v>2020</v>
      </c>
      <c r="C222" t="s">
        <v>1101</v>
      </c>
      <c r="D222" t="s">
        <v>499</v>
      </c>
      <c r="E222" t="b">
        <v>1</v>
      </c>
      <c r="F222" t="s">
        <v>1102</v>
      </c>
      <c r="G222" t="s">
        <v>181</v>
      </c>
      <c r="H222">
        <v>0.9</v>
      </c>
    </row>
    <row r="223" spans="1:8" x14ac:dyDescent="0.35">
      <c r="A223" t="s">
        <v>1103</v>
      </c>
      <c r="B223">
        <v>2020</v>
      </c>
      <c r="C223" t="s">
        <v>1104</v>
      </c>
      <c r="D223" t="s">
        <v>1105</v>
      </c>
      <c r="E223" t="b">
        <v>1</v>
      </c>
      <c r="F223" t="s">
        <v>1106</v>
      </c>
      <c r="G223" t="s">
        <v>181</v>
      </c>
      <c r="H223">
        <v>0.9</v>
      </c>
    </row>
    <row r="224" spans="1:8" x14ac:dyDescent="0.35">
      <c r="A224" t="s">
        <v>1107</v>
      </c>
      <c r="B224">
        <v>2020</v>
      </c>
      <c r="C224" t="s">
        <v>1108</v>
      </c>
      <c r="D224" t="s">
        <v>1109</v>
      </c>
      <c r="E224" t="b">
        <v>0</v>
      </c>
      <c r="F224" t="s">
        <v>803</v>
      </c>
      <c r="G224" t="s">
        <v>192</v>
      </c>
      <c r="H224">
        <v>1</v>
      </c>
    </row>
    <row r="225" spans="1:8" x14ac:dyDescent="0.35">
      <c r="A225" t="s">
        <v>1110</v>
      </c>
      <c r="B225">
        <v>2020</v>
      </c>
      <c r="C225" t="s">
        <v>1111</v>
      </c>
      <c r="D225" t="s">
        <v>1112</v>
      </c>
      <c r="E225" t="b">
        <v>1</v>
      </c>
      <c r="F225" t="s">
        <v>1113</v>
      </c>
      <c r="G225" t="s">
        <v>181</v>
      </c>
      <c r="H225">
        <v>0.9</v>
      </c>
    </row>
    <row r="226" spans="1:8" x14ac:dyDescent="0.35">
      <c r="A226" t="s">
        <v>1114</v>
      </c>
      <c r="B226">
        <v>2020</v>
      </c>
      <c r="C226" t="s">
        <v>1115</v>
      </c>
      <c r="D226" t="s">
        <v>1116</v>
      </c>
      <c r="E226" t="b">
        <v>1</v>
      </c>
      <c r="F226" t="s">
        <v>1117</v>
      </c>
      <c r="G226" t="s">
        <v>181</v>
      </c>
      <c r="H226">
        <v>0.9</v>
      </c>
    </row>
    <row r="227" spans="1:8" x14ac:dyDescent="0.35">
      <c r="A227" t="s">
        <v>1118</v>
      </c>
      <c r="B227">
        <v>2020</v>
      </c>
      <c r="C227" t="s">
        <v>1119</v>
      </c>
      <c r="D227" t="s">
        <v>1120</v>
      </c>
      <c r="E227" t="b">
        <v>0</v>
      </c>
      <c r="F227" t="s">
        <v>1121</v>
      </c>
      <c r="G227" t="s">
        <v>190</v>
      </c>
      <c r="H227">
        <v>0.9</v>
      </c>
    </row>
    <row r="228" spans="1:8" x14ac:dyDescent="0.35">
      <c r="A228" t="s">
        <v>1122</v>
      </c>
      <c r="B228">
        <v>2020</v>
      </c>
      <c r="C228" t="s">
        <v>1123</v>
      </c>
      <c r="D228" t="s">
        <v>1124</v>
      </c>
      <c r="E228" t="b">
        <v>1</v>
      </c>
      <c r="F228" t="s">
        <v>831</v>
      </c>
      <c r="G228" t="s">
        <v>181</v>
      </c>
      <c r="H228">
        <v>0.9</v>
      </c>
    </row>
    <row r="229" spans="1:8" x14ac:dyDescent="0.35">
      <c r="A229" t="s">
        <v>1125</v>
      </c>
      <c r="B229">
        <v>2020</v>
      </c>
      <c r="C229" t="s">
        <v>1126</v>
      </c>
      <c r="D229" t="s">
        <v>1127</v>
      </c>
      <c r="E229" t="b">
        <v>1</v>
      </c>
      <c r="F229" t="s">
        <v>826</v>
      </c>
      <c r="G229" t="s">
        <v>181</v>
      </c>
      <c r="H229">
        <v>0.9</v>
      </c>
    </row>
    <row r="230" spans="1:8" x14ac:dyDescent="0.35">
      <c r="A230" t="s">
        <v>1128</v>
      </c>
      <c r="B230">
        <v>2020</v>
      </c>
      <c r="C230" t="s">
        <v>1129</v>
      </c>
      <c r="D230" t="s">
        <v>1130</v>
      </c>
      <c r="E230" t="b">
        <v>1</v>
      </c>
      <c r="F230" t="s">
        <v>771</v>
      </c>
      <c r="G230" t="s">
        <v>205</v>
      </c>
      <c r="H230">
        <v>0.7</v>
      </c>
    </row>
    <row r="231" spans="1:8" ht="409.5" x14ac:dyDescent="0.35">
      <c r="A231" t="s">
        <v>1131</v>
      </c>
      <c r="B231">
        <v>2020</v>
      </c>
      <c r="C231" t="s">
        <v>1132</v>
      </c>
      <c r="D231" s="1" t="s">
        <v>1133</v>
      </c>
      <c r="E231" t="b">
        <v>1</v>
      </c>
      <c r="F231" t="s">
        <v>1134</v>
      </c>
      <c r="G231" t="s">
        <v>181</v>
      </c>
      <c r="H231">
        <v>0.9</v>
      </c>
    </row>
    <row r="232" spans="1:8" x14ac:dyDescent="0.35">
      <c r="A232" t="s">
        <v>1135</v>
      </c>
      <c r="B232">
        <v>2020</v>
      </c>
      <c r="C232" t="s">
        <v>1136</v>
      </c>
      <c r="D232" t="s">
        <v>1137</v>
      </c>
      <c r="E232" t="b">
        <v>1</v>
      </c>
      <c r="F232" t="s">
        <v>1138</v>
      </c>
      <c r="G232" t="s">
        <v>181</v>
      </c>
      <c r="H232">
        <v>0.9</v>
      </c>
    </row>
    <row r="233" spans="1:8" x14ac:dyDescent="0.35">
      <c r="A233" t="s">
        <v>1139</v>
      </c>
      <c r="B233">
        <v>2020</v>
      </c>
      <c r="C233" t="s">
        <v>1140</v>
      </c>
      <c r="D233" t="s">
        <v>1141</v>
      </c>
      <c r="E233" t="b">
        <v>1</v>
      </c>
      <c r="F233" t="s">
        <v>1142</v>
      </c>
      <c r="G233" t="s">
        <v>181</v>
      </c>
      <c r="H233">
        <v>0.9</v>
      </c>
    </row>
    <row r="234" spans="1:8" ht="409.5" x14ac:dyDescent="0.35">
      <c r="A234" t="s">
        <v>1143</v>
      </c>
      <c r="B234">
        <v>2022</v>
      </c>
      <c r="C234" t="s">
        <v>1144</v>
      </c>
      <c r="D234" s="1" t="s">
        <v>1145</v>
      </c>
      <c r="E234" t="b">
        <v>1</v>
      </c>
      <c r="F234" t="s">
        <v>1091</v>
      </c>
      <c r="G234" t="s">
        <v>181</v>
      </c>
      <c r="H234">
        <v>0.9</v>
      </c>
    </row>
    <row r="235" spans="1:8" x14ac:dyDescent="0.35">
      <c r="A235" t="s">
        <v>1146</v>
      </c>
      <c r="B235">
        <v>2022</v>
      </c>
      <c r="C235" t="s">
        <v>1144</v>
      </c>
      <c r="D235" t="s">
        <v>1137</v>
      </c>
      <c r="E235" t="b">
        <v>1</v>
      </c>
      <c r="F235" t="s">
        <v>1147</v>
      </c>
      <c r="G235" t="s">
        <v>181</v>
      </c>
      <c r="H235">
        <v>0.9</v>
      </c>
    </row>
    <row r="236" spans="1:8" ht="409.5" x14ac:dyDescent="0.35">
      <c r="A236" t="s">
        <v>1148</v>
      </c>
      <c r="B236">
        <v>2022</v>
      </c>
      <c r="C236" t="s">
        <v>1149</v>
      </c>
      <c r="D236" s="1" t="s">
        <v>1150</v>
      </c>
      <c r="E236" t="b">
        <v>1</v>
      </c>
      <c r="F236" t="s">
        <v>831</v>
      </c>
      <c r="G236" t="s">
        <v>181</v>
      </c>
      <c r="H236">
        <v>0.9</v>
      </c>
    </row>
    <row r="237" spans="1:8" x14ac:dyDescent="0.35">
      <c r="A237" t="s">
        <v>1151</v>
      </c>
      <c r="B237">
        <v>2022</v>
      </c>
      <c r="C237" t="s">
        <v>1152</v>
      </c>
      <c r="D237" t="s">
        <v>1153</v>
      </c>
      <c r="E237" t="b">
        <v>1</v>
      </c>
      <c r="F237" t="s">
        <v>789</v>
      </c>
      <c r="G237" t="s">
        <v>181</v>
      </c>
      <c r="H237">
        <v>0.9</v>
      </c>
    </row>
    <row r="238" spans="1:8" x14ac:dyDescent="0.35">
      <c r="A238" t="s">
        <v>1154</v>
      </c>
      <c r="B238">
        <v>2022</v>
      </c>
      <c r="C238" t="s">
        <v>1155</v>
      </c>
      <c r="D238" t="s">
        <v>1156</v>
      </c>
      <c r="E238" t="b">
        <v>1</v>
      </c>
      <c r="F238" t="s">
        <v>847</v>
      </c>
      <c r="G238" t="s">
        <v>181</v>
      </c>
      <c r="H238">
        <v>0.95</v>
      </c>
    </row>
    <row r="239" spans="1:8" x14ac:dyDescent="0.35">
      <c r="A239" t="s">
        <v>1157</v>
      </c>
      <c r="B239">
        <v>2022</v>
      </c>
      <c r="C239" t="s">
        <v>1158</v>
      </c>
      <c r="D239" t="s">
        <v>1137</v>
      </c>
      <c r="E239" t="b">
        <v>1</v>
      </c>
      <c r="F239" t="s">
        <v>1159</v>
      </c>
      <c r="G239" t="s">
        <v>181</v>
      </c>
      <c r="H239">
        <v>0.9</v>
      </c>
    </row>
    <row r="240" spans="1:8" x14ac:dyDescent="0.35">
      <c r="A240" t="s">
        <v>1160</v>
      </c>
      <c r="B240">
        <v>2022</v>
      </c>
      <c r="C240" t="s">
        <v>1161</v>
      </c>
      <c r="D240" t="s">
        <v>1162</v>
      </c>
      <c r="E240" t="b">
        <v>1</v>
      </c>
      <c r="F240" t="s">
        <v>1163</v>
      </c>
      <c r="G240" t="s">
        <v>181</v>
      </c>
      <c r="H240">
        <v>0.9</v>
      </c>
    </row>
    <row r="241" spans="1:8" x14ac:dyDescent="0.35">
      <c r="A241" t="s">
        <v>1164</v>
      </c>
      <c r="B241">
        <v>2022</v>
      </c>
      <c r="C241" t="s">
        <v>1165</v>
      </c>
      <c r="D241" t="s">
        <v>1166</v>
      </c>
      <c r="E241" t="b">
        <v>1</v>
      </c>
      <c r="F241" t="s">
        <v>677</v>
      </c>
      <c r="G241" t="s">
        <v>181</v>
      </c>
      <c r="H241">
        <v>0.9</v>
      </c>
    </row>
    <row r="242" spans="1:8" x14ac:dyDescent="0.35">
      <c r="A242" t="s">
        <v>1167</v>
      </c>
      <c r="B242">
        <v>2022</v>
      </c>
      <c r="C242" t="s">
        <v>1168</v>
      </c>
      <c r="D242" t="s">
        <v>1169</v>
      </c>
      <c r="E242" t="b">
        <v>1</v>
      </c>
      <c r="F242" t="s">
        <v>1170</v>
      </c>
      <c r="G242" t="s">
        <v>181</v>
      </c>
      <c r="H242">
        <v>0.9</v>
      </c>
    </row>
    <row r="243" spans="1:8" x14ac:dyDescent="0.35">
      <c r="A243" t="s">
        <v>1171</v>
      </c>
      <c r="B243">
        <v>2022</v>
      </c>
      <c r="C243" t="s">
        <v>1172</v>
      </c>
      <c r="D243" t="s">
        <v>1173</v>
      </c>
      <c r="E243" t="b">
        <v>0</v>
      </c>
      <c r="F243" t="s">
        <v>803</v>
      </c>
      <c r="G243" t="s">
        <v>192</v>
      </c>
      <c r="H243">
        <v>1</v>
      </c>
    </row>
    <row r="244" spans="1:8" x14ac:dyDescent="0.35">
      <c r="A244" t="s">
        <v>1174</v>
      </c>
      <c r="B244">
        <v>2022</v>
      </c>
      <c r="C244" t="s">
        <v>1175</v>
      </c>
      <c r="D244" t="s">
        <v>1176</v>
      </c>
      <c r="E244" t="b">
        <v>0</v>
      </c>
      <c r="F244" t="s">
        <v>803</v>
      </c>
      <c r="G244" t="s">
        <v>192</v>
      </c>
      <c r="H244">
        <v>1</v>
      </c>
    </row>
    <row r="245" spans="1:8" x14ac:dyDescent="0.35">
      <c r="A245" t="s">
        <v>1177</v>
      </c>
      <c r="B245">
        <v>2022</v>
      </c>
      <c r="C245" t="s">
        <v>1178</v>
      </c>
      <c r="D245" t="s">
        <v>1179</v>
      </c>
      <c r="E245" t="b">
        <v>1</v>
      </c>
      <c r="F245" t="s">
        <v>771</v>
      </c>
      <c r="G245" t="s">
        <v>205</v>
      </c>
      <c r="H245">
        <v>0.7</v>
      </c>
    </row>
    <row r="246" spans="1:8" x14ac:dyDescent="0.35">
      <c r="A246" t="s">
        <v>1180</v>
      </c>
      <c r="B246">
        <v>2022</v>
      </c>
      <c r="C246" t="s">
        <v>1181</v>
      </c>
      <c r="D246" t="s">
        <v>1182</v>
      </c>
      <c r="E246" t="b">
        <v>1</v>
      </c>
      <c r="F246" t="s">
        <v>1183</v>
      </c>
      <c r="G246" t="s">
        <v>181</v>
      </c>
      <c r="H246">
        <v>0.9</v>
      </c>
    </row>
    <row r="247" spans="1:8" x14ac:dyDescent="0.35">
      <c r="A247" t="s">
        <v>1184</v>
      </c>
      <c r="B247">
        <v>2022</v>
      </c>
      <c r="C247" t="s">
        <v>1185</v>
      </c>
      <c r="D247" t="s">
        <v>1186</v>
      </c>
      <c r="E247" t="b">
        <v>0</v>
      </c>
      <c r="F247" t="s">
        <v>803</v>
      </c>
      <c r="G247" t="s">
        <v>192</v>
      </c>
      <c r="H247">
        <v>1</v>
      </c>
    </row>
    <row r="248" spans="1:8" x14ac:dyDescent="0.35">
      <c r="A248" t="s">
        <v>1187</v>
      </c>
      <c r="B248">
        <v>2022</v>
      </c>
      <c r="C248" t="s">
        <v>1188</v>
      </c>
      <c r="D248" t="s">
        <v>1189</v>
      </c>
      <c r="E248" t="b">
        <v>1</v>
      </c>
      <c r="F248" t="s">
        <v>819</v>
      </c>
      <c r="G248" t="s">
        <v>181</v>
      </c>
      <c r="H248">
        <v>0.9</v>
      </c>
    </row>
    <row r="249" spans="1:8" x14ac:dyDescent="0.35">
      <c r="A249" t="s">
        <v>1190</v>
      </c>
      <c r="B249">
        <v>2022</v>
      </c>
      <c r="C249" t="s">
        <v>1191</v>
      </c>
      <c r="D249" t="s">
        <v>1192</v>
      </c>
      <c r="E249" t="b">
        <v>1</v>
      </c>
      <c r="F249" t="s">
        <v>771</v>
      </c>
      <c r="G249" t="s">
        <v>205</v>
      </c>
      <c r="H249">
        <v>0.7</v>
      </c>
    </row>
    <row r="250" spans="1:8" ht="409.5" x14ac:dyDescent="0.35">
      <c r="A250" t="s">
        <v>1193</v>
      </c>
      <c r="B250">
        <v>2022</v>
      </c>
      <c r="C250" t="s">
        <v>1194</v>
      </c>
      <c r="D250" s="1" t="s">
        <v>1195</v>
      </c>
      <c r="E250" t="b">
        <v>0</v>
      </c>
      <c r="F250" t="s">
        <v>1196</v>
      </c>
      <c r="G250" t="s">
        <v>192</v>
      </c>
      <c r="H250">
        <v>0.9</v>
      </c>
    </row>
    <row r="251" spans="1:8" x14ac:dyDescent="0.35">
      <c r="A251" t="s">
        <v>1197</v>
      </c>
      <c r="B251">
        <v>2022</v>
      </c>
      <c r="C251" t="s">
        <v>1194</v>
      </c>
      <c r="D251" t="s">
        <v>499</v>
      </c>
      <c r="E251" t="b">
        <v>0</v>
      </c>
      <c r="F251" t="s">
        <v>1198</v>
      </c>
      <c r="G251" t="s">
        <v>192</v>
      </c>
      <c r="H251">
        <v>0.9</v>
      </c>
    </row>
    <row r="252" spans="1:8" x14ac:dyDescent="0.35">
      <c r="A252" t="s">
        <v>1199</v>
      </c>
      <c r="B252">
        <v>2022</v>
      </c>
      <c r="C252" t="s">
        <v>1200</v>
      </c>
      <c r="D252" t="s">
        <v>1201</v>
      </c>
      <c r="E252" t="b">
        <v>1</v>
      </c>
      <c r="F252" t="s">
        <v>799</v>
      </c>
      <c r="G252" t="s">
        <v>181</v>
      </c>
      <c r="H252">
        <v>0.9</v>
      </c>
    </row>
    <row r="253" spans="1:8" ht="409.5" x14ac:dyDescent="0.35">
      <c r="A253" t="s">
        <v>1202</v>
      </c>
      <c r="B253">
        <v>2022</v>
      </c>
      <c r="C253" t="s">
        <v>1203</v>
      </c>
      <c r="D253" s="1" t="s">
        <v>1204</v>
      </c>
      <c r="E253" t="b">
        <v>1</v>
      </c>
      <c r="F253" t="s">
        <v>1205</v>
      </c>
      <c r="G253" t="s">
        <v>181</v>
      </c>
      <c r="H253">
        <v>0.9</v>
      </c>
    </row>
    <row r="254" spans="1:8" x14ac:dyDescent="0.35">
      <c r="A254" t="s">
        <v>1206</v>
      </c>
      <c r="B254">
        <v>2022</v>
      </c>
      <c r="C254" t="s">
        <v>1207</v>
      </c>
      <c r="D254" t="s">
        <v>1208</v>
      </c>
      <c r="E254" t="b">
        <v>1</v>
      </c>
      <c r="F254" t="s">
        <v>771</v>
      </c>
      <c r="G254" t="s">
        <v>205</v>
      </c>
      <c r="H254">
        <v>0.7</v>
      </c>
    </row>
    <row r="255" spans="1:8" x14ac:dyDescent="0.35">
      <c r="A255" t="s">
        <v>1209</v>
      </c>
      <c r="B255">
        <v>2022</v>
      </c>
      <c r="C255" t="s">
        <v>1210</v>
      </c>
      <c r="D255" t="s">
        <v>1211</v>
      </c>
      <c r="E255" t="b">
        <v>1</v>
      </c>
      <c r="F255" t="s">
        <v>678</v>
      </c>
      <c r="G255" t="s">
        <v>181</v>
      </c>
      <c r="H255">
        <v>0.9</v>
      </c>
    </row>
    <row r="256" spans="1:8" x14ac:dyDescent="0.35">
      <c r="A256" t="s">
        <v>1212</v>
      </c>
      <c r="B256">
        <v>2022</v>
      </c>
      <c r="C256" t="s">
        <v>1213</v>
      </c>
      <c r="D256" t="s">
        <v>1214</v>
      </c>
      <c r="E256" t="b">
        <v>1</v>
      </c>
      <c r="F256" t="s">
        <v>1215</v>
      </c>
      <c r="G256" t="s">
        <v>181</v>
      </c>
      <c r="H256">
        <v>0.9</v>
      </c>
    </row>
    <row r="257" spans="1:8" x14ac:dyDescent="0.35">
      <c r="A257" t="s">
        <v>1216</v>
      </c>
      <c r="B257">
        <v>2022</v>
      </c>
      <c r="C257" t="s">
        <v>1217</v>
      </c>
      <c r="D257" t="s">
        <v>1218</v>
      </c>
      <c r="E257" t="b">
        <v>1</v>
      </c>
      <c r="F257" t="s">
        <v>1219</v>
      </c>
      <c r="G257" t="s">
        <v>181</v>
      </c>
      <c r="H257">
        <v>0.9</v>
      </c>
    </row>
    <row r="258" spans="1:8" x14ac:dyDescent="0.35">
      <c r="A258" t="s">
        <v>1220</v>
      </c>
      <c r="B258">
        <v>2022</v>
      </c>
      <c r="C258" t="s">
        <v>1221</v>
      </c>
      <c r="D258" t="s">
        <v>1222</v>
      </c>
      <c r="E258" t="b">
        <v>1</v>
      </c>
      <c r="F258" t="s">
        <v>771</v>
      </c>
      <c r="G258" t="s">
        <v>205</v>
      </c>
      <c r="H258">
        <v>0.7</v>
      </c>
    </row>
    <row r="259" spans="1:8" x14ac:dyDescent="0.35">
      <c r="A259" t="s">
        <v>1223</v>
      </c>
      <c r="B259">
        <v>2022</v>
      </c>
      <c r="C259" t="s">
        <v>1224</v>
      </c>
      <c r="D259" t="s">
        <v>1225</v>
      </c>
      <c r="E259" t="b">
        <v>1</v>
      </c>
      <c r="F259" t="s">
        <v>1226</v>
      </c>
      <c r="G259" t="s">
        <v>181</v>
      </c>
      <c r="H259">
        <v>0.9</v>
      </c>
    </row>
    <row r="260" spans="1:8" x14ac:dyDescent="0.35">
      <c r="A260" t="s">
        <v>1227</v>
      </c>
      <c r="B260">
        <v>2022</v>
      </c>
      <c r="C260" t="s">
        <v>1228</v>
      </c>
      <c r="D260" t="s">
        <v>1229</v>
      </c>
      <c r="E260" t="b">
        <v>1</v>
      </c>
      <c r="F260" t="s">
        <v>771</v>
      </c>
      <c r="G260" t="s">
        <v>205</v>
      </c>
      <c r="H260">
        <v>0.6</v>
      </c>
    </row>
    <row r="261" spans="1:8" x14ac:dyDescent="0.35">
      <c r="A261" t="s">
        <v>1230</v>
      </c>
      <c r="B261">
        <v>2022</v>
      </c>
      <c r="C261" t="s">
        <v>1231</v>
      </c>
      <c r="D261" t="s">
        <v>1232</v>
      </c>
      <c r="E261" t="b">
        <v>1</v>
      </c>
      <c r="F261" t="s">
        <v>1233</v>
      </c>
      <c r="G261" t="s">
        <v>181</v>
      </c>
      <c r="H261">
        <v>0.9</v>
      </c>
    </row>
    <row r="262" spans="1:8" x14ac:dyDescent="0.35">
      <c r="A262" t="s">
        <v>1234</v>
      </c>
      <c r="B262">
        <v>2022</v>
      </c>
      <c r="C262" t="s">
        <v>1235</v>
      </c>
      <c r="D262" t="s">
        <v>1236</v>
      </c>
      <c r="E262" t="b">
        <v>0</v>
      </c>
      <c r="F262" t="s">
        <v>803</v>
      </c>
      <c r="G262" t="s">
        <v>192</v>
      </c>
      <c r="H262">
        <v>1</v>
      </c>
    </row>
    <row r="263" spans="1:8" x14ac:dyDescent="0.35">
      <c r="A263" t="s">
        <v>1237</v>
      </c>
      <c r="B263">
        <v>2022</v>
      </c>
      <c r="C263" t="s">
        <v>1238</v>
      </c>
      <c r="D263" t="s">
        <v>499</v>
      </c>
      <c r="E263" t="b">
        <v>0</v>
      </c>
      <c r="F263" t="s">
        <v>839</v>
      </c>
      <c r="G263" t="s">
        <v>192</v>
      </c>
      <c r="H263">
        <v>1</v>
      </c>
    </row>
    <row r="264" spans="1:8" x14ac:dyDescent="0.35">
      <c r="A264" t="s">
        <v>1239</v>
      </c>
      <c r="B264">
        <v>2022</v>
      </c>
      <c r="C264" t="s">
        <v>1240</v>
      </c>
      <c r="D264" t="s">
        <v>1241</v>
      </c>
      <c r="E264" t="b">
        <v>1</v>
      </c>
      <c r="F264" t="s">
        <v>1242</v>
      </c>
      <c r="G264" t="s">
        <v>181</v>
      </c>
      <c r="H264">
        <v>0.9</v>
      </c>
    </row>
    <row r="265" spans="1:8" x14ac:dyDescent="0.35">
      <c r="A265" t="s">
        <v>1243</v>
      </c>
      <c r="B265">
        <v>2022</v>
      </c>
      <c r="C265" t="s">
        <v>1244</v>
      </c>
      <c r="D265" t="s">
        <v>1245</v>
      </c>
      <c r="E265" t="b">
        <v>1</v>
      </c>
      <c r="F265" t="s">
        <v>1246</v>
      </c>
      <c r="G265" t="s">
        <v>181</v>
      </c>
      <c r="H265">
        <v>0.9</v>
      </c>
    </row>
    <row r="266" spans="1:8" x14ac:dyDescent="0.35">
      <c r="A266" t="s">
        <v>1247</v>
      </c>
      <c r="B266">
        <v>2022</v>
      </c>
      <c r="C266" t="s">
        <v>1248</v>
      </c>
      <c r="D266" t="s">
        <v>1249</v>
      </c>
      <c r="E266" t="b">
        <v>1</v>
      </c>
      <c r="F266" t="s">
        <v>1250</v>
      </c>
      <c r="G266" t="s">
        <v>181</v>
      </c>
      <c r="H266">
        <v>0.9</v>
      </c>
    </row>
    <row r="267" spans="1:8" x14ac:dyDescent="0.35">
      <c r="A267" t="s">
        <v>1251</v>
      </c>
      <c r="B267">
        <v>2022</v>
      </c>
      <c r="C267" t="s">
        <v>1252</v>
      </c>
      <c r="E267" t="b">
        <v>1</v>
      </c>
      <c r="F267" t="s">
        <v>771</v>
      </c>
      <c r="G267" t="s">
        <v>205</v>
      </c>
      <c r="H267">
        <v>0.5</v>
      </c>
    </row>
    <row r="268" spans="1:8" x14ac:dyDescent="0.35">
      <c r="A268" t="s">
        <v>1253</v>
      </c>
      <c r="B268">
        <v>2022</v>
      </c>
      <c r="C268" t="s">
        <v>1254</v>
      </c>
      <c r="D268" t="s">
        <v>1255</v>
      </c>
      <c r="E268" t="b">
        <v>1</v>
      </c>
      <c r="F268" t="s">
        <v>1256</v>
      </c>
      <c r="G268" t="s">
        <v>181</v>
      </c>
      <c r="H268">
        <v>0.9</v>
      </c>
    </row>
    <row r="269" spans="1:8" x14ac:dyDescent="0.35">
      <c r="A269" t="s">
        <v>1257</v>
      </c>
      <c r="B269">
        <v>2022</v>
      </c>
      <c r="C269" t="s">
        <v>1254</v>
      </c>
      <c r="D269" t="s">
        <v>1255</v>
      </c>
      <c r="E269" t="b">
        <v>1</v>
      </c>
      <c r="F269" t="s">
        <v>1258</v>
      </c>
      <c r="G269" t="s">
        <v>181</v>
      </c>
      <c r="H269">
        <v>0.9</v>
      </c>
    </row>
    <row r="270" spans="1:8" x14ac:dyDescent="0.35">
      <c r="A270" t="s">
        <v>1259</v>
      </c>
      <c r="B270">
        <v>2022</v>
      </c>
      <c r="C270" t="s">
        <v>1260</v>
      </c>
      <c r="D270" t="s">
        <v>1261</v>
      </c>
      <c r="E270" t="b">
        <v>1</v>
      </c>
      <c r="F270" t="s">
        <v>1033</v>
      </c>
      <c r="G270" t="s">
        <v>181</v>
      </c>
      <c r="H270">
        <v>0.9</v>
      </c>
    </row>
    <row r="271" spans="1:8" x14ac:dyDescent="0.35">
      <c r="A271" t="s">
        <v>1262</v>
      </c>
      <c r="B271">
        <v>2022</v>
      </c>
      <c r="C271" t="s">
        <v>1263</v>
      </c>
      <c r="D271" t="s">
        <v>1264</v>
      </c>
      <c r="E271" t="b">
        <v>1</v>
      </c>
      <c r="F271" t="s">
        <v>1265</v>
      </c>
      <c r="G271" t="s">
        <v>181</v>
      </c>
      <c r="H271">
        <v>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271"/>
  <sheetViews>
    <sheetView workbookViewId="0">
      <selection sqref="A1:A1048576"/>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16</v>
      </c>
    </row>
    <row r="7" spans="1:1" x14ac:dyDescent="0.35">
      <c r="A7" t="s">
        <v>19</v>
      </c>
    </row>
    <row r="8" spans="1:1" x14ac:dyDescent="0.35">
      <c r="A8" t="s">
        <v>21</v>
      </c>
    </row>
    <row r="9" spans="1:1" x14ac:dyDescent="0.35">
      <c r="A9" t="s">
        <v>23</v>
      </c>
    </row>
    <row r="10" spans="1:1" x14ac:dyDescent="0.35">
      <c r="A10" t="s">
        <v>24</v>
      </c>
    </row>
    <row r="11" spans="1:1" x14ac:dyDescent="0.35">
      <c r="A11" t="s">
        <v>27</v>
      </c>
    </row>
    <row r="12" spans="1:1" x14ac:dyDescent="0.35">
      <c r="A12" t="s">
        <v>30</v>
      </c>
    </row>
    <row r="13" spans="1:1" x14ac:dyDescent="0.35">
      <c r="A13" t="s">
        <v>31</v>
      </c>
    </row>
    <row r="14" spans="1:1" x14ac:dyDescent="0.35">
      <c r="A14" t="s">
        <v>32</v>
      </c>
    </row>
    <row r="15" spans="1:1" x14ac:dyDescent="0.35">
      <c r="A15" t="s">
        <v>42</v>
      </c>
    </row>
    <row r="16" spans="1:1" x14ac:dyDescent="0.35">
      <c r="A16" t="s">
        <v>45</v>
      </c>
    </row>
    <row r="17" spans="1:1" x14ac:dyDescent="0.35">
      <c r="A17" t="s">
        <v>47</v>
      </c>
    </row>
    <row r="18" spans="1:1" x14ac:dyDescent="0.35">
      <c r="A18" t="s">
        <v>49</v>
      </c>
    </row>
    <row r="19" spans="1:1" x14ac:dyDescent="0.35">
      <c r="A19" t="s">
        <v>50</v>
      </c>
    </row>
    <row r="20" spans="1:1" x14ac:dyDescent="0.35">
      <c r="A20" t="s">
        <v>57</v>
      </c>
    </row>
    <row r="21" spans="1:1" x14ac:dyDescent="0.35">
      <c r="A21" t="s">
        <v>60</v>
      </c>
    </row>
    <row r="22" spans="1:1" x14ac:dyDescent="0.35">
      <c r="A22" t="s">
        <v>62</v>
      </c>
    </row>
    <row r="23" spans="1:1" x14ac:dyDescent="0.35">
      <c r="A23" t="s">
        <v>66</v>
      </c>
    </row>
    <row r="24" spans="1:1" x14ac:dyDescent="0.35">
      <c r="A24" t="s">
        <v>69</v>
      </c>
    </row>
    <row r="25" spans="1:1" x14ac:dyDescent="0.35">
      <c r="A25" t="s">
        <v>71</v>
      </c>
    </row>
    <row r="26" spans="1:1" x14ac:dyDescent="0.35">
      <c r="A26" t="s">
        <v>74</v>
      </c>
    </row>
    <row r="27" spans="1:1" x14ac:dyDescent="0.35">
      <c r="A27" t="s">
        <v>76</v>
      </c>
    </row>
    <row r="28" spans="1:1" x14ac:dyDescent="0.35">
      <c r="A28" t="s">
        <v>78</v>
      </c>
    </row>
    <row r="29" spans="1:1" x14ac:dyDescent="0.35">
      <c r="A29" t="s">
        <v>83</v>
      </c>
    </row>
    <row r="30" spans="1:1" x14ac:dyDescent="0.35">
      <c r="A30" t="s">
        <v>85</v>
      </c>
    </row>
    <row r="31" spans="1:1" x14ac:dyDescent="0.35">
      <c r="A31" t="s">
        <v>89</v>
      </c>
    </row>
    <row r="32" spans="1:1" x14ac:dyDescent="0.35">
      <c r="A32" t="s">
        <v>91</v>
      </c>
    </row>
    <row r="33" spans="1:1" x14ac:dyDescent="0.35">
      <c r="A33" t="s">
        <v>94</v>
      </c>
    </row>
    <row r="34" spans="1:1" x14ac:dyDescent="0.35">
      <c r="A34" t="s">
        <v>97</v>
      </c>
    </row>
    <row r="35" spans="1:1" x14ac:dyDescent="0.35">
      <c r="A35" t="s">
        <v>99</v>
      </c>
    </row>
    <row r="36" spans="1:1" x14ac:dyDescent="0.35">
      <c r="A36" t="s">
        <v>103</v>
      </c>
    </row>
    <row r="37" spans="1:1" x14ac:dyDescent="0.35">
      <c r="A37" t="s">
        <v>106</v>
      </c>
    </row>
    <row r="38" spans="1:1" x14ac:dyDescent="0.35">
      <c r="A38" t="s">
        <v>221</v>
      </c>
    </row>
    <row r="39" spans="1:1" x14ac:dyDescent="0.35">
      <c r="A39" t="s">
        <v>224</v>
      </c>
    </row>
    <row r="40" spans="1:1" x14ac:dyDescent="0.35">
      <c r="A40" t="s">
        <v>230</v>
      </c>
    </row>
    <row r="41" spans="1:1" x14ac:dyDescent="0.35">
      <c r="A41" t="s">
        <v>233</v>
      </c>
    </row>
    <row r="42" spans="1:1" x14ac:dyDescent="0.35">
      <c r="A42" t="s">
        <v>236</v>
      </c>
    </row>
    <row r="43" spans="1:1" x14ac:dyDescent="0.35">
      <c r="A43" t="s">
        <v>239</v>
      </c>
    </row>
    <row r="44" spans="1:1" x14ac:dyDescent="0.35">
      <c r="A44" t="s">
        <v>242</v>
      </c>
    </row>
    <row r="45" spans="1:1" x14ac:dyDescent="0.35">
      <c r="A45" t="s">
        <v>245</v>
      </c>
    </row>
    <row r="46" spans="1:1" x14ac:dyDescent="0.35">
      <c r="A46" t="s">
        <v>251</v>
      </c>
    </row>
    <row r="47" spans="1:1" x14ac:dyDescent="0.35">
      <c r="A47" t="s">
        <v>254</v>
      </c>
    </row>
    <row r="48" spans="1:1" x14ac:dyDescent="0.35">
      <c r="A48" t="s">
        <v>257</v>
      </c>
    </row>
    <row r="49" spans="1:1" x14ac:dyDescent="0.35">
      <c r="A49" t="s">
        <v>263</v>
      </c>
    </row>
    <row r="50" spans="1:1" x14ac:dyDescent="0.35">
      <c r="A50" t="s">
        <v>266</v>
      </c>
    </row>
    <row r="51" spans="1:1" x14ac:dyDescent="0.35">
      <c r="A51" t="s">
        <v>269</v>
      </c>
    </row>
    <row r="52" spans="1:1" x14ac:dyDescent="0.35">
      <c r="A52" t="s">
        <v>278</v>
      </c>
    </row>
    <row r="53" spans="1:1" x14ac:dyDescent="0.35">
      <c r="A53" t="s">
        <v>281</v>
      </c>
    </row>
    <row r="54" spans="1:1" x14ac:dyDescent="0.35">
      <c r="A54" t="s">
        <v>287</v>
      </c>
    </row>
    <row r="55" spans="1:1" x14ac:dyDescent="0.35">
      <c r="A55" t="s">
        <v>290</v>
      </c>
    </row>
    <row r="56" spans="1:1" x14ac:dyDescent="0.35">
      <c r="A56" t="s">
        <v>293</v>
      </c>
    </row>
    <row r="57" spans="1:1" x14ac:dyDescent="0.35">
      <c r="A57" t="s">
        <v>296</v>
      </c>
    </row>
    <row r="58" spans="1:1" x14ac:dyDescent="0.35">
      <c r="A58" t="s">
        <v>311</v>
      </c>
    </row>
    <row r="59" spans="1:1" x14ac:dyDescent="0.35">
      <c r="A59" t="s">
        <v>317</v>
      </c>
    </row>
    <row r="60" spans="1:1" x14ac:dyDescent="0.35">
      <c r="A60" t="s">
        <v>326</v>
      </c>
    </row>
    <row r="61" spans="1:1" x14ac:dyDescent="0.35">
      <c r="A61" t="s">
        <v>329</v>
      </c>
    </row>
    <row r="62" spans="1:1" x14ac:dyDescent="0.35">
      <c r="A62" t="s">
        <v>332</v>
      </c>
    </row>
    <row r="63" spans="1:1" x14ac:dyDescent="0.35">
      <c r="A63" t="s">
        <v>338</v>
      </c>
    </row>
    <row r="64" spans="1:1" x14ac:dyDescent="0.35">
      <c r="A64" t="s">
        <v>344</v>
      </c>
    </row>
    <row r="65" spans="1:1" x14ac:dyDescent="0.35">
      <c r="A65" t="s">
        <v>347</v>
      </c>
    </row>
    <row r="66" spans="1:1" x14ac:dyDescent="0.35">
      <c r="A66" t="s">
        <v>350</v>
      </c>
    </row>
    <row r="67" spans="1:1" x14ac:dyDescent="0.35">
      <c r="A67" t="s">
        <v>353</v>
      </c>
    </row>
    <row r="68" spans="1:1" x14ac:dyDescent="0.35">
      <c r="A68" t="s">
        <v>362</v>
      </c>
    </row>
    <row r="69" spans="1:1" x14ac:dyDescent="0.35">
      <c r="A69" t="s">
        <v>365</v>
      </c>
    </row>
    <row r="70" spans="1:1" x14ac:dyDescent="0.35">
      <c r="A70" t="s">
        <v>368</v>
      </c>
    </row>
    <row r="71" spans="1:1" x14ac:dyDescent="0.35">
      <c r="A71" t="s">
        <v>374</v>
      </c>
    </row>
    <row r="72" spans="1:1" x14ac:dyDescent="0.35">
      <c r="A72" t="s">
        <v>377</v>
      </c>
    </row>
    <row r="73" spans="1:1" x14ac:dyDescent="0.35">
      <c r="A73" t="s">
        <v>380</v>
      </c>
    </row>
    <row r="74" spans="1:1" x14ac:dyDescent="0.35">
      <c r="A74" t="s">
        <v>383</v>
      </c>
    </row>
    <row r="75" spans="1:1" x14ac:dyDescent="0.35">
      <c r="A75" t="s">
        <v>386</v>
      </c>
    </row>
    <row r="76" spans="1:1" x14ac:dyDescent="0.35">
      <c r="A76" t="s">
        <v>398</v>
      </c>
    </row>
    <row r="77" spans="1:1" x14ac:dyDescent="0.35">
      <c r="A77" t="s">
        <v>401</v>
      </c>
    </row>
    <row r="78" spans="1:1" x14ac:dyDescent="0.35">
      <c r="A78" t="s">
        <v>404</v>
      </c>
    </row>
    <row r="79" spans="1:1" x14ac:dyDescent="0.35">
      <c r="A79" t="s">
        <v>407</v>
      </c>
    </row>
    <row r="80" spans="1:1" x14ac:dyDescent="0.35">
      <c r="A80" t="s">
        <v>410</v>
      </c>
    </row>
    <row r="81" spans="1:1" x14ac:dyDescent="0.35">
      <c r="A81" t="s">
        <v>413</v>
      </c>
    </row>
    <row r="82" spans="1:1" x14ac:dyDescent="0.35">
      <c r="A82" t="s">
        <v>416</v>
      </c>
    </row>
    <row r="83" spans="1:1" x14ac:dyDescent="0.35">
      <c r="A83" t="s">
        <v>419</v>
      </c>
    </row>
    <row r="84" spans="1:1" x14ac:dyDescent="0.35">
      <c r="A84" t="s">
        <v>422</v>
      </c>
    </row>
    <row r="85" spans="1:1" x14ac:dyDescent="0.35">
      <c r="A85" t="s">
        <v>425</v>
      </c>
    </row>
    <row r="86" spans="1:1" x14ac:dyDescent="0.35">
      <c r="A86" t="s">
        <v>428</v>
      </c>
    </row>
    <row r="87" spans="1:1" x14ac:dyDescent="0.35">
      <c r="A87" t="s">
        <v>431</v>
      </c>
    </row>
    <row r="88" spans="1:1" x14ac:dyDescent="0.35">
      <c r="A88" t="s">
        <v>434</v>
      </c>
    </row>
    <row r="89" spans="1:1" x14ac:dyDescent="0.35">
      <c r="A89" t="s">
        <v>437</v>
      </c>
    </row>
    <row r="90" spans="1:1" x14ac:dyDescent="0.35">
      <c r="A90" t="s">
        <v>440</v>
      </c>
    </row>
    <row r="91" spans="1:1" x14ac:dyDescent="0.35">
      <c r="A91" t="s">
        <v>443</v>
      </c>
    </row>
    <row r="92" spans="1:1" x14ac:dyDescent="0.35">
      <c r="A92" t="s">
        <v>446</v>
      </c>
    </row>
    <row r="93" spans="1:1" x14ac:dyDescent="0.35">
      <c r="A93" t="s">
        <v>449</v>
      </c>
    </row>
    <row r="94" spans="1:1" x14ac:dyDescent="0.35">
      <c r="A94" t="s">
        <v>452</v>
      </c>
    </row>
    <row r="95" spans="1:1" x14ac:dyDescent="0.35">
      <c r="A95" t="s">
        <v>461</v>
      </c>
    </row>
    <row r="96" spans="1:1" x14ac:dyDescent="0.35">
      <c r="A96" t="s">
        <v>464</v>
      </c>
    </row>
    <row r="97" spans="1:1" x14ac:dyDescent="0.35">
      <c r="A97" t="s">
        <v>467</v>
      </c>
    </row>
    <row r="98" spans="1:1" x14ac:dyDescent="0.35">
      <c r="A98" t="s">
        <v>470</v>
      </c>
    </row>
    <row r="99" spans="1:1" x14ac:dyDescent="0.35">
      <c r="A99" t="s">
        <v>473</v>
      </c>
    </row>
    <row r="100" spans="1:1" x14ac:dyDescent="0.35">
      <c r="A100" t="s">
        <v>476</v>
      </c>
    </row>
    <row r="101" spans="1:1" x14ac:dyDescent="0.35">
      <c r="A101" t="s">
        <v>479</v>
      </c>
    </row>
    <row r="102" spans="1:1" x14ac:dyDescent="0.35">
      <c r="A102" t="s">
        <v>482</v>
      </c>
    </row>
    <row r="103" spans="1:1" x14ac:dyDescent="0.35">
      <c r="A103" t="s">
        <v>485</v>
      </c>
    </row>
    <row r="104" spans="1:1" x14ac:dyDescent="0.35">
      <c r="A104" t="s">
        <v>488</v>
      </c>
    </row>
    <row r="105" spans="1:1" x14ac:dyDescent="0.35">
      <c r="A105" t="s">
        <v>491</v>
      </c>
    </row>
    <row r="106" spans="1:1" x14ac:dyDescent="0.35">
      <c r="A106" t="s">
        <v>494</v>
      </c>
    </row>
    <row r="107" spans="1:1" x14ac:dyDescent="0.35">
      <c r="A107" t="s">
        <v>497</v>
      </c>
    </row>
    <row r="108" spans="1:1" x14ac:dyDescent="0.35">
      <c r="A108" t="s">
        <v>500</v>
      </c>
    </row>
    <row r="109" spans="1:1" x14ac:dyDescent="0.35">
      <c r="A109" t="s">
        <v>506</v>
      </c>
    </row>
    <row r="110" spans="1:1" x14ac:dyDescent="0.35">
      <c r="A110" t="s">
        <v>509</v>
      </c>
    </row>
    <row r="111" spans="1:1" x14ac:dyDescent="0.35">
      <c r="A111" t="s">
        <v>512</v>
      </c>
    </row>
    <row r="112" spans="1:1" x14ac:dyDescent="0.35">
      <c r="A112" t="s">
        <v>515</v>
      </c>
    </row>
    <row r="113" spans="1:1" x14ac:dyDescent="0.35">
      <c r="A113" t="s">
        <v>518</v>
      </c>
    </row>
    <row r="114" spans="1:1" x14ac:dyDescent="0.35">
      <c r="A114" t="s">
        <v>520</v>
      </c>
    </row>
    <row r="115" spans="1:1" x14ac:dyDescent="0.35">
      <c r="A115" t="s">
        <v>523</v>
      </c>
    </row>
    <row r="116" spans="1:1" x14ac:dyDescent="0.35">
      <c r="A116" t="s">
        <v>526</v>
      </c>
    </row>
    <row r="117" spans="1:1" x14ac:dyDescent="0.35">
      <c r="A117" t="s">
        <v>529</v>
      </c>
    </row>
    <row r="118" spans="1:1" x14ac:dyDescent="0.35">
      <c r="A118" t="s">
        <v>532</v>
      </c>
    </row>
    <row r="119" spans="1:1" x14ac:dyDescent="0.35">
      <c r="A119" t="s">
        <v>535</v>
      </c>
    </row>
    <row r="120" spans="1:1" x14ac:dyDescent="0.35">
      <c r="A120" t="s">
        <v>538</v>
      </c>
    </row>
    <row r="121" spans="1:1" x14ac:dyDescent="0.35">
      <c r="A121" t="s">
        <v>541</v>
      </c>
    </row>
    <row r="122" spans="1:1" x14ac:dyDescent="0.35">
      <c r="A122" t="s">
        <v>544</v>
      </c>
    </row>
    <row r="123" spans="1:1" x14ac:dyDescent="0.35">
      <c r="A123" t="s">
        <v>547</v>
      </c>
    </row>
    <row r="124" spans="1:1" x14ac:dyDescent="0.35">
      <c r="A124" t="s">
        <v>550</v>
      </c>
    </row>
    <row r="125" spans="1:1" x14ac:dyDescent="0.35">
      <c r="A125" t="s">
        <v>553</v>
      </c>
    </row>
    <row r="126" spans="1:1" x14ac:dyDescent="0.35">
      <c r="A126" t="s">
        <v>556</v>
      </c>
    </row>
    <row r="127" spans="1:1" x14ac:dyDescent="0.35">
      <c r="A127" t="s">
        <v>559</v>
      </c>
    </row>
    <row r="128" spans="1:1" x14ac:dyDescent="0.35">
      <c r="A128" t="s">
        <v>562</v>
      </c>
    </row>
    <row r="129" spans="1:1" x14ac:dyDescent="0.35">
      <c r="A129" t="s">
        <v>565</v>
      </c>
    </row>
    <row r="130" spans="1:1" x14ac:dyDescent="0.35">
      <c r="A130" t="s">
        <v>568</v>
      </c>
    </row>
    <row r="131" spans="1:1" x14ac:dyDescent="0.35">
      <c r="A131" t="s">
        <v>571</v>
      </c>
    </row>
    <row r="132" spans="1:1" x14ac:dyDescent="0.35">
      <c r="A132" t="s">
        <v>574</v>
      </c>
    </row>
    <row r="133" spans="1:1" x14ac:dyDescent="0.35">
      <c r="A133" t="s">
        <v>583</v>
      </c>
    </row>
    <row r="134" spans="1:1" x14ac:dyDescent="0.35">
      <c r="A134" t="s">
        <v>588</v>
      </c>
    </row>
    <row r="135" spans="1:1" x14ac:dyDescent="0.35">
      <c r="A135" t="s">
        <v>591</v>
      </c>
    </row>
    <row r="136" spans="1:1" x14ac:dyDescent="0.35">
      <c r="A136" t="s">
        <v>594</v>
      </c>
    </row>
    <row r="137" spans="1:1" x14ac:dyDescent="0.35">
      <c r="A137" t="s">
        <v>597</v>
      </c>
    </row>
    <row r="138" spans="1:1" x14ac:dyDescent="0.35">
      <c r="A138" t="s">
        <v>600</v>
      </c>
    </row>
    <row r="139" spans="1:1" x14ac:dyDescent="0.35">
      <c r="A139" t="s">
        <v>603</v>
      </c>
    </row>
    <row r="140" spans="1:1" x14ac:dyDescent="0.35">
      <c r="A140" t="s">
        <v>605</v>
      </c>
    </row>
    <row r="141" spans="1:1" x14ac:dyDescent="0.35">
      <c r="A141" t="s">
        <v>608</v>
      </c>
    </row>
    <row r="142" spans="1:1" x14ac:dyDescent="0.35">
      <c r="A142" t="s">
        <v>611</v>
      </c>
    </row>
    <row r="143" spans="1:1" x14ac:dyDescent="0.35">
      <c r="A143" t="s">
        <v>613</v>
      </c>
    </row>
    <row r="144" spans="1:1" x14ac:dyDescent="0.35">
      <c r="A144" t="s">
        <v>619</v>
      </c>
    </row>
    <row r="145" spans="1:1" x14ac:dyDescent="0.35">
      <c r="A145" t="s">
        <v>622</v>
      </c>
    </row>
    <row r="146" spans="1:1" x14ac:dyDescent="0.35">
      <c r="A146" t="s">
        <v>625</v>
      </c>
    </row>
    <row r="147" spans="1:1" x14ac:dyDescent="0.35">
      <c r="A147" t="s">
        <v>628</v>
      </c>
    </row>
    <row r="148" spans="1:1" x14ac:dyDescent="0.35">
      <c r="A148" t="s">
        <v>634</v>
      </c>
    </row>
    <row r="149" spans="1:1" x14ac:dyDescent="0.35">
      <c r="A149" t="s">
        <v>637</v>
      </c>
    </row>
    <row r="150" spans="1:1" x14ac:dyDescent="0.35">
      <c r="A150" t="s">
        <v>640</v>
      </c>
    </row>
    <row r="151" spans="1:1" x14ac:dyDescent="0.35">
      <c r="A151" t="s">
        <v>643</v>
      </c>
    </row>
    <row r="152" spans="1:1" x14ac:dyDescent="0.35">
      <c r="A152" t="s">
        <v>646</v>
      </c>
    </row>
    <row r="153" spans="1:1" x14ac:dyDescent="0.35">
      <c r="A153" t="s">
        <v>658</v>
      </c>
    </row>
    <row r="154" spans="1:1" x14ac:dyDescent="0.35">
      <c r="A154" t="s">
        <v>661</v>
      </c>
    </row>
    <row r="155" spans="1:1" x14ac:dyDescent="0.35">
      <c r="A155" t="s">
        <v>862</v>
      </c>
    </row>
    <row r="156" spans="1:1" x14ac:dyDescent="0.35">
      <c r="A156" t="s">
        <v>865</v>
      </c>
    </row>
    <row r="157" spans="1:1" x14ac:dyDescent="0.35">
      <c r="A157" t="s">
        <v>869</v>
      </c>
    </row>
    <row r="158" spans="1:1" x14ac:dyDescent="0.35">
      <c r="A158" t="s">
        <v>872</v>
      </c>
    </row>
    <row r="159" spans="1:1" x14ac:dyDescent="0.35">
      <c r="A159" t="s">
        <v>875</v>
      </c>
    </row>
    <row r="160" spans="1:1" x14ac:dyDescent="0.35">
      <c r="A160" t="s">
        <v>879</v>
      </c>
    </row>
    <row r="161" spans="1:1" x14ac:dyDescent="0.35">
      <c r="A161" t="s">
        <v>883</v>
      </c>
    </row>
    <row r="162" spans="1:1" x14ac:dyDescent="0.35">
      <c r="A162" t="s">
        <v>887</v>
      </c>
    </row>
    <row r="163" spans="1:1" x14ac:dyDescent="0.35">
      <c r="A163" t="s">
        <v>891</v>
      </c>
    </row>
    <row r="164" spans="1:1" x14ac:dyDescent="0.35">
      <c r="A164" t="s">
        <v>895</v>
      </c>
    </row>
    <row r="165" spans="1:1" x14ac:dyDescent="0.35">
      <c r="A165" t="s">
        <v>899</v>
      </c>
    </row>
    <row r="166" spans="1:1" x14ac:dyDescent="0.35">
      <c r="A166" t="s">
        <v>903</v>
      </c>
    </row>
    <row r="167" spans="1:1" x14ac:dyDescent="0.35">
      <c r="A167" t="s">
        <v>906</v>
      </c>
    </row>
    <row r="168" spans="1:1" x14ac:dyDescent="0.35">
      <c r="A168" t="s">
        <v>909</v>
      </c>
    </row>
    <row r="169" spans="1:1" x14ac:dyDescent="0.35">
      <c r="A169" t="s">
        <v>913</v>
      </c>
    </row>
    <row r="170" spans="1:1" x14ac:dyDescent="0.35">
      <c r="A170" t="s">
        <v>916</v>
      </c>
    </row>
    <row r="171" spans="1:1" x14ac:dyDescent="0.35">
      <c r="A171" t="s">
        <v>920</v>
      </c>
    </row>
    <row r="172" spans="1:1" x14ac:dyDescent="0.35">
      <c r="A172" t="s">
        <v>924</v>
      </c>
    </row>
    <row r="173" spans="1:1" x14ac:dyDescent="0.35">
      <c r="A173" t="s">
        <v>927</v>
      </c>
    </row>
    <row r="174" spans="1:1" x14ac:dyDescent="0.35">
      <c r="A174" t="s">
        <v>930</v>
      </c>
    </row>
    <row r="175" spans="1:1" x14ac:dyDescent="0.35">
      <c r="A175" t="s">
        <v>934</v>
      </c>
    </row>
    <row r="176" spans="1:1" x14ac:dyDescent="0.35">
      <c r="A176" t="s">
        <v>937</v>
      </c>
    </row>
    <row r="177" spans="1:1" x14ac:dyDescent="0.35">
      <c r="A177" t="s">
        <v>941</v>
      </c>
    </row>
    <row r="178" spans="1:1" x14ac:dyDescent="0.35">
      <c r="A178" t="s">
        <v>944</v>
      </c>
    </row>
    <row r="179" spans="1:1" x14ac:dyDescent="0.35">
      <c r="A179" t="s">
        <v>948</v>
      </c>
    </row>
    <row r="180" spans="1:1" x14ac:dyDescent="0.35">
      <c r="A180" t="s">
        <v>950</v>
      </c>
    </row>
    <row r="181" spans="1:1" x14ac:dyDescent="0.35">
      <c r="A181" t="s">
        <v>953</v>
      </c>
    </row>
    <row r="182" spans="1:1" x14ac:dyDescent="0.35">
      <c r="A182" t="s">
        <v>957</v>
      </c>
    </row>
    <row r="183" spans="1:1" x14ac:dyDescent="0.35">
      <c r="A183" t="s">
        <v>960</v>
      </c>
    </row>
    <row r="184" spans="1:1" x14ac:dyDescent="0.35">
      <c r="A184" t="s">
        <v>964</v>
      </c>
    </row>
    <row r="185" spans="1:1" x14ac:dyDescent="0.35">
      <c r="A185" t="s">
        <v>968</v>
      </c>
    </row>
    <row r="186" spans="1:1" x14ac:dyDescent="0.35">
      <c r="A186" t="s">
        <v>971</v>
      </c>
    </row>
    <row r="187" spans="1:1" x14ac:dyDescent="0.35">
      <c r="A187" t="s">
        <v>974</v>
      </c>
    </row>
    <row r="188" spans="1:1" x14ac:dyDescent="0.35">
      <c r="A188" t="s">
        <v>978</v>
      </c>
    </row>
    <row r="189" spans="1:1" x14ac:dyDescent="0.35">
      <c r="A189" t="s">
        <v>982</v>
      </c>
    </row>
    <row r="190" spans="1:1" x14ac:dyDescent="0.35">
      <c r="A190" t="s">
        <v>985</v>
      </c>
    </row>
    <row r="191" spans="1:1" x14ac:dyDescent="0.35">
      <c r="A191" t="s">
        <v>988</v>
      </c>
    </row>
    <row r="192" spans="1:1" x14ac:dyDescent="0.35">
      <c r="A192" t="s">
        <v>992</v>
      </c>
    </row>
    <row r="193" spans="1:1" x14ac:dyDescent="0.35">
      <c r="A193" t="s">
        <v>995</v>
      </c>
    </row>
    <row r="194" spans="1:1" x14ac:dyDescent="0.35">
      <c r="A194" t="s">
        <v>998</v>
      </c>
    </row>
    <row r="195" spans="1:1" x14ac:dyDescent="0.35">
      <c r="A195" t="s">
        <v>1002</v>
      </c>
    </row>
    <row r="196" spans="1:1" x14ac:dyDescent="0.35">
      <c r="A196" t="s">
        <v>1006</v>
      </c>
    </row>
    <row r="197" spans="1:1" x14ac:dyDescent="0.35">
      <c r="A197" t="s">
        <v>1010</v>
      </c>
    </row>
    <row r="198" spans="1:1" x14ac:dyDescent="0.35">
      <c r="A198" t="s">
        <v>1013</v>
      </c>
    </row>
    <row r="199" spans="1:1" x14ac:dyDescent="0.35">
      <c r="A199" t="s">
        <v>1016</v>
      </c>
    </row>
    <row r="200" spans="1:1" x14ac:dyDescent="0.35">
      <c r="A200" t="s">
        <v>1020</v>
      </c>
    </row>
    <row r="201" spans="1:1" x14ac:dyDescent="0.35">
      <c r="A201" t="s">
        <v>1024</v>
      </c>
    </row>
    <row r="202" spans="1:1" x14ac:dyDescent="0.35">
      <c r="A202" t="s">
        <v>1027</v>
      </c>
    </row>
    <row r="203" spans="1:1" x14ac:dyDescent="0.35">
      <c r="A203" t="s">
        <v>1030</v>
      </c>
    </row>
    <row r="204" spans="1:1" x14ac:dyDescent="0.35">
      <c r="A204" t="s">
        <v>1034</v>
      </c>
    </row>
    <row r="205" spans="1:1" x14ac:dyDescent="0.35">
      <c r="A205" t="s">
        <v>1038</v>
      </c>
    </row>
    <row r="206" spans="1:1" x14ac:dyDescent="0.35">
      <c r="A206" t="s">
        <v>1042</v>
      </c>
    </row>
    <row r="207" spans="1:1" x14ac:dyDescent="0.35">
      <c r="A207" t="s">
        <v>1046</v>
      </c>
    </row>
    <row r="208" spans="1:1" x14ac:dyDescent="0.35">
      <c r="A208" t="s">
        <v>1050</v>
      </c>
    </row>
    <row r="209" spans="1:1" x14ac:dyDescent="0.35">
      <c r="A209" t="s">
        <v>1053</v>
      </c>
    </row>
    <row r="210" spans="1:1" x14ac:dyDescent="0.35">
      <c r="A210" t="s">
        <v>1057</v>
      </c>
    </row>
    <row r="211" spans="1:1" x14ac:dyDescent="0.35">
      <c r="A211" t="s">
        <v>1060</v>
      </c>
    </row>
    <row r="212" spans="1:1" x14ac:dyDescent="0.35">
      <c r="A212" t="s">
        <v>1064</v>
      </c>
    </row>
    <row r="213" spans="1:1" x14ac:dyDescent="0.35">
      <c r="A213" t="s">
        <v>1068</v>
      </c>
    </row>
    <row r="214" spans="1:1" x14ac:dyDescent="0.35">
      <c r="A214" t="s">
        <v>1070</v>
      </c>
    </row>
    <row r="215" spans="1:1" x14ac:dyDescent="0.35">
      <c r="A215" t="s">
        <v>1074</v>
      </c>
    </row>
    <row r="216" spans="1:1" x14ac:dyDescent="0.35">
      <c r="A216" t="s">
        <v>1078</v>
      </c>
    </row>
    <row r="217" spans="1:1" x14ac:dyDescent="0.35">
      <c r="A217" t="s">
        <v>1081</v>
      </c>
    </row>
    <row r="218" spans="1:1" x14ac:dyDescent="0.35">
      <c r="A218" t="s">
        <v>1085</v>
      </c>
    </row>
    <row r="219" spans="1:1" x14ac:dyDescent="0.35">
      <c r="A219" t="s">
        <v>1088</v>
      </c>
    </row>
    <row r="220" spans="1:1" x14ac:dyDescent="0.35">
      <c r="A220" t="s">
        <v>1092</v>
      </c>
    </row>
    <row r="221" spans="1:1" x14ac:dyDescent="0.35">
      <c r="A221" t="s">
        <v>1096</v>
      </c>
    </row>
    <row r="222" spans="1:1" x14ac:dyDescent="0.35">
      <c r="A222" t="s">
        <v>1100</v>
      </c>
    </row>
    <row r="223" spans="1:1" x14ac:dyDescent="0.35">
      <c r="A223" t="s">
        <v>1103</v>
      </c>
    </row>
    <row r="224" spans="1:1" x14ac:dyDescent="0.35">
      <c r="A224" t="s">
        <v>1107</v>
      </c>
    </row>
    <row r="225" spans="1:1" x14ac:dyDescent="0.35">
      <c r="A225" t="s">
        <v>1110</v>
      </c>
    </row>
    <row r="226" spans="1:1" x14ac:dyDescent="0.35">
      <c r="A226" t="s">
        <v>1114</v>
      </c>
    </row>
    <row r="227" spans="1:1" x14ac:dyDescent="0.35">
      <c r="A227" t="s">
        <v>1118</v>
      </c>
    </row>
    <row r="228" spans="1:1" x14ac:dyDescent="0.35">
      <c r="A228" t="s">
        <v>1122</v>
      </c>
    </row>
    <row r="229" spans="1:1" x14ac:dyDescent="0.35">
      <c r="A229" t="s">
        <v>1125</v>
      </c>
    </row>
    <row r="230" spans="1:1" x14ac:dyDescent="0.35">
      <c r="A230" t="s">
        <v>1128</v>
      </c>
    </row>
    <row r="231" spans="1:1" x14ac:dyDescent="0.35">
      <c r="A231" t="s">
        <v>1131</v>
      </c>
    </row>
    <row r="232" spans="1:1" x14ac:dyDescent="0.35">
      <c r="A232" t="s">
        <v>1135</v>
      </c>
    </row>
    <row r="233" spans="1:1" x14ac:dyDescent="0.35">
      <c r="A233" t="s">
        <v>1139</v>
      </c>
    </row>
    <row r="234" spans="1:1" x14ac:dyDescent="0.35">
      <c r="A234" t="s">
        <v>1143</v>
      </c>
    </row>
    <row r="235" spans="1:1" x14ac:dyDescent="0.35">
      <c r="A235" t="s">
        <v>1146</v>
      </c>
    </row>
    <row r="236" spans="1:1" x14ac:dyDescent="0.35">
      <c r="A236" t="s">
        <v>1148</v>
      </c>
    </row>
    <row r="237" spans="1:1" x14ac:dyDescent="0.35">
      <c r="A237" t="s">
        <v>1151</v>
      </c>
    </row>
    <row r="238" spans="1:1" x14ac:dyDescent="0.35">
      <c r="A238" t="s">
        <v>1154</v>
      </c>
    </row>
    <row r="239" spans="1:1" x14ac:dyDescent="0.35">
      <c r="A239" t="s">
        <v>1157</v>
      </c>
    </row>
    <row r="240" spans="1:1" x14ac:dyDescent="0.35">
      <c r="A240" t="s">
        <v>1160</v>
      </c>
    </row>
    <row r="241" spans="1:1" x14ac:dyDescent="0.35">
      <c r="A241" t="s">
        <v>1164</v>
      </c>
    </row>
    <row r="242" spans="1:1" x14ac:dyDescent="0.35">
      <c r="A242" t="s">
        <v>1167</v>
      </c>
    </row>
    <row r="243" spans="1:1" x14ac:dyDescent="0.35">
      <c r="A243" t="s">
        <v>1171</v>
      </c>
    </row>
    <row r="244" spans="1:1" x14ac:dyDescent="0.35">
      <c r="A244" t="s">
        <v>1174</v>
      </c>
    </row>
    <row r="245" spans="1:1" x14ac:dyDescent="0.35">
      <c r="A245" t="s">
        <v>1177</v>
      </c>
    </row>
    <row r="246" spans="1:1" x14ac:dyDescent="0.35">
      <c r="A246" t="s">
        <v>1180</v>
      </c>
    </row>
    <row r="247" spans="1:1" x14ac:dyDescent="0.35">
      <c r="A247" t="s">
        <v>1184</v>
      </c>
    </row>
    <row r="248" spans="1:1" x14ac:dyDescent="0.35">
      <c r="A248" t="s">
        <v>1187</v>
      </c>
    </row>
    <row r="249" spans="1:1" x14ac:dyDescent="0.35">
      <c r="A249" t="s">
        <v>1190</v>
      </c>
    </row>
    <row r="250" spans="1:1" x14ac:dyDescent="0.35">
      <c r="A250" t="s">
        <v>1193</v>
      </c>
    </row>
    <row r="251" spans="1:1" x14ac:dyDescent="0.35">
      <c r="A251" t="s">
        <v>1197</v>
      </c>
    </row>
    <row r="252" spans="1:1" x14ac:dyDescent="0.35">
      <c r="A252" t="s">
        <v>1199</v>
      </c>
    </row>
    <row r="253" spans="1:1" x14ac:dyDescent="0.35">
      <c r="A253" t="s">
        <v>1202</v>
      </c>
    </row>
    <row r="254" spans="1:1" x14ac:dyDescent="0.35">
      <c r="A254" t="s">
        <v>1206</v>
      </c>
    </row>
    <row r="255" spans="1:1" x14ac:dyDescent="0.35">
      <c r="A255" t="s">
        <v>1209</v>
      </c>
    </row>
    <row r="256" spans="1:1" x14ac:dyDescent="0.35">
      <c r="A256" t="s">
        <v>1212</v>
      </c>
    </row>
    <row r="257" spans="1:1" x14ac:dyDescent="0.35">
      <c r="A257" t="s">
        <v>1216</v>
      </c>
    </row>
    <row r="258" spans="1:1" x14ac:dyDescent="0.35">
      <c r="A258" t="s">
        <v>1220</v>
      </c>
    </row>
    <row r="259" spans="1:1" x14ac:dyDescent="0.35">
      <c r="A259" t="s">
        <v>1223</v>
      </c>
    </row>
    <row r="260" spans="1:1" x14ac:dyDescent="0.35">
      <c r="A260" t="s">
        <v>1227</v>
      </c>
    </row>
    <row r="261" spans="1:1" x14ac:dyDescent="0.35">
      <c r="A261" t="s">
        <v>1230</v>
      </c>
    </row>
    <row r="262" spans="1:1" x14ac:dyDescent="0.35">
      <c r="A262" t="s">
        <v>1234</v>
      </c>
    </row>
    <row r="263" spans="1:1" x14ac:dyDescent="0.35">
      <c r="A263" t="s">
        <v>1237</v>
      </c>
    </row>
    <row r="264" spans="1:1" x14ac:dyDescent="0.35">
      <c r="A264" t="s">
        <v>1239</v>
      </c>
    </row>
    <row r="265" spans="1:1" x14ac:dyDescent="0.35">
      <c r="A265" t="s">
        <v>1243</v>
      </c>
    </row>
    <row r="266" spans="1:1" x14ac:dyDescent="0.35">
      <c r="A266" t="s">
        <v>1247</v>
      </c>
    </row>
    <row r="267" spans="1:1" x14ac:dyDescent="0.35">
      <c r="A267" t="s">
        <v>1251</v>
      </c>
    </row>
    <row r="268" spans="1:1" x14ac:dyDescent="0.35">
      <c r="A268" t="s">
        <v>1253</v>
      </c>
    </row>
    <row r="269" spans="1:1" x14ac:dyDescent="0.35">
      <c r="A269" t="s">
        <v>1257</v>
      </c>
    </row>
    <row r="270" spans="1:1" x14ac:dyDescent="0.35">
      <c r="A270" t="s">
        <v>1259</v>
      </c>
    </row>
    <row r="271" spans="1:1" x14ac:dyDescent="0.35">
      <c r="A271" t="s">
        <v>1262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362"/>
  <sheetViews>
    <sheetView workbookViewId="0">
      <selection activeCell="E1" sqref="E1:G1048576"/>
    </sheetView>
  </sheetViews>
  <sheetFormatPr defaultRowHeight="14.5" x14ac:dyDescent="0.35"/>
  <sheetData>
    <row r="1" spans="1:8" ht="15" thickBot="1" x14ac:dyDescent="0.4">
      <c r="A1" s="5" t="s">
        <v>108</v>
      </c>
      <c r="B1" s="5" t="s">
        <v>1</v>
      </c>
      <c r="C1" s="5" t="s">
        <v>2</v>
      </c>
      <c r="D1" s="6" t="s">
        <v>3</v>
      </c>
      <c r="E1" s="3" t="s">
        <v>109</v>
      </c>
      <c r="F1" s="4" t="s">
        <v>110</v>
      </c>
      <c r="G1" t="s">
        <v>175</v>
      </c>
      <c r="H1" t="s">
        <v>174</v>
      </c>
    </row>
    <row r="2" spans="1:8" hidden="1" x14ac:dyDescent="0.35">
      <c r="A2" t="s">
        <v>4</v>
      </c>
      <c r="B2">
        <v>2019</v>
      </c>
      <c r="C2" t="s">
        <v>5</v>
      </c>
      <c r="D2" t="s">
        <v>111</v>
      </c>
      <c r="E2" t="s">
        <v>112</v>
      </c>
      <c r="F2" t="s">
        <v>199</v>
      </c>
      <c r="G2" t="b">
        <f>IF(E2="Include", TRUE, FALSE)</f>
        <v>1</v>
      </c>
      <c r="H2" t="e">
        <f>VLOOKUP(A2,ID_Lookup!$A:$A,1,FALSE)</f>
        <v>#N/A</v>
      </c>
    </row>
    <row r="3" spans="1:8" hidden="1" x14ac:dyDescent="0.35">
      <c r="A3" t="s">
        <v>6</v>
      </c>
      <c r="B3">
        <v>2019</v>
      </c>
      <c r="C3" t="s">
        <v>7</v>
      </c>
      <c r="D3" t="s">
        <v>113</v>
      </c>
      <c r="E3" t="s">
        <v>112</v>
      </c>
      <c r="F3" t="s">
        <v>199</v>
      </c>
      <c r="G3" t="b">
        <f t="shared" ref="G3:G66" si="0">IF(E3="Include", TRUE, FALSE)</f>
        <v>1</v>
      </c>
      <c r="H3" t="e">
        <f>VLOOKUP(A3,ID_Lookup!$A:$A,1,FALSE)</f>
        <v>#N/A</v>
      </c>
    </row>
    <row r="4" spans="1:8" x14ac:dyDescent="0.35">
      <c r="A4" t="s">
        <v>8</v>
      </c>
      <c r="B4">
        <v>2019</v>
      </c>
      <c r="C4" t="s">
        <v>9</v>
      </c>
      <c r="D4" t="s">
        <v>114</v>
      </c>
      <c r="E4" t="s">
        <v>112</v>
      </c>
      <c r="F4" t="s">
        <v>199</v>
      </c>
      <c r="G4" t="b">
        <f t="shared" si="0"/>
        <v>1</v>
      </c>
      <c r="H4" t="str">
        <f>VLOOKUP(A4,ID_Lookup!$A:$A,1,FALSE)</f>
        <v>J502</v>
      </c>
    </row>
    <row r="5" spans="1:8" x14ac:dyDescent="0.35">
      <c r="A5" t="s">
        <v>10</v>
      </c>
      <c r="B5">
        <v>2019</v>
      </c>
      <c r="C5" t="s">
        <v>11</v>
      </c>
      <c r="D5" t="s">
        <v>115</v>
      </c>
      <c r="E5" t="s">
        <v>112</v>
      </c>
      <c r="F5" t="s">
        <v>199</v>
      </c>
      <c r="G5" t="b">
        <f t="shared" si="0"/>
        <v>1</v>
      </c>
      <c r="H5" t="str">
        <f>VLOOKUP(A5,ID_Lookup!$A:$A,1,FALSE)</f>
        <v>J503</v>
      </c>
    </row>
    <row r="6" spans="1:8" x14ac:dyDescent="0.35">
      <c r="A6" t="s">
        <v>12</v>
      </c>
      <c r="B6">
        <v>2019</v>
      </c>
      <c r="C6" t="s">
        <v>13</v>
      </c>
      <c r="D6" t="s">
        <v>116</v>
      </c>
      <c r="E6" t="s">
        <v>112</v>
      </c>
      <c r="F6" t="s">
        <v>199</v>
      </c>
      <c r="G6" t="b">
        <f t="shared" si="0"/>
        <v>1</v>
      </c>
      <c r="H6" t="str">
        <f>VLOOKUP(A6,ID_Lookup!$A:$A,1,FALSE)</f>
        <v>J504</v>
      </c>
    </row>
    <row r="7" spans="1:8" x14ac:dyDescent="0.35">
      <c r="A7" t="s">
        <v>14</v>
      </c>
      <c r="B7">
        <v>2019</v>
      </c>
      <c r="C7" t="s">
        <v>15</v>
      </c>
      <c r="D7" t="s">
        <v>117</v>
      </c>
      <c r="E7" t="s">
        <v>112</v>
      </c>
      <c r="F7" t="s">
        <v>199</v>
      </c>
      <c r="G7" t="b">
        <f t="shared" si="0"/>
        <v>1</v>
      </c>
      <c r="H7" t="str">
        <f>VLOOKUP(A7,ID_Lookup!$A:$A,1,FALSE)</f>
        <v>J505</v>
      </c>
    </row>
    <row r="8" spans="1:8" x14ac:dyDescent="0.35">
      <c r="A8" t="s">
        <v>16</v>
      </c>
      <c r="B8">
        <v>2019</v>
      </c>
      <c r="C8" t="s">
        <v>17</v>
      </c>
      <c r="D8" t="s">
        <v>118</v>
      </c>
      <c r="E8" t="s">
        <v>112</v>
      </c>
      <c r="F8" t="s">
        <v>199</v>
      </c>
      <c r="G8" t="b">
        <f t="shared" si="0"/>
        <v>1</v>
      </c>
      <c r="H8" t="str">
        <f>VLOOKUP(A8,ID_Lookup!$A:$A,1,FALSE)</f>
        <v>J506</v>
      </c>
    </row>
    <row r="9" spans="1:8" hidden="1" x14ac:dyDescent="0.35">
      <c r="A9" t="s">
        <v>18</v>
      </c>
      <c r="B9">
        <v>2019</v>
      </c>
      <c r="C9" t="s">
        <v>119</v>
      </c>
      <c r="D9" t="s">
        <v>120</v>
      </c>
      <c r="E9" t="s">
        <v>112</v>
      </c>
      <c r="F9" t="s">
        <v>199</v>
      </c>
      <c r="G9" t="b">
        <f t="shared" si="0"/>
        <v>1</v>
      </c>
      <c r="H9" t="e">
        <f>VLOOKUP(A9,ID_Lookup!$A:$A,1,FALSE)</f>
        <v>#N/A</v>
      </c>
    </row>
    <row r="10" spans="1:8" x14ac:dyDescent="0.35">
      <c r="A10" t="s">
        <v>19</v>
      </c>
      <c r="B10">
        <v>2019</v>
      </c>
      <c r="C10" t="s">
        <v>20</v>
      </c>
      <c r="D10" t="s">
        <v>121</v>
      </c>
      <c r="E10" t="s">
        <v>112</v>
      </c>
      <c r="F10" t="s">
        <v>199</v>
      </c>
      <c r="G10" t="b">
        <f t="shared" si="0"/>
        <v>1</v>
      </c>
      <c r="H10" t="str">
        <f>VLOOKUP(A10,ID_Lookup!$A:$A,1,FALSE)</f>
        <v>J508</v>
      </c>
    </row>
    <row r="11" spans="1:8" x14ac:dyDescent="0.35">
      <c r="A11" t="s">
        <v>21</v>
      </c>
      <c r="B11">
        <v>2019</v>
      </c>
      <c r="C11" t="s">
        <v>22</v>
      </c>
      <c r="D11" t="s">
        <v>122</v>
      </c>
      <c r="E11" t="s">
        <v>112</v>
      </c>
      <c r="F11" t="s">
        <v>199</v>
      </c>
      <c r="G11" t="b">
        <f t="shared" si="0"/>
        <v>1</v>
      </c>
      <c r="H11" t="str">
        <f>VLOOKUP(A11,ID_Lookup!$A:$A,1,FALSE)</f>
        <v>J509</v>
      </c>
    </row>
    <row r="12" spans="1:8" x14ac:dyDescent="0.35">
      <c r="A12" t="s">
        <v>23</v>
      </c>
      <c r="B12">
        <v>2019</v>
      </c>
      <c r="C12" t="s">
        <v>123</v>
      </c>
      <c r="D12" t="s">
        <v>124</v>
      </c>
      <c r="E12" t="s">
        <v>112</v>
      </c>
      <c r="F12" t="s">
        <v>199</v>
      </c>
      <c r="G12" t="b">
        <f t="shared" si="0"/>
        <v>1</v>
      </c>
      <c r="H12" t="str">
        <f>VLOOKUP(A12,ID_Lookup!$A:$A,1,FALSE)</f>
        <v>J510</v>
      </c>
    </row>
    <row r="13" spans="1:8" x14ac:dyDescent="0.35">
      <c r="A13" t="s">
        <v>24</v>
      </c>
      <c r="B13">
        <v>2019</v>
      </c>
      <c r="C13" t="s">
        <v>25</v>
      </c>
      <c r="D13" t="s">
        <v>26</v>
      </c>
      <c r="E13" t="s">
        <v>112</v>
      </c>
      <c r="F13" t="s">
        <v>199</v>
      </c>
      <c r="G13" t="b">
        <f t="shared" si="0"/>
        <v>1</v>
      </c>
      <c r="H13" t="str">
        <f>VLOOKUP(A13,ID_Lookup!$A:$A,1,FALSE)</f>
        <v>J511</v>
      </c>
    </row>
    <row r="14" spans="1:8" x14ac:dyDescent="0.35">
      <c r="A14" s="7" t="s">
        <v>27</v>
      </c>
      <c r="B14" s="7">
        <v>2019</v>
      </c>
      <c r="C14" s="7" t="s">
        <v>28</v>
      </c>
      <c r="D14" s="7" t="s">
        <v>29</v>
      </c>
      <c r="E14" s="7" t="s">
        <v>112</v>
      </c>
      <c r="F14" s="7"/>
      <c r="G14" t="b">
        <f t="shared" si="0"/>
        <v>1</v>
      </c>
      <c r="H14" t="str">
        <f>VLOOKUP(A14,ID_Lookup!$A:$A,1,FALSE)</f>
        <v>J512</v>
      </c>
    </row>
    <row r="15" spans="1:8" x14ac:dyDescent="0.35">
      <c r="A15" t="s">
        <v>30</v>
      </c>
      <c r="B15">
        <v>2019</v>
      </c>
      <c r="C15" t="s">
        <v>125</v>
      </c>
      <c r="D15" t="s">
        <v>126</v>
      </c>
      <c r="E15" t="s">
        <v>112</v>
      </c>
      <c r="F15" t="s">
        <v>199</v>
      </c>
      <c r="G15" t="b">
        <f t="shared" si="0"/>
        <v>1</v>
      </c>
      <c r="H15" t="str">
        <f>VLOOKUP(A15,ID_Lookup!$A:$A,1,FALSE)</f>
        <v>J513</v>
      </c>
    </row>
    <row r="16" spans="1:8" x14ac:dyDescent="0.35">
      <c r="A16" t="s">
        <v>31</v>
      </c>
      <c r="B16">
        <v>2019</v>
      </c>
      <c r="C16" t="s">
        <v>127</v>
      </c>
      <c r="D16" t="s">
        <v>128</v>
      </c>
      <c r="E16" t="s">
        <v>112</v>
      </c>
      <c r="F16" t="s">
        <v>199</v>
      </c>
      <c r="G16" t="b">
        <f t="shared" si="0"/>
        <v>1</v>
      </c>
      <c r="H16" t="str">
        <f>VLOOKUP(A16,ID_Lookup!$A:$A,1,FALSE)</f>
        <v>J514</v>
      </c>
    </row>
    <row r="17" spans="1:8" x14ac:dyDescent="0.35">
      <c r="A17" t="s">
        <v>32</v>
      </c>
      <c r="B17">
        <v>2019</v>
      </c>
      <c r="C17" t="s">
        <v>33</v>
      </c>
      <c r="D17" t="s">
        <v>129</v>
      </c>
      <c r="E17" t="s">
        <v>112</v>
      </c>
      <c r="F17" t="s">
        <v>199</v>
      </c>
      <c r="G17" t="b">
        <f t="shared" si="0"/>
        <v>1</v>
      </c>
      <c r="H17" t="str">
        <f>VLOOKUP(A17,ID_Lookup!$A:$A,1,FALSE)</f>
        <v>J515</v>
      </c>
    </row>
    <row r="18" spans="1:8" hidden="1" x14ac:dyDescent="0.35">
      <c r="A18" t="s">
        <v>34</v>
      </c>
      <c r="B18">
        <v>2019</v>
      </c>
      <c r="C18" t="s">
        <v>35</v>
      </c>
      <c r="D18" t="s">
        <v>130</v>
      </c>
      <c r="E18" t="s">
        <v>112</v>
      </c>
      <c r="F18" t="s">
        <v>199</v>
      </c>
      <c r="G18" t="b">
        <f t="shared" si="0"/>
        <v>1</v>
      </c>
      <c r="H18" t="e">
        <f>VLOOKUP(A18,ID_Lookup!$A:$A,1,FALSE)</f>
        <v>#N/A</v>
      </c>
    </row>
    <row r="19" spans="1:8" s="2" customFormat="1" hidden="1" x14ac:dyDescent="0.35">
      <c r="A19" t="s">
        <v>36</v>
      </c>
      <c r="B19">
        <v>2019</v>
      </c>
      <c r="C19" t="s">
        <v>37</v>
      </c>
      <c r="D19" t="s">
        <v>131</v>
      </c>
      <c r="E19" t="s">
        <v>112</v>
      </c>
      <c r="F19" t="s">
        <v>199</v>
      </c>
      <c r="G19" t="b">
        <f t="shared" si="0"/>
        <v>1</v>
      </c>
      <c r="H19" t="e">
        <f>VLOOKUP(A19,ID_Lookup!$A:$A,1,FALSE)</f>
        <v>#N/A</v>
      </c>
    </row>
    <row r="20" spans="1:8" hidden="1" x14ac:dyDescent="0.35">
      <c r="A20" t="s">
        <v>38</v>
      </c>
      <c r="B20">
        <v>2019</v>
      </c>
      <c r="C20" t="s">
        <v>39</v>
      </c>
      <c r="D20" t="s">
        <v>132</v>
      </c>
      <c r="E20" t="s">
        <v>112</v>
      </c>
      <c r="F20" t="s">
        <v>199</v>
      </c>
      <c r="G20" t="b">
        <f t="shared" si="0"/>
        <v>1</v>
      </c>
      <c r="H20" t="e">
        <f>VLOOKUP(A20,ID_Lookup!$A:$A,1,FALSE)</f>
        <v>#N/A</v>
      </c>
    </row>
    <row r="21" spans="1:8" hidden="1" x14ac:dyDescent="0.35">
      <c r="A21" t="s">
        <v>40</v>
      </c>
      <c r="B21">
        <v>2019</v>
      </c>
      <c r="C21" t="s">
        <v>41</v>
      </c>
      <c r="D21" t="s">
        <v>133</v>
      </c>
      <c r="E21" t="s">
        <v>112</v>
      </c>
      <c r="F21" t="s">
        <v>199</v>
      </c>
      <c r="G21" t="b">
        <f t="shared" si="0"/>
        <v>1</v>
      </c>
      <c r="H21" t="e">
        <f>VLOOKUP(A21,ID_Lookup!$A:$A,1,FALSE)</f>
        <v>#N/A</v>
      </c>
    </row>
    <row r="22" spans="1:8" x14ac:dyDescent="0.35">
      <c r="A22" t="s">
        <v>42</v>
      </c>
      <c r="B22">
        <v>2019</v>
      </c>
      <c r="C22" t="s">
        <v>43</v>
      </c>
      <c r="D22" t="s">
        <v>44</v>
      </c>
      <c r="E22" t="s">
        <v>112</v>
      </c>
      <c r="F22" t="s">
        <v>199</v>
      </c>
      <c r="G22" t="b">
        <f t="shared" si="0"/>
        <v>1</v>
      </c>
      <c r="H22" t="str">
        <f>VLOOKUP(A22,ID_Lookup!$A:$A,1,FALSE)</f>
        <v>J520</v>
      </c>
    </row>
    <row r="23" spans="1:8" x14ac:dyDescent="0.35">
      <c r="A23" t="s">
        <v>45</v>
      </c>
      <c r="B23">
        <v>2019</v>
      </c>
      <c r="C23" t="s">
        <v>46</v>
      </c>
      <c r="D23" t="s">
        <v>134</v>
      </c>
      <c r="E23" t="s">
        <v>112</v>
      </c>
      <c r="F23" t="s">
        <v>199</v>
      </c>
      <c r="G23" t="b">
        <f t="shared" si="0"/>
        <v>1</v>
      </c>
      <c r="H23" t="str">
        <f>VLOOKUP(A23,ID_Lookup!$A:$A,1,FALSE)</f>
        <v>J521</v>
      </c>
    </row>
    <row r="24" spans="1:8" x14ac:dyDescent="0.35">
      <c r="A24" t="s">
        <v>47</v>
      </c>
      <c r="B24">
        <v>2019</v>
      </c>
      <c r="C24" t="s">
        <v>48</v>
      </c>
      <c r="D24" t="s">
        <v>135</v>
      </c>
      <c r="E24" t="s">
        <v>112</v>
      </c>
      <c r="F24" t="s">
        <v>199</v>
      </c>
      <c r="G24" t="b">
        <f t="shared" si="0"/>
        <v>1</v>
      </c>
      <c r="H24" t="str">
        <f>VLOOKUP(A24,ID_Lookup!$A:$A,1,FALSE)</f>
        <v>J522</v>
      </c>
    </row>
    <row r="25" spans="1:8" x14ac:dyDescent="0.35">
      <c r="A25" t="s">
        <v>49</v>
      </c>
      <c r="B25">
        <v>2019</v>
      </c>
      <c r="C25" t="s">
        <v>136</v>
      </c>
      <c r="D25" t="s">
        <v>137</v>
      </c>
      <c r="E25" t="s">
        <v>112</v>
      </c>
      <c r="F25" t="s">
        <v>199</v>
      </c>
      <c r="G25" t="b">
        <f t="shared" si="0"/>
        <v>1</v>
      </c>
      <c r="H25" t="str">
        <f>VLOOKUP(A25,ID_Lookup!$A:$A,1,FALSE)</f>
        <v>J523</v>
      </c>
    </row>
    <row r="26" spans="1:8" x14ac:dyDescent="0.35">
      <c r="A26" t="s">
        <v>50</v>
      </c>
      <c r="B26">
        <v>2019</v>
      </c>
      <c r="C26" t="s">
        <v>138</v>
      </c>
      <c r="D26" t="s">
        <v>139</v>
      </c>
      <c r="E26" t="s">
        <v>112</v>
      </c>
      <c r="F26" t="s">
        <v>199</v>
      </c>
      <c r="G26" t="b">
        <f t="shared" si="0"/>
        <v>1</v>
      </c>
      <c r="H26" t="str">
        <f>VLOOKUP(A26,ID_Lookup!$A:$A,1,FALSE)</f>
        <v>J524</v>
      </c>
    </row>
    <row r="27" spans="1:8" hidden="1" x14ac:dyDescent="0.35">
      <c r="A27" t="s">
        <v>51</v>
      </c>
      <c r="B27">
        <v>2019</v>
      </c>
      <c r="C27" t="s">
        <v>52</v>
      </c>
      <c r="D27" t="s">
        <v>53</v>
      </c>
      <c r="E27" t="s">
        <v>112</v>
      </c>
      <c r="F27" t="s">
        <v>199</v>
      </c>
      <c r="G27" t="b">
        <f t="shared" si="0"/>
        <v>1</v>
      </c>
      <c r="H27" t="e">
        <f>VLOOKUP(A27,ID_Lookup!$A:$A,1,FALSE)</f>
        <v>#N/A</v>
      </c>
    </row>
    <row r="28" spans="1:8" hidden="1" x14ac:dyDescent="0.35">
      <c r="A28" t="s">
        <v>54</v>
      </c>
      <c r="B28">
        <v>2019</v>
      </c>
      <c r="C28" t="s">
        <v>55</v>
      </c>
      <c r="D28" t="s">
        <v>56</v>
      </c>
      <c r="E28" t="s">
        <v>112</v>
      </c>
      <c r="F28" t="s">
        <v>199</v>
      </c>
      <c r="G28" t="b">
        <f t="shared" si="0"/>
        <v>1</v>
      </c>
      <c r="H28" t="e">
        <f>VLOOKUP(A28,ID_Lookup!$A:$A,1,FALSE)</f>
        <v>#N/A</v>
      </c>
    </row>
    <row r="29" spans="1:8" x14ac:dyDescent="0.35">
      <c r="A29" t="s">
        <v>57</v>
      </c>
      <c r="B29">
        <v>2019</v>
      </c>
      <c r="C29" t="s">
        <v>58</v>
      </c>
      <c r="D29" t="s">
        <v>140</v>
      </c>
      <c r="E29" t="s">
        <v>112</v>
      </c>
      <c r="F29" t="s">
        <v>199</v>
      </c>
      <c r="G29" t="b">
        <f t="shared" si="0"/>
        <v>1</v>
      </c>
      <c r="H29" t="str">
        <f>VLOOKUP(A29,ID_Lookup!$A:$A,1,FALSE)</f>
        <v>J527</v>
      </c>
    </row>
    <row r="30" spans="1:8" hidden="1" x14ac:dyDescent="0.35">
      <c r="A30" t="s">
        <v>59</v>
      </c>
      <c r="B30">
        <v>2019</v>
      </c>
      <c r="C30" t="s">
        <v>141</v>
      </c>
      <c r="D30" t="s">
        <v>142</v>
      </c>
      <c r="E30" t="s">
        <v>112</v>
      </c>
      <c r="F30" t="s">
        <v>199</v>
      </c>
      <c r="G30" t="b">
        <f t="shared" si="0"/>
        <v>1</v>
      </c>
      <c r="H30" t="e">
        <f>VLOOKUP(A30,ID_Lookup!$A:$A,1,FALSE)</f>
        <v>#N/A</v>
      </c>
    </row>
    <row r="31" spans="1:8" x14ac:dyDescent="0.35">
      <c r="A31" t="s">
        <v>60</v>
      </c>
      <c r="B31">
        <v>2019</v>
      </c>
      <c r="C31" t="s">
        <v>61</v>
      </c>
      <c r="D31" t="s">
        <v>143</v>
      </c>
      <c r="E31" t="s">
        <v>112</v>
      </c>
      <c r="F31" t="s">
        <v>199</v>
      </c>
      <c r="G31" t="b">
        <f t="shared" si="0"/>
        <v>1</v>
      </c>
      <c r="H31" t="str">
        <f>VLOOKUP(A31,ID_Lookup!$A:$A,1,FALSE)</f>
        <v>J529</v>
      </c>
    </row>
    <row r="32" spans="1:8" x14ac:dyDescent="0.35">
      <c r="A32" t="s">
        <v>62</v>
      </c>
      <c r="B32">
        <v>2019</v>
      </c>
      <c r="C32" t="s">
        <v>63</v>
      </c>
      <c r="D32" t="s">
        <v>144</v>
      </c>
      <c r="E32" t="s">
        <v>112</v>
      </c>
      <c r="F32" t="s">
        <v>199</v>
      </c>
      <c r="G32" t="b">
        <f t="shared" si="0"/>
        <v>1</v>
      </c>
      <c r="H32" t="str">
        <f>VLOOKUP(A32,ID_Lookup!$A:$A,1,FALSE)</f>
        <v>J530</v>
      </c>
    </row>
    <row r="33" spans="1:8" hidden="1" x14ac:dyDescent="0.35">
      <c r="A33" t="s">
        <v>64</v>
      </c>
      <c r="B33">
        <v>2019</v>
      </c>
      <c r="C33" t="s">
        <v>65</v>
      </c>
      <c r="D33" t="s">
        <v>145</v>
      </c>
      <c r="E33" t="s">
        <v>112</v>
      </c>
      <c r="F33" t="s">
        <v>199</v>
      </c>
      <c r="G33" t="b">
        <f t="shared" si="0"/>
        <v>1</v>
      </c>
      <c r="H33" t="e">
        <f>VLOOKUP(A33,ID_Lookup!$A:$A,1,FALSE)</f>
        <v>#N/A</v>
      </c>
    </row>
    <row r="34" spans="1:8" x14ac:dyDescent="0.35">
      <c r="A34" t="s">
        <v>66</v>
      </c>
      <c r="B34">
        <v>2019</v>
      </c>
      <c r="C34" t="s">
        <v>67</v>
      </c>
      <c r="D34" t="s">
        <v>68</v>
      </c>
      <c r="E34" t="s">
        <v>112</v>
      </c>
      <c r="F34" t="s">
        <v>199</v>
      </c>
      <c r="G34" t="b">
        <f t="shared" si="0"/>
        <v>1</v>
      </c>
      <c r="H34" t="str">
        <f>VLOOKUP(A34,ID_Lookup!$A:$A,1,FALSE)</f>
        <v>J532</v>
      </c>
    </row>
    <row r="35" spans="1:8" x14ac:dyDescent="0.35">
      <c r="A35" t="s">
        <v>69</v>
      </c>
      <c r="B35">
        <v>2019</v>
      </c>
      <c r="C35" t="s">
        <v>70</v>
      </c>
      <c r="D35" t="s">
        <v>146</v>
      </c>
      <c r="E35" t="s">
        <v>173</v>
      </c>
      <c r="F35" t="s">
        <v>192</v>
      </c>
      <c r="G35" t="b">
        <f t="shared" si="0"/>
        <v>0</v>
      </c>
      <c r="H35" t="str">
        <f>VLOOKUP(A35,ID_Lookup!$A:$A,1,FALSE)</f>
        <v>J533</v>
      </c>
    </row>
    <row r="36" spans="1:8" ht="409.5" x14ac:dyDescent="0.35">
      <c r="A36" t="s">
        <v>71</v>
      </c>
      <c r="B36">
        <v>2019</v>
      </c>
      <c r="C36" t="s">
        <v>72</v>
      </c>
      <c r="D36" s="1" t="s">
        <v>73</v>
      </c>
      <c r="E36" t="s">
        <v>112</v>
      </c>
      <c r="F36" t="s">
        <v>199</v>
      </c>
      <c r="G36" t="b">
        <f t="shared" si="0"/>
        <v>1</v>
      </c>
      <c r="H36" t="str">
        <f>VLOOKUP(A36,ID_Lookup!$A:$A,1,FALSE)</f>
        <v>J534</v>
      </c>
    </row>
    <row r="37" spans="1:8" x14ac:dyDescent="0.35">
      <c r="A37" t="s">
        <v>74</v>
      </c>
      <c r="B37">
        <v>2019</v>
      </c>
      <c r="C37" t="s">
        <v>75</v>
      </c>
      <c r="D37" t="s">
        <v>147</v>
      </c>
      <c r="E37" t="s">
        <v>112</v>
      </c>
      <c r="F37" t="s">
        <v>199</v>
      </c>
      <c r="G37" t="b">
        <f t="shared" si="0"/>
        <v>1</v>
      </c>
      <c r="H37" t="str">
        <f>VLOOKUP(A37,ID_Lookup!$A:$A,1,FALSE)</f>
        <v>J535</v>
      </c>
    </row>
    <row r="38" spans="1:8" x14ac:dyDescent="0.35">
      <c r="A38" t="s">
        <v>76</v>
      </c>
      <c r="B38">
        <v>2019</v>
      </c>
      <c r="C38" t="s">
        <v>77</v>
      </c>
      <c r="D38" t="s">
        <v>148</v>
      </c>
      <c r="E38" t="s">
        <v>112</v>
      </c>
      <c r="F38" t="s">
        <v>199</v>
      </c>
      <c r="G38" t="b">
        <f t="shared" si="0"/>
        <v>1</v>
      </c>
      <c r="H38" t="str">
        <f>VLOOKUP(A38,ID_Lookup!$A:$A,1,FALSE)</f>
        <v>J536</v>
      </c>
    </row>
    <row r="39" spans="1:8" x14ac:dyDescent="0.35">
      <c r="A39" t="s">
        <v>78</v>
      </c>
      <c r="B39">
        <v>2019</v>
      </c>
      <c r="C39" t="s">
        <v>79</v>
      </c>
      <c r="D39" t="s">
        <v>149</v>
      </c>
      <c r="E39" t="s">
        <v>112</v>
      </c>
      <c r="F39" t="s">
        <v>199</v>
      </c>
      <c r="G39" t="b">
        <f t="shared" si="0"/>
        <v>1</v>
      </c>
      <c r="H39" t="str">
        <f>VLOOKUP(A39,ID_Lookup!$A:$A,1,FALSE)</f>
        <v>J537</v>
      </c>
    </row>
    <row r="40" spans="1:8" hidden="1" x14ac:dyDescent="0.35">
      <c r="A40" t="s">
        <v>80</v>
      </c>
      <c r="B40">
        <v>2019</v>
      </c>
      <c r="C40" t="s">
        <v>81</v>
      </c>
      <c r="D40" t="s">
        <v>150</v>
      </c>
      <c r="E40" t="s">
        <v>112</v>
      </c>
      <c r="F40" t="s">
        <v>199</v>
      </c>
      <c r="G40" t="b">
        <f t="shared" si="0"/>
        <v>1</v>
      </c>
      <c r="H40" t="e">
        <f>VLOOKUP(A40,ID_Lookup!$A:$A,1,FALSE)</f>
        <v>#N/A</v>
      </c>
    </row>
    <row r="41" spans="1:8" hidden="1" x14ac:dyDescent="0.35">
      <c r="A41" t="s">
        <v>82</v>
      </c>
      <c r="B41">
        <v>2019</v>
      </c>
      <c r="C41" t="s">
        <v>151</v>
      </c>
      <c r="D41" t="s">
        <v>152</v>
      </c>
      <c r="E41" t="s">
        <v>112</v>
      </c>
      <c r="F41" t="s">
        <v>199</v>
      </c>
      <c r="G41" t="b">
        <f t="shared" si="0"/>
        <v>1</v>
      </c>
      <c r="H41" t="e">
        <f>VLOOKUP(A41,ID_Lookup!$A:$A,1,FALSE)</f>
        <v>#N/A</v>
      </c>
    </row>
    <row r="42" spans="1:8" x14ac:dyDescent="0.35">
      <c r="A42" t="s">
        <v>83</v>
      </c>
      <c r="B42">
        <v>2019</v>
      </c>
      <c r="C42" t="s">
        <v>84</v>
      </c>
      <c r="D42" t="s">
        <v>153</v>
      </c>
      <c r="E42" t="s">
        <v>112</v>
      </c>
      <c r="F42" t="s">
        <v>199</v>
      </c>
      <c r="G42" t="b">
        <f t="shared" si="0"/>
        <v>1</v>
      </c>
      <c r="H42" t="str">
        <f>VLOOKUP(A42,ID_Lookup!$A:$A,1,FALSE)</f>
        <v>J540</v>
      </c>
    </row>
    <row r="43" spans="1:8" ht="409.5" x14ac:dyDescent="0.35">
      <c r="A43" t="s">
        <v>85</v>
      </c>
      <c r="B43">
        <v>2019</v>
      </c>
      <c r="C43" t="s">
        <v>86</v>
      </c>
      <c r="D43" s="1" t="s">
        <v>87</v>
      </c>
      <c r="E43" t="s">
        <v>112</v>
      </c>
      <c r="F43" t="s">
        <v>199</v>
      </c>
      <c r="G43" t="b">
        <f t="shared" si="0"/>
        <v>1</v>
      </c>
      <c r="H43" t="str">
        <f>VLOOKUP(A43,ID_Lookup!$A:$A,1,FALSE)</f>
        <v>J541</v>
      </c>
    </row>
    <row r="44" spans="1:8" hidden="1" x14ac:dyDescent="0.35">
      <c r="A44" t="s">
        <v>88</v>
      </c>
      <c r="B44">
        <v>2019</v>
      </c>
      <c r="C44" t="s">
        <v>154</v>
      </c>
      <c r="D44" t="s">
        <v>155</v>
      </c>
      <c r="E44" t="s">
        <v>112</v>
      </c>
      <c r="F44" t="s">
        <v>199</v>
      </c>
      <c r="G44" t="b">
        <f t="shared" si="0"/>
        <v>1</v>
      </c>
      <c r="H44" t="e">
        <f>VLOOKUP(A44,ID_Lookup!$A:$A,1,FALSE)</f>
        <v>#N/A</v>
      </c>
    </row>
    <row r="45" spans="1:8" x14ac:dyDescent="0.35">
      <c r="A45" t="s">
        <v>89</v>
      </c>
      <c r="B45">
        <v>2019</v>
      </c>
      <c r="C45" t="s">
        <v>90</v>
      </c>
      <c r="D45" t="s">
        <v>156</v>
      </c>
      <c r="E45" t="s">
        <v>173</v>
      </c>
      <c r="F45" t="s">
        <v>192</v>
      </c>
      <c r="G45" t="b">
        <f t="shared" si="0"/>
        <v>0</v>
      </c>
      <c r="H45" t="str">
        <f>VLOOKUP(A45,ID_Lookup!$A:$A,1,FALSE)</f>
        <v>J543</v>
      </c>
    </row>
    <row r="46" spans="1:8" x14ac:dyDescent="0.35">
      <c r="A46" t="s">
        <v>91</v>
      </c>
      <c r="B46">
        <v>2019</v>
      </c>
      <c r="C46" t="s">
        <v>92</v>
      </c>
      <c r="D46" t="s">
        <v>93</v>
      </c>
      <c r="E46" t="s">
        <v>112</v>
      </c>
      <c r="F46" t="s">
        <v>199</v>
      </c>
      <c r="G46" t="b">
        <f t="shared" si="0"/>
        <v>1</v>
      </c>
      <c r="H46" t="str">
        <f>VLOOKUP(A46,ID_Lookup!$A:$A,1,FALSE)</f>
        <v>J544</v>
      </c>
    </row>
    <row r="47" spans="1:8" x14ac:dyDescent="0.35">
      <c r="A47" t="s">
        <v>94</v>
      </c>
      <c r="B47">
        <v>2019</v>
      </c>
      <c r="C47" t="s">
        <v>95</v>
      </c>
      <c r="D47" t="s">
        <v>96</v>
      </c>
      <c r="E47" t="s">
        <v>112</v>
      </c>
      <c r="F47" t="s">
        <v>199</v>
      </c>
      <c r="G47" t="b">
        <f t="shared" si="0"/>
        <v>1</v>
      </c>
      <c r="H47" t="str">
        <f>VLOOKUP(A47,ID_Lookup!$A:$A,1,FALSE)</f>
        <v>J545</v>
      </c>
    </row>
    <row r="48" spans="1:8" x14ac:dyDescent="0.35">
      <c r="A48" t="s">
        <v>97</v>
      </c>
      <c r="B48">
        <v>2019</v>
      </c>
      <c r="C48" t="s">
        <v>98</v>
      </c>
      <c r="D48" t="s">
        <v>157</v>
      </c>
      <c r="E48" t="s">
        <v>173</v>
      </c>
      <c r="F48" t="s">
        <v>200</v>
      </c>
      <c r="G48" t="b">
        <f t="shared" si="0"/>
        <v>0</v>
      </c>
      <c r="H48" t="str">
        <f>VLOOKUP(A48,ID_Lookup!$A:$A,1,FALSE)</f>
        <v>J546</v>
      </c>
    </row>
    <row r="49" spans="1:8" x14ac:dyDescent="0.35">
      <c r="A49" t="s">
        <v>99</v>
      </c>
      <c r="B49">
        <v>2019</v>
      </c>
      <c r="C49" t="s">
        <v>100</v>
      </c>
      <c r="D49" t="s">
        <v>101</v>
      </c>
      <c r="E49" t="s">
        <v>112</v>
      </c>
      <c r="F49" t="s">
        <v>199</v>
      </c>
      <c r="G49" t="b">
        <f t="shared" si="0"/>
        <v>1</v>
      </c>
      <c r="H49" t="str">
        <f>VLOOKUP(A49,ID_Lookup!$A:$A,1,FALSE)</f>
        <v>J547</v>
      </c>
    </row>
    <row r="50" spans="1:8" hidden="1" x14ac:dyDescent="0.35">
      <c r="A50" t="s">
        <v>102</v>
      </c>
      <c r="B50">
        <v>2019</v>
      </c>
      <c r="C50" t="s">
        <v>158</v>
      </c>
      <c r="D50" t="s">
        <v>159</v>
      </c>
      <c r="E50" t="s">
        <v>112</v>
      </c>
      <c r="F50" t="s">
        <v>199</v>
      </c>
      <c r="G50" t="b">
        <f t="shared" si="0"/>
        <v>1</v>
      </c>
      <c r="H50" t="e">
        <f>VLOOKUP(A50,ID_Lookup!$A:$A,1,FALSE)</f>
        <v>#N/A</v>
      </c>
    </row>
    <row r="51" spans="1:8" x14ac:dyDescent="0.35">
      <c r="A51" t="s">
        <v>103</v>
      </c>
      <c r="B51">
        <v>2019</v>
      </c>
      <c r="C51" t="s">
        <v>104</v>
      </c>
      <c r="D51" t="s">
        <v>105</v>
      </c>
      <c r="E51" t="s">
        <v>112</v>
      </c>
      <c r="F51" t="s">
        <v>199</v>
      </c>
      <c r="G51" t="b">
        <f t="shared" si="0"/>
        <v>1</v>
      </c>
      <c r="H51" t="str">
        <f>VLOOKUP(A51,ID_Lookup!$A:$A,1,FALSE)</f>
        <v>J549</v>
      </c>
    </row>
    <row r="52" spans="1:8" x14ac:dyDescent="0.35">
      <c r="A52" t="s">
        <v>106</v>
      </c>
      <c r="B52">
        <v>2019</v>
      </c>
      <c r="C52" t="s">
        <v>107</v>
      </c>
      <c r="D52" t="s">
        <v>160</v>
      </c>
      <c r="E52" t="s">
        <v>112</v>
      </c>
      <c r="F52" t="s">
        <v>199</v>
      </c>
      <c r="G52" t="b">
        <f t="shared" si="0"/>
        <v>1</v>
      </c>
      <c r="H52" t="str">
        <f>VLOOKUP(A52,ID_Lookup!$A:$A,1,FALSE)</f>
        <v>J550</v>
      </c>
    </row>
    <row r="53" spans="1:8" x14ac:dyDescent="0.35">
      <c r="A53" t="s">
        <v>221</v>
      </c>
      <c r="B53">
        <v>2019</v>
      </c>
      <c r="C53" t="s">
        <v>222</v>
      </c>
      <c r="D53" t="s">
        <v>223</v>
      </c>
      <c r="E53" t="s">
        <v>112</v>
      </c>
      <c r="F53" t="s">
        <v>199</v>
      </c>
      <c r="G53" t="b">
        <f t="shared" si="0"/>
        <v>1</v>
      </c>
      <c r="H53" t="str">
        <f>VLOOKUP(A53,ID_Lookup!$A:$A,1,FALSE)</f>
        <v>J551</v>
      </c>
    </row>
    <row r="54" spans="1:8" x14ac:dyDescent="0.35">
      <c r="A54" t="s">
        <v>224</v>
      </c>
      <c r="B54">
        <v>2019</v>
      </c>
      <c r="C54" t="s">
        <v>225</v>
      </c>
      <c r="D54" t="s">
        <v>226</v>
      </c>
      <c r="E54" t="s">
        <v>112</v>
      </c>
      <c r="F54" t="s">
        <v>199</v>
      </c>
      <c r="G54" t="b">
        <f t="shared" si="0"/>
        <v>1</v>
      </c>
      <c r="H54" t="str">
        <f>VLOOKUP(A54,ID_Lookup!$A:$A,1,FALSE)</f>
        <v>J552</v>
      </c>
    </row>
    <row r="55" spans="1:8" hidden="1" x14ac:dyDescent="0.35">
      <c r="A55" t="s">
        <v>227</v>
      </c>
      <c r="B55">
        <v>2019</v>
      </c>
      <c r="C55" t="s">
        <v>228</v>
      </c>
      <c r="D55" t="s">
        <v>229</v>
      </c>
      <c r="E55" t="s">
        <v>112</v>
      </c>
      <c r="F55" t="s">
        <v>199</v>
      </c>
      <c r="G55" t="b">
        <f t="shared" si="0"/>
        <v>1</v>
      </c>
      <c r="H55" t="e">
        <f>VLOOKUP(A55,ID_Lookup!$A:$A,1,FALSE)</f>
        <v>#N/A</v>
      </c>
    </row>
    <row r="56" spans="1:8" x14ac:dyDescent="0.35">
      <c r="A56" t="s">
        <v>230</v>
      </c>
      <c r="B56">
        <v>2019</v>
      </c>
      <c r="C56" t="s">
        <v>231</v>
      </c>
      <c r="D56" t="s">
        <v>232</v>
      </c>
      <c r="E56" t="s">
        <v>112</v>
      </c>
      <c r="F56" t="s">
        <v>199</v>
      </c>
      <c r="G56" t="b">
        <f t="shared" si="0"/>
        <v>1</v>
      </c>
      <c r="H56" t="str">
        <f>VLOOKUP(A56,ID_Lookup!$A:$A,1,FALSE)</f>
        <v>J554</v>
      </c>
    </row>
    <row r="57" spans="1:8" x14ac:dyDescent="0.35">
      <c r="A57" t="s">
        <v>233</v>
      </c>
      <c r="B57">
        <v>2019</v>
      </c>
      <c r="C57" t="s">
        <v>234</v>
      </c>
      <c r="D57" t="s">
        <v>235</v>
      </c>
      <c r="E57" t="s">
        <v>112</v>
      </c>
      <c r="F57" t="s">
        <v>199</v>
      </c>
      <c r="G57" t="b">
        <f t="shared" si="0"/>
        <v>1</v>
      </c>
      <c r="H57" t="str">
        <f>VLOOKUP(A57,ID_Lookup!$A:$A,1,FALSE)</f>
        <v>J555</v>
      </c>
    </row>
    <row r="58" spans="1:8" x14ac:dyDescent="0.35">
      <c r="A58" t="s">
        <v>236</v>
      </c>
      <c r="B58">
        <v>2019</v>
      </c>
      <c r="C58" t="s">
        <v>237</v>
      </c>
      <c r="D58" t="s">
        <v>238</v>
      </c>
      <c r="E58" t="s">
        <v>112</v>
      </c>
      <c r="F58" t="s">
        <v>199</v>
      </c>
      <c r="G58" t="b">
        <f t="shared" si="0"/>
        <v>1</v>
      </c>
      <c r="H58" t="str">
        <f>VLOOKUP(A58,ID_Lookup!$A:$A,1,FALSE)</f>
        <v>J556</v>
      </c>
    </row>
    <row r="59" spans="1:8" x14ac:dyDescent="0.35">
      <c r="A59" t="s">
        <v>239</v>
      </c>
      <c r="B59">
        <v>2019</v>
      </c>
      <c r="C59" t="s">
        <v>240</v>
      </c>
      <c r="D59" t="s">
        <v>241</v>
      </c>
      <c r="E59" t="s">
        <v>112</v>
      </c>
      <c r="F59" t="s">
        <v>199</v>
      </c>
      <c r="G59" t="b">
        <f t="shared" si="0"/>
        <v>1</v>
      </c>
      <c r="H59" t="str">
        <f>VLOOKUP(A59,ID_Lookup!$A:$A,1,FALSE)</f>
        <v>J557</v>
      </c>
    </row>
    <row r="60" spans="1:8" x14ac:dyDescent="0.35">
      <c r="A60" t="s">
        <v>242</v>
      </c>
      <c r="B60">
        <v>2019</v>
      </c>
      <c r="C60" t="s">
        <v>243</v>
      </c>
      <c r="D60" t="s">
        <v>244</v>
      </c>
      <c r="E60" t="s">
        <v>112</v>
      </c>
      <c r="F60" t="s">
        <v>199</v>
      </c>
      <c r="G60" t="b">
        <f t="shared" si="0"/>
        <v>1</v>
      </c>
      <c r="H60" t="str">
        <f>VLOOKUP(A60,ID_Lookup!$A:$A,1,FALSE)</f>
        <v>J558</v>
      </c>
    </row>
    <row r="61" spans="1:8" x14ac:dyDescent="0.35">
      <c r="A61" t="s">
        <v>245</v>
      </c>
      <c r="B61">
        <v>2019</v>
      </c>
      <c r="C61" t="s">
        <v>246</v>
      </c>
      <c r="D61" t="s">
        <v>247</v>
      </c>
      <c r="E61" t="s">
        <v>112</v>
      </c>
      <c r="F61" t="s">
        <v>199</v>
      </c>
      <c r="G61" t="b">
        <f t="shared" si="0"/>
        <v>1</v>
      </c>
      <c r="H61" t="str">
        <f>VLOOKUP(A61,ID_Lookup!$A:$A,1,FALSE)</f>
        <v>J559</v>
      </c>
    </row>
    <row r="62" spans="1:8" hidden="1" x14ac:dyDescent="0.35">
      <c r="A62" t="s">
        <v>248</v>
      </c>
      <c r="B62">
        <v>2019</v>
      </c>
      <c r="C62" t="s">
        <v>249</v>
      </c>
      <c r="D62" t="s">
        <v>250</v>
      </c>
      <c r="E62" t="s">
        <v>112</v>
      </c>
      <c r="F62" t="s">
        <v>199</v>
      </c>
      <c r="G62" t="b">
        <f t="shared" si="0"/>
        <v>1</v>
      </c>
      <c r="H62" t="e">
        <f>VLOOKUP(A62,ID_Lookup!$A:$A,1,FALSE)</f>
        <v>#N/A</v>
      </c>
    </row>
    <row r="63" spans="1:8" x14ac:dyDescent="0.35">
      <c r="A63" t="s">
        <v>251</v>
      </c>
      <c r="B63">
        <v>2019</v>
      </c>
      <c r="C63" t="s">
        <v>252</v>
      </c>
      <c r="D63" t="s">
        <v>253</v>
      </c>
      <c r="E63" t="s">
        <v>112</v>
      </c>
      <c r="F63" t="s">
        <v>199</v>
      </c>
      <c r="G63" t="b">
        <f t="shared" si="0"/>
        <v>1</v>
      </c>
      <c r="H63" t="str">
        <f>VLOOKUP(A63,ID_Lookup!$A:$A,1,FALSE)</f>
        <v>J561</v>
      </c>
    </row>
    <row r="64" spans="1:8" x14ac:dyDescent="0.35">
      <c r="A64" t="s">
        <v>254</v>
      </c>
      <c r="B64">
        <v>2019</v>
      </c>
      <c r="C64" t="s">
        <v>255</v>
      </c>
      <c r="D64" t="s">
        <v>256</v>
      </c>
      <c r="E64" t="s">
        <v>112</v>
      </c>
      <c r="F64" t="s">
        <v>199</v>
      </c>
      <c r="G64" t="b">
        <f t="shared" si="0"/>
        <v>1</v>
      </c>
      <c r="H64" t="str">
        <f>VLOOKUP(A64,ID_Lookup!$A:$A,1,FALSE)</f>
        <v>J562</v>
      </c>
    </row>
    <row r="65" spans="1:8" x14ac:dyDescent="0.35">
      <c r="A65" t="s">
        <v>257</v>
      </c>
      <c r="B65">
        <v>2019</v>
      </c>
      <c r="C65" t="s">
        <v>258</v>
      </c>
      <c r="D65" t="s">
        <v>259</v>
      </c>
      <c r="E65" t="s">
        <v>173</v>
      </c>
      <c r="F65" t="s">
        <v>192</v>
      </c>
      <c r="G65" t="b">
        <f t="shared" si="0"/>
        <v>0</v>
      </c>
      <c r="H65" t="str">
        <f>VLOOKUP(A65,ID_Lookup!$A:$A,1,FALSE)</f>
        <v>J563</v>
      </c>
    </row>
    <row r="66" spans="1:8" hidden="1" x14ac:dyDescent="0.35">
      <c r="A66" t="s">
        <v>260</v>
      </c>
      <c r="B66">
        <v>2019</v>
      </c>
      <c r="C66" t="s">
        <v>261</v>
      </c>
      <c r="D66" t="s">
        <v>262</v>
      </c>
      <c r="E66" t="s">
        <v>112</v>
      </c>
      <c r="F66" t="s">
        <v>199</v>
      </c>
      <c r="G66" t="b">
        <f t="shared" si="0"/>
        <v>1</v>
      </c>
      <c r="H66" t="e">
        <f>VLOOKUP(A66,ID_Lookup!$A:$A,1,FALSE)</f>
        <v>#N/A</v>
      </c>
    </row>
    <row r="67" spans="1:8" x14ac:dyDescent="0.35">
      <c r="A67" t="s">
        <v>263</v>
      </c>
      <c r="B67">
        <v>2019</v>
      </c>
      <c r="C67" t="s">
        <v>264</v>
      </c>
      <c r="D67" t="s">
        <v>265</v>
      </c>
      <c r="E67" t="s">
        <v>112</v>
      </c>
      <c r="F67" t="s">
        <v>199</v>
      </c>
      <c r="G67" t="b">
        <f t="shared" ref="G67:G130" si="1">IF(E67="Include", TRUE, FALSE)</f>
        <v>1</v>
      </c>
      <c r="H67" t="str">
        <f>VLOOKUP(A67,ID_Lookup!$A:$A,1,FALSE)</f>
        <v>J565</v>
      </c>
    </row>
    <row r="68" spans="1:8" x14ac:dyDescent="0.35">
      <c r="A68" t="s">
        <v>266</v>
      </c>
      <c r="B68">
        <v>2019</v>
      </c>
      <c r="C68" t="s">
        <v>267</v>
      </c>
      <c r="D68" t="s">
        <v>268</v>
      </c>
      <c r="E68" t="s">
        <v>112</v>
      </c>
      <c r="F68" t="s">
        <v>199</v>
      </c>
      <c r="G68" t="b">
        <f t="shared" si="1"/>
        <v>1</v>
      </c>
      <c r="H68" t="str">
        <f>VLOOKUP(A68,ID_Lookup!$A:$A,1,FALSE)</f>
        <v>J566</v>
      </c>
    </row>
    <row r="69" spans="1:8" x14ac:dyDescent="0.35">
      <c r="A69" t="s">
        <v>269</v>
      </c>
      <c r="B69">
        <v>2019</v>
      </c>
      <c r="C69" t="s">
        <v>270</v>
      </c>
      <c r="D69" t="s">
        <v>271</v>
      </c>
      <c r="E69" t="s">
        <v>112</v>
      </c>
      <c r="F69" t="s">
        <v>199</v>
      </c>
      <c r="G69" t="b">
        <f t="shared" si="1"/>
        <v>1</v>
      </c>
      <c r="H69" t="str">
        <f>VLOOKUP(A69,ID_Lookup!$A:$A,1,FALSE)</f>
        <v>J567</v>
      </c>
    </row>
    <row r="70" spans="1:8" hidden="1" x14ac:dyDescent="0.35">
      <c r="A70" t="s">
        <v>272</v>
      </c>
      <c r="B70">
        <v>2019</v>
      </c>
      <c r="C70" t="s">
        <v>273</v>
      </c>
      <c r="D70" t="s">
        <v>274</v>
      </c>
      <c r="E70" t="s">
        <v>112</v>
      </c>
      <c r="F70" t="s">
        <v>664</v>
      </c>
      <c r="G70" t="b">
        <f t="shared" si="1"/>
        <v>1</v>
      </c>
      <c r="H70" t="e">
        <f>VLOOKUP(A70,ID_Lookup!$A:$A,1,FALSE)</f>
        <v>#N/A</v>
      </c>
    </row>
    <row r="71" spans="1:8" ht="409.5" hidden="1" x14ac:dyDescent="0.35">
      <c r="A71" t="s">
        <v>275</v>
      </c>
      <c r="B71">
        <v>2019</v>
      </c>
      <c r="C71" t="s">
        <v>276</v>
      </c>
      <c r="D71" s="1" t="s">
        <v>277</v>
      </c>
      <c r="E71" t="s">
        <v>112</v>
      </c>
      <c r="F71" t="s">
        <v>199</v>
      </c>
      <c r="G71" t="b">
        <f t="shared" si="1"/>
        <v>1</v>
      </c>
      <c r="H71" t="e">
        <f>VLOOKUP(A71,ID_Lookup!$A:$A,1,FALSE)</f>
        <v>#N/A</v>
      </c>
    </row>
    <row r="72" spans="1:8" x14ac:dyDescent="0.35">
      <c r="A72" t="s">
        <v>278</v>
      </c>
      <c r="B72">
        <v>2019</v>
      </c>
      <c r="C72" t="s">
        <v>279</v>
      </c>
      <c r="D72" t="s">
        <v>280</v>
      </c>
      <c r="E72" t="s">
        <v>112</v>
      </c>
      <c r="F72" t="s">
        <v>199</v>
      </c>
      <c r="G72" t="b">
        <f t="shared" si="1"/>
        <v>1</v>
      </c>
      <c r="H72" t="str">
        <f>VLOOKUP(A72,ID_Lookup!$A:$A,1,FALSE)</f>
        <v>J570</v>
      </c>
    </row>
    <row r="73" spans="1:8" ht="409.5" x14ac:dyDescent="0.35">
      <c r="A73" t="s">
        <v>281</v>
      </c>
      <c r="B73">
        <v>2019</v>
      </c>
      <c r="C73" t="s">
        <v>282</v>
      </c>
      <c r="D73" s="1" t="s">
        <v>283</v>
      </c>
      <c r="E73" t="s">
        <v>112</v>
      </c>
      <c r="F73" t="s">
        <v>199</v>
      </c>
      <c r="G73" t="b">
        <f t="shared" si="1"/>
        <v>1</v>
      </c>
      <c r="H73" t="str">
        <f>VLOOKUP(A73,ID_Lookup!$A:$A,1,FALSE)</f>
        <v>J571</v>
      </c>
    </row>
    <row r="74" spans="1:8" hidden="1" x14ac:dyDescent="0.35">
      <c r="A74" t="s">
        <v>284</v>
      </c>
      <c r="B74">
        <v>2019</v>
      </c>
      <c r="C74" t="s">
        <v>285</v>
      </c>
      <c r="D74" t="s">
        <v>286</v>
      </c>
      <c r="E74" t="s">
        <v>112</v>
      </c>
      <c r="F74" t="s">
        <v>199</v>
      </c>
      <c r="G74" t="b">
        <f t="shared" si="1"/>
        <v>1</v>
      </c>
      <c r="H74" t="e">
        <f>VLOOKUP(A74,ID_Lookup!$A:$A,1,FALSE)</f>
        <v>#N/A</v>
      </c>
    </row>
    <row r="75" spans="1:8" x14ac:dyDescent="0.35">
      <c r="A75" t="s">
        <v>287</v>
      </c>
      <c r="B75">
        <v>2019</v>
      </c>
      <c r="C75" t="s">
        <v>288</v>
      </c>
      <c r="D75" t="s">
        <v>289</v>
      </c>
      <c r="E75" t="s">
        <v>173</v>
      </c>
      <c r="F75" t="s">
        <v>192</v>
      </c>
      <c r="G75" t="b">
        <f t="shared" si="1"/>
        <v>0</v>
      </c>
      <c r="H75" t="str">
        <f>VLOOKUP(A75,ID_Lookup!$A:$A,1,FALSE)</f>
        <v>J573</v>
      </c>
    </row>
    <row r="76" spans="1:8" x14ac:dyDescent="0.35">
      <c r="A76" t="s">
        <v>290</v>
      </c>
      <c r="B76">
        <v>2019</v>
      </c>
      <c r="C76" t="s">
        <v>291</v>
      </c>
      <c r="D76" t="s">
        <v>292</v>
      </c>
      <c r="E76" t="s">
        <v>112</v>
      </c>
      <c r="F76" t="s">
        <v>199</v>
      </c>
      <c r="G76" t="b">
        <f t="shared" si="1"/>
        <v>1</v>
      </c>
      <c r="H76" t="str">
        <f>VLOOKUP(A76,ID_Lookup!$A:$A,1,FALSE)</f>
        <v>J574</v>
      </c>
    </row>
    <row r="77" spans="1:8" x14ac:dyDescent="0.35">
      <c r="A77" t="s">
        <v>293</v>
      </c>
      <c r="B77">
        <v>2019</v>
      </c>
      <c r="C77" t="s">
        <v>294</v>
      </c>
      <c r="D77" t="s">
        <v>295</v>
      </c>
      <c r="E77" t="s">
        <v>112</v>
      </c>
      <c r="F77" t="s">
        <v>199</v>
      </c>
      <c r="G77" t="b">
        <f t="shared" si="1"/>
        <v>1</v>
      </c>
      <c r="H77" t="str">
        <f>VLOOKUP(A77,ID_Lookup!$A:$A,1,FALSE)</f>
        <v>J575</v>
      </c>
    </row>
    <row r="78" spans="1:8" x14ac:dyDescent="0.35">
      <c r="A78" t="s">
        <v>296</v>
      </c>
      <c r="B78">
        <v>2019</v>
      </c>
      <c r="C78" t="s">
        <v>297</v>
      </c>
      <c r="D78" t="s">
        <v>298</v>
      </c>
      <c r="E78" t="s">
        <v>173</v>
      </c>
      <c r="F78" t="s">
        <v>192</v>
      </c>
      <c r="G78" t="b">
        <f t="shared" si="1"/>
        <v>0</v>
      </c>
      <c r="H78" t="str">
        <f>VLOOKUP(A78,ID_Lookup!$A:$A,1,FALSE)</f>
        <v>J576</v>
      </c>
    </row>
    <row r="79" spans="1:8" hidden="1" x14ac:dyDescent="0.35">
      <c r="A79" t="s">
        <v>299</v>
      </c>
      <c r="B79">
        <v>2019</v>
      </c>
      <c r="C79" t="s">
        <v>300</v>
      </c>
      <c r="D79" t="s">
        <v>301</v>
      </c>
      <c r="E79" t="s">
        <v>112</v>
      </c>
      <c r="F79" t="s">
        <v>199</v>
      </c>
      <c r="G79" t="b">
        <f t="shared" si="1"/>
        <v>1</v>
      </c>
      <c r="H79" t="e">
        <f>VLOOKUP(A79,ID_Lookup!$A:$A,1,FALSE)</f>
        <v>#N/A</v>
      </c>
    </row>
    <row r="80" spans="1:8" hidden="1" x14ac:dyDescent="0.35">
      <c r="A80" t="s">
        <v>302</v>
      </c>
      <c r="B80">
        <v>2019</v>
      </c>
      <c r="C80" t="s">
        <v>303</v>
      </c>
      <c r="D80" t="s">
        <v>304</v>
      </c>
      <c r="E80" t="s">
        <v>112</v>
      </c>
      <c r="F80" t="s">
        <v>199</v>
      </c>
      <c r="G80" t="b">
        <f t="shared" si="1"/>
        <v>1</v>
      </c>
      <c r="H80" t="e">
        <f>VLOOKUP(A80,ID_Lookup!$A:$A,1,FALSE)</f>
        <v>#N/A</v>
      </c>
    </row>
    <row r="81" spans="1:8" hidden="1" x14ac:dyDescent="0.35">
      <c r="A81" t="s">
        <v>305</v>
      </c>
      <c r="B81">
        <v>2019</v>
      </c>
      <c r="C81" s="8" t="s">
        <v>306</v>
      </c>
      <c r="D81" t="s">
        <v>307</v>
      </c>
      <c r="E81" t="s">
        <v>112</v>
      </c>
      <c r="F81" t="s">
        <v>199</v>
      </c>
      <c r="G81" t="b">
        <f t="shared" si="1"/>
        <v>1</v>
      </c>
      <c r="H81" t="e">
        <f>VLOOKUP(A81,ID_Lookup!$A:$A,1,FALSE)</f>
        <v>#N/A</v>
      </c>
    </row>
    <row r="82" spans="1:8" hidden="1" x14ac:dyDescent="0.35">
      <c r="A82" s="7" t="s">
        <v>308</v>
      </c>
      <c r="B82" s="7">
        <v>2019</v>
      </c>
      <c r="C82" s="7" t="s">
        <v>309</v>
      </c>
      <c r="D82" s="7" t="s">
        <v>310</v>
      </c>
      <c r="E82" s="7" t="s">
        <v>112</v>
      </c>
      <c r="F82" s="7"/>
      <c r="G82" t="b">
        <f t="shared" si="1"/>
        <v>1</v>
      </c>
      <c r="H82" t="e">
        <f>VLOOKUP(A82,ID_Lookup!$A:$A,1,FALSE)</f>
        <v>#N/A</v>
      </c>
    </row>
    <row r="83" spans="1:8" x14ac:dyDescent="0.35">
      <c r="A83" t="s">
        <v>311</v>
      </c>
      <c r="B83">
        <v>2019</v>
      </c>
      <c r="C83" t="s">
        <v>312</v>
      </c>
      <c r="D83" t="s">
        <v>313</v>
      </c>
      <c r="E83" t="s">
        <v>112</v>
      </c>
      <c r="F83" t="s">
        <v>665</v>
      </c>
      <c r="G83" t="b">
        <f t="shared" si="1"/>
        <v>1</v>
      </c>
      <c r="H83" t="str">
        <f>VLOOKUP(A83,ID_Lookup!$A:$A,1,FALSE)</f>
        <v>J581</v>
      </c>
    </row>
    <row r="84" spans="1:8" hidden="1" x14ac:dyDescent="0.35">
      <c r="A84" t="s">
        <v>314</v>
      </c>
      <c r="B84">
        <v>2019</v>
      </c>
      <c r="C84" t="s">
        <v>315</v>
      </c>
      <c r="D84" t="s">
        <v>316</v>
      </c>
      <c r="E84" t="s">
        <v>112</v>
      </c>
      <c r="F84" t="s">
        <v>666</v>
      </c>
      <c r="G84" t="b">
        <f t="shared" si="1"/>
        <v>1</v>
      </c>
      <c r="H84" t="e">
        <f>VLOOKUP(A84,ID_Lookup!$A:$A,1,FALSE)</f>
        <v>#N/A</v>
      </c>
    </row>
    <row r="85" spans="1:8" x14ac:dyDescent="0.35">
      <c r="A85" t="s">
        <v>317</v>
      </c>
      <c r="B85">
        <v>2019</v>
      </c>
      <c r="C85" t="s">
        <v>318</v>
      </c>
      <c r="D85" t="s">
        <v>319</v>
      </c>
      <c r="E85" t="s">
        <v>112</v>
      </c>
      <c r="F85" t="s">
        <v>199</v>
      </c>
      <c r="G85" t="b">
        <f t="shared" si="1"/>
        <v>1</v>
      </c>
      <c r="H85" t="str">
        <f>VLOOKUP(A85,ID_Lookup!$A:$A,1,FALSE)</f>
        <v>J583</v>
      </c>
    </row>
    <row r="86" spans="1:8" hidden="1" x14ac:dyDescent="0.35">
      <c r="A86" t="s">
        <v>320</v>
      </c>
      <c r="B86">
        <v>2019</v>
      </c>
      <c r="C86" t="s">
        <v>321</v>
      </c>
      <c r="D86" t="s">
        <v>322</v>
      </c>
      <c r="E86" t="s">
        <v>112</v>
      </c>
      <c r="F86" t="s">
        <v>199</v>
      </c>
      <c r="G86" t="b">
        <f t="shared" si="1"/>
        <v>1</v>
      </c>
      <c r="H86" t="e">
        <f>VLOOKUP(A86,ID_Lookup!$A:$A,1,FALSE)</f>
        <v>#N/A</v>
      </c>
    </row>
    <row r="87" spans="1:8" hidden="1" x14ac:dyDescent="0.35">
      <c r="A87" t="s">
        <v>323</v>
      </c>
      <c r="B87">
        <v>2019</v>
      </c>
      <c r="C87" t="s">
        <v>324</v>
      </c>
      <c r="D87" t="s">
        <v>325</v>
      </c>
      <c r="E87" t="s">
        <v>112</v>
      </c>
      <c r="F87" t="s">
        <v>199</v>
      </c>
      <c r="G87" t="b">
        <f t="shared" si="1"/>
        <v>1</v>
      </c>
      <c r="H87" t="e">
        <f>VLOOKUP(A87,ID_Lookup!$A:$A,1,FALSE)</f>
        <v>#N/A</v>
      </c>
    </row>
    <row r="88" spans="1:8" x14ac:dyDescent="0.35">
      <c r="A88" t="s">
        <v>326</v>
      </c>
      <c r="B88">
        <v>2019</v>
      </c>
      <c r="C88" t="s">
        <v>327</v>
      </c>
      <c r="D88" t="s">
        <v>328</v>
      </c>
      <c r="E88" t="s">
        <v>112</v>
      </c>
      <c r="F88" t="s">
        <v>199</v>
      </c>
      <c r="G88" t="b">
        <f t="shared" si="1"/>
        <v>1</v>
      </c>
      <c r="H88" t="str">
        <f>VLOOKUP(A88,ID_Lookup!$A:$A,1,FALSE)</f>
        <v>J586</v>
      </c>
    </row>
    <row r="89" spans="1:8" ht="409.5" x14ac:dyDescent="0.35">
      <c r="A89" t="s">
        <v>329</v>
      </c>
      <c r="B89">
        <v>2019</v>
      </c>
      <c r="C89" t="s">
        <v>330</v>
      </c>
      <c r="D89" s="1" t="s">
        <v>331</v>
      </c>
      <c r="E89" t="s">
        <v>112</v>
      </c>
      <c r="F89" t="s">
        <v>199</v>
      </c>
      <c r="G89" t="b">
        <f t="shared" si="1"/>
        <v>1</v>
      </c>
      <c r="H89" t="str">
        <f>VLOOKUP(A89,ID_Lookup!$A:$A,1,FALSE)</f>
        <v>J587</v>
      </c>
    </row>
    <row r="90" spans="1:8" ht="409.5" x14ac:dyDescent="0.35">
      <c r="A90" t="s">
        <v>332</v>
      </c>
      <c r="B90">
        <v>2019</v>
      </c>
      <c r="C90" t="s">
        <v>333</v>
      </c>
      <c r="D90" s="1" t="s">
        <v>334</v>
      </c>
      <c r="E90" t="s">
        <v>112</v>
      </c>
      <c r="F90" t="s">
        <v>199</v>
      </c>
      <c r="G90" t="b">
        <f t="shared" si="1"/>
        <v>1</v>
      </c>
      <c r="H90" t="str">
        <f>VLOOKUP(A90,ID_Lookup!$A:$A,1,FALSE)</f>
        <v>J588</v>
      </c>
    </row>
    <row r="91" spans="1:8" hidden="1" x14ac:dyDescent="0.35">
      <c r="A91" t="s">
        <v>335</v>
      </c>
      <c r="B91">
        <v>2019</v>
      </c>
      <c r="C91" t="s">
        <v>336</v>
      </c>
      <c r="D91" t="s">
        <v>337</v>
      </c>
      <c r="E91" t="s">
        <v>173</v>
      </c>
      <c r="F91" t="s">
        <v>667</v>
      </c>
      <c r="G91" t="b">
        <f t="shared" si="1"/>
        <v>0</v>
      </c>
      <c r="H91" t="e">
        <f>VLOOKUP(A91,ID_Lookup!$A:$A,1,FALSE)</f>
        <v>#N/A</v>
      </c>
    </row>
    <row r="92" spans="1:8" x14ac:dyDescent="0.35">
      <c r="A92" t="s">
        <v>338</v>
      </c>
      <c r="B92">
        <v>2019</v>
      </c>
      <c r="C92" t="s">
        <v>339</v>
      </c>
      <c r="D92" t="s">
        <v>340</v>
      </c>
      <c r="E92" t="s">
        <v>112</v>
      </c>
      <c r="F92" t="s">
        <v>199</v>
      </c>
      <c r="G92" t="b">
        <f t="shared" si="1"/>
        <v>1</v>
      </c>
      <c r="H92" t="str">
        <f>VLOOKUP(A92,ID_Lookup!$A:$A,1,FALSE)</f>
        <v>J590</v>
      </c>
    </row>
    <row r="93" spans="1:8" hidden="1" x14ac:dyDescent="0.35">
      <c r="A93" t="s">
        <v>341</v>
      </c>
      <c r="B93">
        <v>2019</v>
      </c>
      <c r="C93" t="s">
        <v>342</v>
      </c>
      <c r="D93" t="s">
        <v>343</v>
      </c>
      <c r="E93" t="s">
        <v>112</v>
      </c>
      <c r="F93" t="s">
        <v>199</v>
      </c>
      <c r="G93" t="b">
        <f t="shared" si="1"/>
        <v>1</v>
      </c>
      <c r="H93" t="e">
        <f>VLOOKUP(A93,ID_Lookup!$A:$A,1,FALSE)</f>
        <v>#N/A</v>
      </c>
    </row>
    <row r="94" spans="1:8" x14ac:dyDescent="0.35">
      <c r="A94" t="s">
        <v>344</v>
      </c>
      <c r="B94">
        <v>2019</v>
      </c>
      <c r="C94" t="s">
        <v>345</v>
      </c>
      <c r="D94" t="s">
        <v>346</v>
      </c>
      <c r="E94" t="s">
        <v>112</v>
      </c>
      <c r="F94" t="s">
        <v>199</v>
      </c>
      <c r="G94" t="b">
        <f t="shared" si="1"/>
        <v>1</v>
      </c>
      <c r="H94" t="str">
        <f>VLOOKUP(A94,ID_Lookup!$A:$A,1,FALSE)</f>
        <v>J592</v>
      </c>
    </row>
    <row r="95" spans="1:8" x14ac:dyDescent="0.35">
      <c r="A95" t="s">
        <v>347</v>
      </c>
      <c r="B95">
        <v>2019</v>
      </c>
      <c r="C95" t="s">
        <v>348</v>
      </c>
      <c r="D95" t="s">
        <v>349</v>
      </c>
      <c r="E95" t="s">
        <v>112</v>
      </c>
      <c r="F95" t="s">
        <v>199</v>
      </c>
      <c r="G95" t="b">
        <f t="shared" si="1"/>
        <v>1</v>
      </c>
      <c r="H95" t="str">
        <f>VLOOKUP(A95,ID_Lookup!$A:$A,1,FALSE)</f>
        <v>J593</v>
      </c>
    </row>
    <row r="96" spans="1:8" x14ac:dyDescent="0.35">
      <c r="A96" t="s">
        <v>350</v>
      </c>
      <c r="B96">
        <v>2019</v>
      </c>
      <c r="C96" t="s">
        <v>351</v>
      </c>
      <c r="D96" t="s">
        <v>352</v>
      </c>
      <c r="E96" t="s">
        <v>112</v>
      </c>
      <c r="F96" t="s">
        <v>199</v>
      </c>
      <c r="G96" t="b">
        <f t="shared" si="1"/>
        <v>1</v>
      </c>
      <c r="H96" t="str">
        <f>VLOOKUP(A96,ID_Lookup!$A:$A,1,FALSE)</f>
        <v>J594</v>
      </c>
    </row>
    <row r="97" spans="1:8" x14ac:dyDescent="0.35">
      <c r="A97" t="s">
        <v>353</v>
      </c>
      <c r="B97">
        <v>2019</v>
      </c>
      <c r="C97" t="s">
        <v>354</v>
      </c>
      <c r="D97" t="s">
        <v>355</v>
      </c>
      <c r="E97" t="s">
        <v>112</v>
      </c>
      <c r="F97" t="s">
        <v>199</v>
      </c>
      <c r="G97" t="b">
        <f t="shared" si="1"/>
        <v>1</v>
      </c>
      <c r="H97" t="str">
        <f>VLOOKUP(A97,ID_Lookup!$A:$A,1,FALSE)</f>
        <v>J595</v>
      </c>
    </row>
    <row r="98" spans="1:8" hidden="1" x14ac:dyDescent="0.35">
      <c r="A98" t="s">
        <v>356</v>
      </c>
      <c r="B98">
        <v>2019</v>
      </c>
      <c r="C98" t="s">
        <v>357</v>
      </c>
      <c r="D98" t="s">
        <v>358</v>
      </c>
      <c r="E98" t="s">
        <v>173</v>
      </c>
      <c r="F98" t="s">
        <v>192</v>
      </c>
      <c r="G98" t="b">
        <f t="shared" si="1"/>
        <v>0</v>
      </c>
      <c r="H98" t="e">
        <f>VLOOKUP(A98,ID_Lookup!$A:$A,1,FALSE)</f>
        <v>#N/A</v>
      </c>
    </row>
    <row r="99" spans="1:8" hidden="1" x14ac:dyDescent="0.35">
      <c r="A99" t="s">
        <v>359</v>
      </c>
      <c r="B99">
        <v>2019</v>
      </c>
      <c r="C99" t="s">
        <v>360</v>
      </c>
      <c r="D99" t="s">
        <v>361</v>
      </c>
      <c r="E99" t="s">
        <v>112</v>
      </c>
      <c r="F99" t="s">
        <v>199</v>
      </c>
      <c r="G99" t="b">
        <f t="shared" si="1"/>
        <v>1</v>
      </c>
      <c r="H99" t="e">
        <f>VLOOKUP(A99,ID_Lookup!$A:$A,1,FALSE)</f>
        <v>#N/A</v>
      </c>
    </row>
    <row r="100" spans="1:8" x14ac:dyDescent="0.35">
      <c r="A100" t="s">
        <v>362</v>
      </c>
      <c r="B100">
        <v>2019</v>
      </c>
      <c r="C100" t="s">
        <v>363</v>
      </c>
      <c r="D100" t="s">
        <v>364</v>
      </c>
      <c r="E100" t="s">
        <v>112</v>
      </c>
      <c r="F100" t="s">
        <v>199</v>
      </c>
      <c r="G100" t="b">
        <f t="shared" si="1"/>
        <v>1</v>
      </c>
      <c r="H100" t="str">
        <f>VLOOKUP(A100,ID_Lookup!$A:$A,1,FALSE)</f>
        <v>J598</v>
      </c>
    </row>
    <row r="101" spans="1:8" x14ac:dyDescent="0.35">
      <c r="A101" t="s">
        <v>365</v>
      </c>
      <c r="B101">
        <v>2019</v>
      </c>
      <c r="C101" t="s">
        <v>366</v>
      </c>
      <c r="D101" t="s">
        <v>367</v>
      </c>
      <c r="E101" t="s">
        <v>112</v>
      </c>
      <c r="F101" t="s">
        <v>199</v>
      </c>
      <c r="G101" t="b">
        <f t="shared" si="1"/>
        <v>1</v>
      </c>
      <c r="H101" t="str">
        <f>VLOOKUP(A101,ID_Lookup!$A:$A,1,FALSE)</f>
        <v>J599</v>
      </c>
    </row>
    <row r="102" spans="1:8" x14ac:dyDescent="0.35">
      <c r="A102" t="s">
        <v>368</v>
      </c>
      <c r="B102">
        <v>2021</v>
      </c>
      <c r="C102" t="s">
        <v>369</v>
      </c>
      <c r="D102" t="s">
        <v>370</v>
      </c>
      <c r="E102" t="s">
        <v>112</v>
      </c>
      <c r="F102" t="s">
        <v>199</v>
      </c>
      <c r="G102" t="b">
        <f t="shared" si="1"/>
        <v>1</v>
      </c>
      <c r="H102" t="str">
        <f>VLOOKUP(A102,ID_Lookup!$A:$A,1,FALSE)</f>
        <v>J2830</v>
      </c>
    </row>
    <row r="103" spans="1:8" hidden="1" x14ac:dyDescent="0.35">
      <c r="A103" t="s">
        <v>371</v>
      </c>
      <c r="B103">
        <v>2021</v>
      </c>
      <c r="C103" t="s">
        <v>372</v>
      </c>
      <c r="D103" t="s">
        <v>373</v>
      </c>
      <c r="E103" t="s">
        <v>112</v>
      </c>
      <c r="F103" t="s">
        <v>199</v>
      </c>
      <c r="G103" t="b">
        <f t="shared" si="1"/>
        <v>1</v>
      </c>
      <c r="H103" t="e">
        <f>VLOOKUP(A103,ID_Lookup!$A:$A,1,FALSE)</f>
        <v>#N/A</v>
      </c>
    </row>
    <row r="104" spans="1:8" x14ac:dyDescent="0.35">
      <c r="A104" t="s">
        <v>374</v>
      </c>
      <c r="B104">
        <v>2021</v>
      </c>
      <c r="C104" t="s">
        <v>375</v>
      </c>
      <c r="D104" t="s">
        <v>376</v>
      </c>
      <c r="E104" t="s">
        <v>112</v>
      </c>
      <c r="F104" t="s">
        <v>199</v>
      </c>
      <c r="G104" t="b">
        <f t="shared" si="1"/>
        <v>1</v>
      </c>
      <c r="H104" t="str">
        <f>VLOOKUP(A104,ID_Lookup!$A:$A,1,FALSE)</f>
        <v>J2832</v>
      </c>
    </row>
    <row r="105" spans="1:8" x14ac:dyDescent="0.35">
      <c r="A105" t="s">
        <v>377</v>
      </c>
      <c r="B105">
        <v>2021</v>
      </c>
      <c r="C105" t="s">
        <v>378</v>
      </c>
      <c r="D105" t="s">
        <v>379</v>
      </c>
      <c r="E105" t="s">
        <v>112</v>
      </c>
      <c r="F105" t="s">
        <v>199</v>
      </c>
      <c r="G105" t="b">
        <f t="shared" si="1"/>
        <v>1</v>
      </c>
      <c r="H105" t="str">
        <f>VLOOKUP(A105,ID_Lookup!$A:$A,1,FALSE)</f>
        <v>J2833</v>
      </c>
    </row>
    <row r="106" spans="1:8" ht="409.5" x14ac:dyDescent="0.35">
      <c r="A106" t="s">
        <v>380</v>
      </c>
      <c r="B106">
        <v>2021</v>
      </c>
      <c r="C106" t="s">
        <v>381</v>
      </c>
      <c r="D106" s="1" t="s">
        <v>382</v>
      </c>
      <c r="E106" t="s">
        <v>112</v>
      </c>
      <c r="F106" t="s">
        <v>199</v>
      </c>
      <c r="G106" t="b">
        <f t="shared" si="1"/>
        <v>1</v>
      </c>
      <c r="H106" t="str">
        <f>VLOOKUP(A106,ID_Lookup!$A:$A,1,FALSE)</f>
        <v>J2834</v>
      </c>
    </row>
    <row r="107" spans="1:8" x14ac:dyDescent="0.35">
      <c r="A107" t="s">
        <v>383</v>
      </c>
      <c r="B107">
        <v>2021</v>
      </c>
      <c r="C107" t="s">
        <v>384</v>
      </c>
      <c r="D107" t="s">
        <v>385</v>
      </c>
      <c r="E107" t="s">
        <v>112</v>
      </c>
      <c r="F107" t="s">
        <v>199</v>
      </c>
      <c r="G107" t="b">
        <f t="shared" si="1"/>
        <v>1</v>
      </c>
      <c r="H107" t="str">
        <f>VLOOKUP(A107,ID_Lookup!$A:$A,1,FALSE)</f>
        <v>J2835</v>
      </c>
    </row>
    <row r="108" spans="1:8" x14ac:dyDescent="0.35">
      <c r="A108" t="s">
        <v>386</v>
      </c>
      <c r="B108">
        <v>2021</v>
      </c>
      <c r="C108" t="s">
        <v>387</v>
      </c>
      <c r="D108" t="s">
        <v>388</v>
      </c>
      <c r="E108" t="s">
        <v>112</v>
      </c>
      <c r="F108" t="s">
        <v>199</v>
      </c>
      <c r="G108" t="b">
        <f t="shared" si="1"/>
        <v>1</v>
      </c>
      <c r="H108" t="str">
        <f>VLOOKUP(A108,ID_Lookup!$A:$A,1,FALSE)</f>
        <v>J2836</v>
      </c>
    </row>
    <row r="109" spans="1:8" hidden="1" x14ac:dyDescent="0.35">
      <c r="A109" t="s">
        <v>389</v>
      </c>
      <c r="B109">
        <v>2021</v>
      </c>
      <c r="C109" t="s">
        <v>390</v>
      </c>
      <c r="D109" t="s">
        <v>391</v>
      </c>
      <c r="E109" t="s">
        <v>112</v>
      </c>
      <c r="F109" t="s">
        <v>199</v>
      </c>
      <c r="G109" t="b">
        <f t="shared" si="1"/>
        <v>1</v>
      </c>
      <c r="H109" t="e">
        <f>VLOOKUP(A109,ID_Lookup!$A:$A,1,FALSE)</f>
        <v>#N/A</v>
      </c>
    </row>
    <row r="110" spans="1:8" hidden="1" x14ac:dyDescent="0.35">
      <c r="A110" t="s">
        <v>392</v>
      </c>
      <c r="B110">
        <v>2021</v>
      </c>
      <c r="C110" t="s">
        <v>393</v>
      </c>
      <c r="D110" t="s">
        <v>394</v>
      </c>
      <c r="E110" t="s">
        <v>112</v>
      </c>
      <c r="F110" t="s">
        <v>199</v>
      </c>
      <c r="G110" t="b">
        <f t="shared" si="1"/>
        <v>1</v>
      </c>
      <c r="H110" t="e">
        <f>VLOOKUP(A110,ID_Lookup!$A:$A,1,FALSE)</f>
        <v>#N/A</v>
      </c>
    </row>
    <row r="111" spans="1:8" hidden="1" x14ac:dyDescent="0.35">
      <c r="A111" t="s">
        <v>395</v>
      </c>
      <c r="B111">
        <v>2021</v>
      </c>
      <c r="C111" t="s">
        <v>396</v>
      </c>
      <c r="D111" t="s">
        <v>397</v>
      </c>
      <c r="E111" t="s">
        <v>112</v>
      </c>
      <c r="F111" t="s">
        <v>199</v>
      </c>
      <c r="G111" t="b">
        <f t="shared" si="1"/>
        <v>1</v>
      </c>
      <c r="H111" t="e">
        <f>VLOOKUP(A111,ID_Lookup!$A:$A,1,FALSE)</f>
        <v>#N/A</v>
      </c>
    </row>
    <row r="112" spans="1:8" x14ac:dyDescent="0.35">
      <c r="A112" t="s">
        <v>398</v>
      </c>
      <c r="B112">
        <v>2021</v>
      </c>
      <c r="C112" t="s">
        <v>399</v>
      </c>
      <c r="D112" t="s">
        <v>400</v>
      </c>
      <c r="E112" t="s">
        <v>112</v>
      </c>
      <c r="F112" t="s">
        <v>199</v>
      </c>
      <c r="G112" t="b">
        <f t="shared" si="1"/>
        <v>1</v>
      </c>
      <c r="H112" t="str">
        <f>VLOOKUP(A112,ID_Lookup!$A:$A,1,FALSE)</f>
        <v>J2840</v>
      </c>
    </row>
    <row r="113" spans="1:8" x14ac:dyDescent="0.35">
      <c r="A113" t="s">
        <v>401</v>
      </c>
      <c r="B113">
        <v>2021</v>
      </c>
      <c r="C113" t="s">
        <v>402</v>
      </c>
      <c r="D113" t="s">
        <v>403</v>
      </c>
      <c r="E113" t="s">
        <v>112</v>
      </c>
      <c r="F113" t="s">
        <v>199</v>
      </c>
      <c r="G113" t="b">
        <f t="shared" si="1"/>
        <v>1</v>
      </c>
      <c r="H113" t="str">
        <f>VLOOKUP(A113,ID_Lookup!$A:$A,1,FALSE)</f>
        <v>J2841</v>
      </c>
    </row>
    <row r="114" spans="1:8" x14ac:dyDescent="0.35">
      <c r="A114" t="s">
        <v>404</v>
      </c>
      <c r="B114">
        <v>2021</v>
      </c>
      <c r="C114" t="s">
        <v>405</v>
      </c>
      <c r="D114" t="s">
        <v>406</v>
      </c>
      <c r="E114" t="s">
        <v>112</v>
      </c>
      <c r="F114" t="s">
        <v>199</v>
      </c>
      <c r="G114" t="b">
        <f t="shared" si="1"/>
        <v>1</v>
      </c>
      <c r="H114" t="str">
        <f>VLOOKUP(A114,ID_Lookup!$A:$A,1,FALSE)</f>
        <v>J2842</v>
      </c>
    </row>
    <row r="115" spans="1:8" x14ac:dyDescent="0.35">
      <c r="A115" t="s">
        <v>407</v>
      </c>
      <c r="B115">
        <v>2021</v>
      </c>
      <c r="C115" t="s">
        <v>408</v>
      </c>
      <c r="D115" t="s">
        <v>409</v>
      </c>
      <c r="E115" t="s">
        <v>112</v>
      </c>
      <c r="F115" t="s">
        <v>199</v>
      </c>
      <c r="G115" t="b">
        <f t="shared" si="1"/>
        <v>1</v>
      </c>
      <c r="H115" t="str">
        <f>VLOOKUP(A115,ID_Lookup!$A:$A,1,FALSE)</f>
        <v>J2843</v>
      </c>
    </row>
    <row r="116" spans="1:8" x14ac:dyDescent="0.35">
      <c r="A116" t="s">
        <v>410</v>
      </c>
      <c r="B116">
        <v>2021</v>
      </c>
      <c r="C116" t="s">
        <v>411</v>
      </c>
      <c r="D116" t="s">
        <v>412</v>
      </c>
      <c r="E116" t="s">
        <v>112</v>
      </c>
      <c r="F116" t="s">
        <v>199</v>
      </c>
      <c r="G116" t="b">
        <f t="shared" si="1"/>
        <v>1</v>
      </c>
      <c r="H116" t="str">
        <f>VLOOKUP(A116,ID_Lookup!$A:$A,1,FALSE)</f>
        <v>J2844</v>
      </c>
    </row>
    <row r="117" spans="1:8" x14ac:dyDescent="0.35">
      <c r="A117" t="s">
        <v>413</v>
      </c>
      <c r="B117">
        <v>2021</v>
      </c>
      <c r="C117" t="s">
        <v>414</v>
      </c>
      <c r="D117" t="s">
        <v>415</v>
      </c>
      <c r="E117" t="s">
        <v>173</v>
      </c>
      <c r="F117" t="s">
        <v>192</v>
      </c>
      <c r="G117" t="b">
        <f t="shared" si="1"/>
        <v>0</v>
      </c>
      <c r="H117" t="str">
        <f>VLOOKUP(A117,ID_Lookup!$A:$A,1,FALSE)</f>
        <v>J2845</v>
      </c>
    </row>
    <row r="118" spans="1:8" x14ac:dyDescent="0.35">
      <c r="A118" t="s">
        <v>416</v>
      </c>
      <c r="B118">
        <v>2021</v>
      </c>
      <c r="C118" t="s">
        <v>417</v>
      </c>
      <c r="D118" t="s">
        <v>418</v>
      </c>
      <c r="E118" t="s">
        <v>112</v>
      </c>
      <c r="F118" t="s">
        <v>199</v>
      </c>
      <c r="G118" t="b">
        <f t="shared" si="1"/>
        <v>1</v>
      </c>
      <c r="H118" t="str">
        <f>VLOOKUP(A118,ID_Lookup!$A:$A,1,FALSE)</f>
        <v>J2846</v>
      </c>
    </row>
    <row r="119" spans="1:8" x14ac:dyDescent="0.35">
      <c r="A119" t="s">
        <v>419</v>
      </c>
      <c r="B119">
        <v>2021</v>
      </c>
      <c r="C119" t="s">
        <v>420</v>
      </c>
      <c r="D119" t="s">
        <v>421</v>
      </c>
      <c r="E119" t="s">
        <v>112</v>
      </c>
      <c r="F119" t="s">
        <v>199</v>
      </c>
      <c r="G119" t="b">
        <f t="shared" si="1"/>
        <v>1</v>
      </c>
      <c r="H119" t="str">
        <f>VLOOKUP(A119,ID_Lookup!$A:$A,1,FALSE)</f>
        <v>J2847</v>
      </c>
    </row>
    <row r="120" spans="1:8" x14ac:dyDescent="0.35">
      <c r="A120" t="s">
        <v>422</v>
      </c>
      <c r="B120">
        <v>2021</v>
      </c>
      <c r="C120" t="s">
        <v>423</v>
      </c>
      <c r="D120" t="s">
        <v>424</v>
      </c>
      <c r="E120" t="s">
        <v>112</v>
      </c>
      <c r="F120" t="s">
        <v>199</v>
      </c>
      <c r="G120" t="b">
        <f t="shared" si="1"/>
        <v>1</v>
      </c>
      <c r="H120" t="str">
        <f>VLOOKUP(A120,ID_Lookup!$A:$A,1,FALSE)</f>
        <v>J2848</v>
      </c>
    </row>
    <row r="121" spans="1:8" x14ac:dyDescent="0.35">
      <c r="A121" t="s">
        <v>425</v>
      </c>
      <c r="B121">
        <v>2021</v>
      </c>
      <c r="C121" t="s">
        <v>426</v>
      </c>
      <c r="D121" t="s">
        <v>427</v>
      </c>
      <c r="E121" t="s">
        <v>112</v>
      </c>
      <c r="F121" t="s">
        <v>199</v>
      </c>
      <c r="G121" t="b">
        <f t="shared" si="1"/>
        <v>1</v>
      </c>
      <c r="H121" t="str">
        <f>VLOOKUP(A121,ID_Lookup!$A:$A,1,FALSE)</f>
        <v>J2849</v>
      </c>
    </row>
    <row r="122" spans="1:8" ht="409.5" x14ac:dyDescent="0.35">
      <c r="A122" t="s">
        <v>428</v>
      </c>
      <c r="B122">
        <v>2021</v>
      </c>
      <c r="C122" t="s">
        <v>429</v>
      </c>
      <c r="D122" s="1" t="s">
        <v>430</v>
      </c>
      <c r="E122" t="s">
        <v>112</v>
      </c>
      <c r="F122" t="s">
        <v>199</v>
      </c>
      <c r="G122" t="b">
        <f t="shared" si="1"/>
        <v>1</v>
      </c>
      <c r="H122" t="str">
        <f>VLOOKUP(A122,ID_Lookup!$A:$A,1,FALSE)</f>
        <v>J2850</v>
      </c>
    </row>
    <row r="123" spans="1:8" x14ac:dyDescent="0.35">
      <c r="A123" t="s">
        <v>431</v>
      </c>
      <c r="B123">
        <v>2021</v>
      </c>
      <c r="C123" t="s">
        <v>432</v>
      </c>
      <c r="D123" t="s">
        <v>433</v>
      </c>
      <c r="E123" t="s">
        <v>112</v>
      </c>
      <c r="F123" t="s">
        <v>199</v>
      </c>
      <c r="G123" t="b">
        <f t="shared" si="1"/>
        <v>1</v>
      </c>
      <c r="H123" t="str">
        <f>VLOOKUP(A123,ID_Lookup!$A:$A,1,FALSE)</f>
        <v>J2851</v>
      </c>
    </row>
    <row r="124" spans="1:8" x14ac:dyDescent="0.35">
      <c r="A124" s="7" t="s">
        <v>434</v>
      </c>
      <c r="B124" s="7">
        <v>2021</v>
      </c>
      <c r="C124" s="7" t="s">
        <v>435</v>
      </c>
      <c r="D124" s="7" t="s">
        <v>436</v>
      </c>
      <c r="E124" s="7" t="s">
        <v>112</v>
      </c>
      <c r="F124" s="7"/>
      <c r="G124" t="b">
        <f t="shared" si="1"/>
        <v>1</v>
      </c>
      <c r="H124" t="str">
        <f>VLOOKUP(A124,ID_Lookup!$A:$A,1,FALSE)</f>
        <v>J2852</v>
      </c>
    </row>
    <row r="125" spans="1:8" x14ac:dyDescent="0.35">
      <c r="A125" t="s">
        <v>437</v>
      </c>
      <c r="B125">
        <v>2021</v>
      </c>
      <c r="C125" t="s">
        <v>438</v>
      </c>
      <c r="D125" t="s">
        <v>439</v>
      </c>
      <c r="E125" t="s">
        <v>112</v>
      </c>
      <c r="F125" t="s">
        <v>199</v>
      </c>
      <c r="G125" t="b">
        <f t="shared" si="1"/>
        <v>1</v>
      </c>
      <c r="H125" t="str">
        <f>VLOOKUP(A125,ID_Lookup!$A:$A,1,FALSE)</f>
        <v>J2853</v>
      </c>
    </row>
    <row r="126" spans="1:8" x14ac:dyDescent="0.35">
      <c r="A126" t="s">
        <v>440</v>
      </c>
      <c r="B126">
        <v>2021</v>
      </c>
      <c r="C126" t="s">
        <v>441</v>
      </c>
      <c r="D126" t="s">
        <v>442</v>
      </c>
      <c r="E126" t="s">
        <v>112</v>
      </c>
      <c r="F126" t="s">
        <v>199</v>
      </c>
      <c r="G126" t="b">
        <f t="shared" si="1"/>
        <v>1</v>
      </c>
      <c r="H126" t="str">
        <f>VLOOKUP(A126,ID_Lookup!$A:$A,1,FALSE)</f>
        <v>J2854</v>
      </c>
    </row>
    <row r="127" spans="1:8" x14ac:dyDescent="0.35">
      <c r="A127" t="s">
        <v>443</v>
      </c>
      <c r="B127">
        <v>2021</v>
      </c>
      <c r="C127" t="s">
        <v>444</v>
      </c>
      <c r="D127" t="s">
        <v>445</v>
      </c>
      <c r="E127" t="s">
        <v>112</v>
      </c>
      <c r="F127" t="s">
        <v>199</v>
      </c>
      <c r="G127" t="b">
        <f t="shared" si="1"/>
        <v>1</v>
      </c>
      <c r="H127" t="str">
        <f>VLOOKUP(A127,ID_Lookup!$A:$A,1,FALSE)</f>
        <v>J2855</v>
      </c>
    </row>
    <row r="128" spans="1:8" x14ac:dyDescent="0.35">
      <c r="A128" t="s">
        <v>446</v>
      </c>
      <c r="B128">
        <v>2021</v>
      </c>
      <c r="C128" t="s">
        <v>447</v>
      </c>
      <c r="D128" t="s">
        <v>448</v>
      </c>
      <c r="E128" t="s">
        <v>112</v>
      </c>
      <c r="F128" t="s">
        <v>199</v>
      </c>
      <c r="G128" t="b">
        <f t="shared" si="1"/>
        <v>1</v>
      </c>
      <c r="H128" t="str">
        <f>VLOOKUP(A128,ID_Lookup!$A:$A,1,FALSE)</f>
        <v>J2856</v>
      </c>
    </row>
    <row r="129" spans="1:8" x14ac:dyDescent="0.35">
      <c r="A129" t="s">
        <v>449</v>
      </c>
      <c r="B129">
        <v>2021</v>
      </c>
      <c r="C129" t="s">
        <v>450</v>
      </c>
      <c r="D129" t="s">
        <v>451</v>
      </c>
      <c r="E129" t="s">
        <v>112</v>
      </c>
      <c r="F129" t="s">
        <v>199</v>
      </c>
      <c r="G129" t="b">
        <f t="shared" si="1"/>
        <v>1</v>
      </c>
      <c r="H129" t="str">
        <f>VLOOKUP(A129,ID_Lookup!$A:$A,1,FALSE)</f>
        <v>J2857</v>
      </c>
    </row>
    <row r="130" spans="1:8" x14ac:dyDescent="0.35">
      <c r="A130" t="s">
        <v>452</v>
      </c>
      <c r="B130">
        <v>2021</v>
      </c>
      <c r="C130" t="s">
        <v>453</v>
      </c>
      <c r="D130" t="s">
        <v>454</v>
      </c>
      <c r="E130" t="s">
        <v>112</v>
      </c>
      <c r="F130" t="s">
        <v>199</v>
      </c>
      <c r="G130" t="b">
        <f t="shared" si="1"/>
        <v>1</v>
      </c>
      <c r="H130" t="str">
        <f>VLOOKUP(A130,ID_Lookup!$A:$A,1,FALSE)</f>
        <v>J2858</v>
      </c>
    </row>
    <row r="131" spans="1:8" hidden="1" x14ac:dyDescent="0.35">
      <c r="A131" t="s">
        <v>455</v>
      </c>
      <c r="B131">
        <v>2021</v>
      </c>
      <c r="C131" t="s">
        <v>456</v>
      </c>
      <c r="D131" t="s">
        <v>457</v>
      </c>
      <c r="E131" t="s">
        <v>112</v>
      </c>
      <c r="F131" t="s">
        <v>199</v>
      </c>
      <c r="G131" t="b">
        <f t="shared" ref="G131:G194" si="2">IF(E131="Include", TRUE, FALSE)</f>
        <v>1</v>
      </c>
      <c r="H131" t="e">
        <f>VLOOKUP(A131,ID_Lookup!$A:$A,1,FALSE)</f>
        <v>#N/A</v>
      </c>
    </row>
    <row r="132" spans="1:8" hidden="1" x14ac:dyDescent="0.35">
      <c r="A132" t="s">
        <v>458</v>
      </c>
      <c r="B132">
        <v>2021</v>
      </c>
      <c r="C132" t="s">
        <v>459</v>
      </c>
      <c r="D132" t="s">
        <v>460</v>
      </c>
      <c r="E132" t="s">
        <v>112</v>
      </c>
      <c r="F132" t="s">
        <v>199</v>
      </c>
      <c r="G132" t="b">
        <f t="shared" si="2"/>
        <v>1</v>
      </c>
      <c r="H132" t="e">
        <f>VLOOKUP(A132,ID_Lookup!$A:$A,1,FALSE)</f>
        <v>#N/A</v>
      </c>
    </row>
    <row r="133" spans="1:8" x14ac:dyDescent="0.35">
      <c r="A133" t="s">
        <v>461</v>
      </c>
      <c r="B133">
        <v>2021</v>
      </c>
      <c r="C133" t="s">
        <v>462</v>
      </c>
      <c r="D133" t="s">
        <v>463</v>
      </c>
      <c r="E133" t="s">
        <v>112</v>
      </c>
      <c r="F133" t="s">
        <v>199</v>
      </c>
      <c r="G133" t="b">
        <f t="shared" si="2"/>
        <v>1</v>
      </c>
      <c r="H133" t="str">
        <f>VLOOKUP(A133,ID_Lookup!$A:$A,1,FALSE)</f>
        <v>J2861</v>
      </c>
    </row>
    <row r="134" spans="1:8" x14ac:dyDescent="0.35">
      <c r="A134" t="s">
        <v>464</v>
      </c>
      <c r="B134">
        <v>2021</v>
      </c>
      <c r="C134" t="s">
        <v>465</v>
      </c>
      <c r="D134" t="s">
        <v>466</v>
      </c>
      <c r="E134" t="s">
        <v>112</v>
      </c>
      <c r="F134" t="s">
        <v>199</v>
      </c>
      <c r="G134" t="b">
        <f t="shared" si="2"/>
        <v>1</v>
      </c>
      <c r="H134" t="str">
        <f>VLOOKUP(A134,ID_Lookup!$A:$A,1,FALSE)</f>
        <v>J2862</v>
      </c>
    </row>
    <row r="135" spans="1:8" ht="409.5" x14ac:dyDescent="0.35">
      <c r="A135" t="s">
        <v>467</v>
      </c>
      <c r="B135">
        <v>2021</v>
      </c>
      <c r="C135" t="s">
        <v>468</v>
      </c>
      <c r="D135" s="1" t="s">
        <v>469</v>
      </c>
      <c r="E135" t="s">
        <v>112</v>
      </c>
      <c r="F135" t="s">
        <v>199</v>
      </c>
      <c r="G135" t="b">
        <f t="shared" si="2"/>
        <v>1</v>
      </c>
      <c r="H135" t="str">
        <f>VLOOKUP(A135,ID_Lookup!$A:$A,1,FALSE)</f>
        <v>J2863</v>
      </c>
    </row>
    <row r="136" spans="1:8" x14ac:dyDescent="0.35">
      <c r="A136" t="s">
        <v>470</v>
      </c>
      <c r="B136">
        <v>2021</v>
      </c>
      <c r="C136" t="s">
        <v>471</v>
      </c>
      <c r="D136" t="s">
        <v>472</v>
      </c>
      <c r="E136" t="s">
        <v>173</v>
      </c>
      <c r="F136" t="s">
        <v>192</v>
      </c>
      <c r="G136" t="b">
        <f t="shared" si="2"/>
        <v>0</v>
      </c>
      <c r="H136" t="str">
        <f>VLOOKUP(A136,ID_Lookup!$A:$A,1,FALSE)</f>
        <v>J2864</v>
      </c>
    </row>
    <row r="137" spans="1:8" x14ac:dyDescent="0.35">
      <c r="A137" t="s">
        <v>473</v>
      </c>
      <c r="B137">
        <v>2021</v>
      </c>
      <c r="C137" t="s">
        <v>474</v>
      </c>
      <c r="D137" t="s">
        <v>475</v>
      </c>
      <c r="E137" t="s">
        <v>112</v>
      </c>
      <c r="F137" t="s">
        <v>199</v>
      </c>
      <c r="G137" t="b">
        <f t="shared" si="2"/>
        <v>1</v>
      </c>
      <c r="H137" t="str">
        <f>VLOOKUP(A137,ID_Lookup!$A:$A,1,FALSE)</f>
        <v>J2865</v>
      </c>
    </row>
    <row r="138" spans="1:8" x14ac:dyDescent="0.35">
      <c r="A138" t="s">
        <v>476</v>
      </c>
      <c r="B138">
        <v>2021</v>
      </c>
      <c r="C138" t="s">
        <v>477</v>
      </c>
      <c r="D138" t="s">
        <v>478</v>
      </c>
      <c r="E138" t="s">
        <v>173</v>
      </c>
      <c r="F138" t="s">
        <v>192</v>
      </c>
      <c r="G138" t="b">
        <f t="shared" si="2"/>
        <v>0</v>
      </c>
      <c r="H138" t="str">
        <f>VLOOKUP(A138,ID_Lookup!$A:$A,1,FALSE)</f>
        <v>J2866</v>
      </c>
    </row>
    <row r="139" spans="1:8" x14ac:dyDescent="0.35">
      <c r="A139" t="s">
        <v>479</v>
      </c>
      <c r="B139">
        <v>2021</v>
      </c>
      <c r="C139" t="s">
        <v>480</v>
      </c>
      <c r="D139" t="s">
        <v>481</v>
      </c>
      <c r="E139" t="s">
        <v>112</v>
      </c>
      <c r="F139" t="s">
        <v>199</v>
      </c>
      <c r="G139" t="b">
        <f t="shared" si="2"/>
        <v>1</v>
      </c>
      <c r="H139" t="str">
        <f>VLOOKUP(A139,ID_Lookup!$A:$A,1,FALSE)</f>
        <v>J2867</v>
      </c>
    </row>
    <row r="140" spans="1:8" x14ac:dyDescent="0.35">
      <c r="A140" t="s">
        <v>482</v>
      </c>
      <c r="B140">
        <v>2021</v>
      </c>
      <c r="C140" t="s">
        <v>483</v>
      </c>
      <c r="D140" t="s">
        <v>484</v>
      </c>
      <c r="E140" t="s">
        <v>112</v>
      </c>
      <c r="F140" t="s">
        <v>199</v>
      </c>
      <c r="G140" t="b">
        <f t="shared" si="2"/>
        <v>1</v>
      </c>
      <c r="H140" t="str">
        <f>VLOOKUP(A140,ID_Lookup!$A:$A,1,FALSE)</f>
        <v>J2868</v>
      </c>
    </row>
    <row r="141" spans="1:8" x14ac:dyDescent="0.35">
      <c r="A141" t="s">
        <v>485</v>
      </c>
      <c r="B141">
        <v>2021</v>
      </c>
      <c r="C141" t="s">
        <v>486</v>
      </c>
      <c r="D141" t="s">
        <v>487</v>
      </c>
      <c r="E141" t="s">
        <v>112</v>
      </c>
      <c r="F141" t="s">
        <v>199</v>
      </c>
      <c r="G141" t="b">
        <f t="shared" si="2"/>
        <v>1</v>
      </c>
      <c r="H141" t="str">
        <f>VLOOKUP(A141,ID_Lookup!$A:$A,1,FALSE)</f>
        <v>J2869</v>
      </c>
    </row>
    <row r="142" spans="1:8" x14ac:dyDescent="0.35">
      <c r="A142" t="s">
        <v>488</v>
      </c>
      <c r="B142">
        <v>2021</v>
      </c>
      <c r="C142" t="s">
        <v>489</v>
      </c>
      <c r="D142" t="s">
        <v>490</v>
      </c>
      <c r="E142" t="s">
        <v>112</v>
      </c>
      <c r="F142" t="s">
        <v>199</v>
      </c>
      <c r="G142" t="b">
        <f t="shared" si="2"/>
        <v>1</v>
      </c>
      <c r="H142" t="str">
        <f>VLOOKUP(A142,ID_Lookup!$A:$A,1,FALSE)</f>
        <v>J2870</v>
      </c>
    </row>
    <row r="143" spans="1:8" x14ac:dyDescent="0.35">
      <c r="A143" t="s">
        <v>491</v>
      </c>
      <c r="B143">
        <v>2021</v>
      </c>
      <c r="C143" t="s">
        <v>492</v>
      </c>
      <c r="D143" t="s">
        <v>493</v>
      </c>
      <c r="E143" t="s">
        <v>112</v>
      </c>
      <c r="F143" t="s">
        <v>199</v>
      </c>
      <c r="G143" t="b">
        <f t="shared" si="2"/>
        <v>1</v>
      </c>
      <c r="H143" t="str">
        <f>VLOOKUP(A143,ID_Lookup!$A:$A,1,FALSE)</f>
        <v>J2871</v>
      </c>
    </row>
    <row r="144" spans="1:8" x14ac:dyDescent="0.35">
      <c r="A144" t="s">
        <v>494</v>
      </c>
      <c r="B144">
        <v>2021</v>
      </c>
      <c r="C144" t="s">
        <v>495</v>
      </c>
      <c r="D144" t="s">
        <v>496</v>
      </c>
      <c r="E144" t="s">
        <v>173</v>
      </c>
      <c r="F144" t="s">
        <v>192</v>
      </c>
      <c r="G144" t="b">
        <f t="shared" si="2"/>
        <v>0</v>
      </c>
      <c r="H144" t="str">
        <f>VLOOKUP(A144,ID_Lookup!$A:$A,1,FALSE)</f>
        <v>J2872</v>
      </c>
    </row>
    <row r="145" spans="1:8" x14ac:dyDescent="0.35">
      <c r="A145" t="s">
        <v>497</v>
      </c>
      <c r="B145">
        <v>2021</v>
      </c>
      <c r="C145" t="s">
        <v>498</v>
      </c>
      <c r="D145" t="s">
        <v>499</v>
      </c>
      <c r="E145" t="s">
        <v>173</v>
      </c>
      <c r="F145" t="s">
        <v>192</v>
      </c>
      <c r="G145" t="b">
        <f t="shared" si="2"/>
        <v>0</v>
      </c>
      <c r="H145" t="str">
        <f>VLOOKUP(A145,ID_Lookup!$A:$A,1,FALSE)</f>
        <v>J2873</v>
      </c>
    </row>
    <row r="146" spans="1:8" x14ac:dyDescent="0.35">
      <c r="A146" t="s">
        <v>500</v>
      </c>
      <c r="B146">
        <v>2021</v>
      </c>
      <c r="C146" t="s">
        <v>501</v>
      </c>
      <c r="D146" t="s">
        <v>502</v>
      </c>
      <c r="E146" t="s">
        <v>173</v>
      </c>
      <c r="F146" t="s">
        <v>192</v>
      </c>
      <c r="G146" t="b">
        <f t="shared" si="2"/>
        <v>0</v>
      </c>
      <c r="H146" t="str">
        <f>VLOOKUP(A146,ID_Lookup!$A:$A,1,FALSE)</f>
        <v>J2874</v>
      </c>
    </row>
    <row r="147" spans="1:8" hidden="1" x14ac:dyDescent="0.35">
      <c r="A147" t="s">
        <v>503</v>
      </c>
      <c r="B147">
        <v>2021</v>
      </c>
      <c r="C147" t="s">
        <v>504</v>
      </c>
      <c r="D147" t="s">
        <v>505</v>
      </c>
      <c r="E147" t="s">
        <v>112</v>
      </c>
      <c r="F147" t="s">
        <v>199</v>
      </c>
      <c r="G147" t="b">
        <f t="shared" si="2"/>
        <v>1</v>
      </c>
      <c r="H147" t="e">
        <f>VLOOKUP(A147,ID_Lookup!$A:$A,1,FALSE)</f>
        <v>#N/A</v>
      </c>
    </row>
    <row r="148" spans="1:8" x14ac:dyDescent="0.35">
      <c r="A148" t="s">
        <v>506</v>
      </c>
      <c r="B148">
        <v>2021</v>
      </c>
      <c r="C148" t="s">
        <v>507</v>
      </c>
      <c r="D148" t="s">
        <v>508</v>
      </c>
      <c r="E148" t="s">
        <v>112</v>
      </c>
      <c r="F148" t="s">
        <v>199</v>
      </c>
      <c r="G148" t="b">
        <f t="shared" si="2"/>
        <v>1</v>
      </c>
      <c r="H148" t="str">
        <f>VLOOKUP(A148,ID_Lookup!$A:$A,1,FALSE)</f>
        <v>J2876</v>
      </c>
    </row>
    <row r="149" spans="1:8" x14ac:dyDescent="0.35">
      <c r="A149" t="s">
        <v>509</v>
      </c>
      <c r="B149">
        <v>2021</v>
      </c>
      <c r="C149" t="s">
        <v>510</v>
      </c>
      <c r="D149" t="s">
        <v>511</v>
      </c>
      <c r="E149" t="s">
        <v>112</v>
      </c>
      <c r="F149" t="s">
        <v>199</v>
      </c>
      <c r="G149" t="b">
        <f t="shared" si="2"/>
        <v>1</v>
      </c>
      <c r="H149" t="str">
        <f>VLOOKUP(A149,ID_Lookup!$A:$A,1,FALSE)</f>
        <v>J2877</v>
      </c>
    </row>
    <row r="150" spans="1:8" x14ac:dyDescent="0.35">
      <c r="A150" t="s">
        <v>512</v>
      </c>
      <c r="B150">
        <v>2021</v>
      </c>
      <c r="C150" t="s">
        <v>513</v>
      </c>
      <c r="D150" t="s">
        <v>514</v>
      </c>
      <c r="E150" t="s">
        <v>112</v>
      </c>
      <c r="F150" t="s">
        <v>199</v>
      </c>
      <c r="G150" t="b">
        <f t="shared" si="2"/>
        <v>1</v>
      </c>
      <c r="H150" t="str">
        <f>VLOOKUP(A150,ID_Lookup!$A:$A,1,FALSE)</f>
        <v>J2878</v>
      </c>
    </row>
    <row r="151" spans="1:8" x14ac:dyDescent="0.35">
      <c r="A151" t="s">
        <v>515</v>
      </c>
      <c r="B151">
        <v>2021</v>
      </c>
      <c r="C151" t="s">
        <v>516</v>
      </c>
      <c r="D151" t="s">
        <v>517</v>
      </c>
      <c r="E151" t="s">
        <v>112</v>
      </c>
      <c r="F151" t="s">
        <v>199</v>
      </c>
      <c r="G151" t="b">
        <f t="shared" si="2"/>
        <v>1</v>
      </c>
      <c r="H151" t="str">
        <f>VLOOKUP(A151,ID_Lookup!$A:$A,1,FALSE)</f>
        <v>J2879</v>
      </c>
    </row>
    <row r="152" spans="1:8" x14ac:dyDescent="0.35">
      <c r="A152" t="s">
        <v>518</v>
      </c>
      <c r="B152">
        <v>2021</v>
      </c>
      <c r="C152" t="s">
        <v>519</v>
      </c>
      <c r="D152" t="s">
        <v>499</v>
      </c>
      <c r="E152" t="s">
        <v>112</v>
      </c>
      <c r="F152" t="s">
        <v>199</v>
      </c>
      <c r="G152" t="b">
        <f t="shared" si="2"/>
        <v>1</v>
      </c>
      <c r="H152" t="str">
        <f>VLOOKUP(A152,ID_Lookup!$A:$A,1,FALSE)</f>
        <v>J2880</v>
      </c>
    </row>
    <row r="153" spans="1:8" x14ac:dyDescent="0.35">
      <c r="A153" t="s">
        <v>520</v>
      </c>
      <c r="B153">
        <v>2021</v>
      </c>
      <c r="C153" t="s">
        <v>521</v>
      </c>
      <c r="D153" t="s">
        <v>522</v>
      </c>
      <c r="E153" t="s">
        <v>112</v>
      </c>
      <c r="F153" t="s">
        <v>199</v>
      </c>
      <c r="G153" t="b">
        <f t="shared" si="2"/>
        <v>1</v>
      </c>
      <c r="H153" t="str">
        <f>VLOOKUP(A153,ID_Lookup!$A:$A,1,FALSE)</f>
        <v>J2881</v>
      </c>
    </row>
    <row r="154" spans="1:8" x14ac:dyDescent="0.35">
      <c r="A154" t="s">
        <v>523</v>
      </c>
      <c r="B154">
        <v>2021</v>
      </c>
      <c r="C154" t="s">
        <v>524</v>
      </c>
      <c r="D154" t="s">
        <v>525</v>
      </c>
      <c r="E154" t="s">
        <v>112</v>
      </c>
      <c r="F154" t="s">
        <v>199</v>
      </c>
      <c r="G154" t="b">
        <f t="shared" si="2"/>
        <v>1</v>
      </c>
      <c r="H154" t="str">
        <f>VLOOKUP(A154,ID_Lookup!$A:$A,1,FALSE)</f>
        <v>J2882</v>
      </c>
    </row>
    <row r="155" spans="1:8" x14ac:dyDescent="0.35">
      <c r="A155" t="s">
        <v>526</v>
      </c>
      <c r="B155">
        <v>2021</v>
      </c>
      <c r="C155" t="s">
        <v>527</v>
      </c>
      <c r="D155" t="s">
        <v>528</v>
      </c>
      <c r="E155" t="s">
        <v>112</v>
      </c>
      <c r="F155" t="s">
        <v>199</v>
      </c>
      <c r="G155" t="b">
        <f t="shared" si="2"/>
        <v>1</v>
      </c>
      <c r="H155" t="str">
        <f>VLOOKUP(A155,ID_Lookup!$A:$A,1,FALSE)</f>
        <v>J2883</v>
      </c>
    </row>
    <row r="156" spans="1:8" x14ac:dyDescent="0.35">
      <c r="A156" t="s">
        <v>529</v>
      </c>
      <c r="B156">
        <v>2021</v>
      </c>
      <c r="C156" t="s">
        <v>530</v>
      </c>
      <c r="D156" t="s">
        <v>531</v>
      </c>
      <c r="E156" t="s">
        <v>112</v>
      </c>
      <c r="F156" t="s">
        <v>199</v>
      </c>
      <c r="G156" t="b">
        <f t="shared" si="2"/>
        <v>1</v>
      </c>
      <c r="H156" t="str">
        <f>VLOOKUP(A156,ID_Lookup!$A:$A,1,FALSE)</f>
        <v>J2884</v>
      </c>
    </row>
    <row r="157" spans="1:8" x14ac:dyDescent="0.35">
      <c r="A157" t="s">
        <v>532</v>
      </c>
      <c r="B157">
        <v>2021</v>
      </c>
      <c r="C157" t="s">
        <v>533</v>
      </c>
      <c r="D157" t="s">
        <v>534</v>
      </c>
      <c r="E157" t="s">
        <v>112</v>
      </c>
      <c r="F157" t="s">
        <v>668</v>
      </c>
      <c r="G157" t="b">
        <f t="shared" si="2"/>
        <v>1</v>
      </c>
      <c r="H157" t="str">
        <f>VLOOKUP(A157,ID_Lookup!$A:$A,1,FALSE)</f>
        <v>J2885</v>
      </c>
    </row>
    <row r="158" spans="1:8" x14ac:dyDescent="0.35">
      <c r="A158" t="s">
        <v>535</v>
      </c>
      <c r="B158">
        <v>2021</v>
      </c>
      <c r="C158" t="s">
        <v>536</v>
      </c>
      <c r="D158" t="s">
        <v>537</v>
      </c>
      <c r="E158" t="s">
        <v>112</v>
      </c>
      <c r="F158" t="s">
        <v>199</v>
      </c>
      <c r="G158" t="b">
        <f t="shared" si="2"/>
        <v>1</v>
      </c>
      <c r="H158" t="str">
        <f>VLOOKUP(A158,ID_Lookup!$A:$A,1,FALSE)</f>
        <v>J2886</v>
      </c>
    </row>
    <row r="159" spans="1:8" x14ac:dyDescent="0.35">
      <c r="A159" t="s">
        <v>538</v>
      </c>
      <c r="B159">
        <v>2021</v>
      </c>
      <c r="C159" t="s">
        <v>539</v>
      </c>
      <c r="D159" t="s">
        <v>540</v>
      </c>
      <c r="E159" t="s">
        <v>112</v>
      </c>
      <c r="F159" t="s">
        <v>199</v>
      </c>
      <c r="G159" t="b">
        <f t="shared" si="2"/>
        <v>1</v>
      </c>
      <c r="H159" t="str">
        <f>VLOOKUP(A159,ID_Lookup!$A:$A,1,FALSE)</f>
        <v>J2887</v>
      </c>
    </row>
    <row r="160" spans="1:8" x14ac:dyDescent="0.35">
      <c r="A160" t="s">
        <v>541</v>
      </c>
      <c r="B160">
        <v>2021</v>
      </c>
      <c r="C160" t="s">
        <v>542</v>
      </c>
      <c r="D160" t="s">
        <v>543</v>
      </c>
      <c r="E160" t="s">
        <v>112</v>
      </c>
      <c r="F160" t="s">
        <v>199</v>
      </c>
      <c r="G160" t="b">
        <f t="shared" si="2"/>
        <v>1</v>
      </c>
      <c r="H160" t="str">
        <f>VLOOKUP(A160,ID_Lookup!$A:$A,1,FALSE)</f>
        <v>J2888</v>
      </c>
    </row>
    <row r="161" spans="1:8" x14ac:dyDescent="0.35">
      <c r="A161" t="s">
        <v>544</v>
      </c>
      <c r="B161">
        <v>2021</v>
      </c>
      <c r="C161" t="s">
        <v>545</v>
      </c>
      <c r="D161" t="s">
        <v>546</v>
      </c>
      <c r="E161" t="s">
        <v>112</v>
      </c>
      <c r="F161" t="s">
        <v>199</v>
      </c>
      <c r="G161" t="b">
        <f t="shared" si="2"/>
        <v>1</v>
      </c>
      <c r="H161" t="str">
        <f>VLOOKUP(A161,ID_Lookup!$A:$A,1,FALSE)</f>
        <v>J2889</v>
      </c>
    </row>
    <row r="162" spans="1:8" ht="409.5" x14ac:dyDescent="0.35">
      <c r="A162" t="s">
        <v>547</v>
      </c>
      <c r="B162">
        <v>2021</v>
      </c>
      <c r="C162" t="s">
        <v>548</v>
      </c>
      <c r="D162" s="1" t="s">
        <v>549</v>
      </c>
      <c r="E162" t="s">
        <v>112</v>
      </c>
      <c r="F162" t="s">
        <v>199</v>
      </c>
      <c r="G162" t="b">
        <f t="shared" si="2"/>
        <v>1</v>
      </c>
      <c r="H162" t="str">
        <f>VLOOKUP(A162,ID_Lookup!$A:$A,1,FALSE)</f>
        <v>J2890</v>
      </c>
    </row>
    <row r="163" spans="1:8" x14ac:dyDescent="0.35">
      <c r="A163" t="s">
        <v>550</v>
      </c>
      <c r="B163">
        <v>2021</v>
      </c>
      <c r="C163" t="s">
        <v>551</v>
      </c>
      <c r="D163" t="s">
        <v>552</v>
      </c>
      <c r="E163" t="s">
        <v>173</v>
      </c>
      <c r="F163" t="s">
        <v>192</v>
      </c>
      <c r="G163" t="b">
        <f t="shared" si="2"/>
        <v>0</v>
      </c>
      <c r="H163" t="str">
        <f>VLOOKUP(A163,ID_Lookup!$A:$A,1,FALSE)</f>
        <v>J2891</v>
      </c>
    </row>
    <row r="164" spans="1:8" x14ac:dyDescent="0.35">
      <c r="A164" t="s">
        <v>553</v>
      </c>
      <c r="B164">
        <v>2021</v>
      </c>
      <c r="C164" t="s">
        <v>554</v>
      </c>
      <c r="D164" t="s">
        <v>555</v>
      </c>
      <c r="E164" t="s">
        <v>112</v>
      </c>
      <c r="F164" t="s">
        <v>199</v>
      </c>
      <c r="G164" t="b">
        <f t="shared" si="2"/>
        <v>1</v>
      </c>
      <c r="H164" t="str">
        <f>VLOOKUP(A164,ID_Lookup!$A:$A,1,FALSE)</f>
        <v>J2892</v>
      </c>
    </row>
    <row r="165" spans="1:8" x14ac:dyDescent="0.35">
      <c r="A165" t="s">
        <v>556</v>
      </c>
      <c r="B165">
        <v>2021</v>
      </c>
      <c r="C165" t="s">
        <v>557</v>
      </c>
      <c r="D165" t="s">
        <v>558</v>
      </c>
      <c r="E165" t="s">
        <v>112</v>
      </c>
      <c r="F165" t="s">
        <v>199</v>
      </c>
      <c r="G165" t="b">
        <f t="shared" si="2"/>
        <v>1</v>
      </c>
      <c r="H165" t="str">
        <f>VLOOKUP(A165,ID_Lookup!$A:$A,1,FALSE)</f>
        <v>J2893</v>
      </c>
    </row>
    <row r="166" spans="1:8" x14ac:dyDescent="0.35">
      <c r="A166" t="s">
        <v>559</v>
      </c>
      <c r="B166">
        <v>2021</v>
      </c>
      <c r="C166" t="s">
        <v>560</v>
      </c>
      <c r="D166" t="s">
        <v>561</v>
      </c>
      <c r="E166" t="s">
        <v>112</v>
      </c>
      <c r="F166" t="s">
        <v>199</v>
      </c>
      <c r="G166" t="b">
        <f t="shared" si="2"/>
        <v>1</v>
      </c>
      <c r="H166" t="str">
        <f>VLOOKUP(A166,ID_Lookup!$A:$A,1,FALSE)</f>
        <v>J2894</v>
      </c>
    </row>
    <row r="167" spans="1:8" x14ac:dyDescent="0.35">
      <c r="A167" t="s">
        <v>562</v>
      </c>
      <c r="B167">
        <v>2021</v>
      </c>
      <c r="C167" t="s">
        <v>563</v>
      </c>
      <c r="D167" t="s">
        <v>564</v>
      </c>
      <c r="E167" t="s">
        <v>112</v>
      </c>
      <c r="F167" t="s">
        <v>199</v>
      </c>
      <c r="G167" t="b">
        <f t="shared" si="2"/>
        <v>1</v>
      </c>
      <c r="H167" t="str">
        <f>VLOOKUP(A167,ID_Lookup!$A:$A,1,FALSE)</f>
        <v>J2895</v>
      </c>
    </row>
    <row r="168" spans="1:8" x14ac:dyDescent="0.35">
      <c r="A168" t="s">
        <v>565</v>
      </c>
      <c r="B168">
        <v>2021</v>
      </c>
      <c r="C168" t="s">
        <v>566</v>
      </c>
      <c r="D168" t="s">
        <v>567</v>
      </c>
      <c r="E168" t="s">
        <v>112</v>
      </c>
      <c r="F168" t="s">
        <v>669</v>
      </c>
      <c r="G168" t="b">
        <f t="shared" si="2"/>
        <v>1</v>
      </c>
      <c r="H168" t="str">
        <f>VLOOKUP(A168,ID_Lookup!$A:$A,1,FALSE)</f>
        <v>J2896</v>
      </c>
    </row>
    <row r="169" spans="1:8" x14ac:dyDescent="0.35">
      <c r="A169" t="s">
        <v>568</v>
      </c>
      <c r="B169">
        <v>2021</v>
      </c>
      <c r="C169" t="s">
        <v>569</v>
      </c>
      <c r="D169" t="s">
        <v>570</v>
      </c>
      <c r="E169" t="s">
        <v>112</v>
      </c>
      <c r="F169" t="s">
        <v>199</v>
      </c>
      <c r="G169" t="b">
        <f t="shared" si="2"/>
        <v>1</v>
      </c>
      <c r="H169" t="str">
        <f>VLOOKUP(A169,ID_Lookup!$A:$A,1,FALSE)</f>
        <v>J2897</v>
      </c>
    </row>
    <row r="170" spans="1:8" ht="409.5" x14ac:dyDescent="0.35">
      <c r="A170" t="s">
        <v>571</v>
      </c>
      <c r="B170">
        <v>2021</v>
      </c>
      <c r="C170" t="s">
        <v>572</v>
      </c>
      <c r="D170" s="1" t="s">
        <v>573</v>
      </c>
      <c r="E170" t="s">
        <v>112</v>
      </c>
      <c r="F170" t="s">
        <v>199</v>
      </c>
      <c r="G170" t="b">
        <f t="shared" si="2"/>
        <v>1</v>
      </c>
      <c r="H170" t="str">
        <f>VLOOKUP(A170,ID_Lookup!$A:$A,1,FALSE)</f>
        <v>J2898</v>
      </c>
    </row>
    <row r="171" spans="1:8" x14ac:dyDescent="0.35">
      <c r="A171" t="s">
        <v>574</v>
      </c>
      <c r="B171">
        <v>2021</v>
      </c>
      <c r="C171" t="s">
        <v>575</v>
      </c>
      <c r="D171" t="s">
        <v>576</v>
      </c>
      <c r="E171" t="s">
        <v>112</v>
      </c>
      <c r="F171" t="s">
        <v>199</v>
      </c>
      <c r="G171" t="b">
        <f t="shared" si="2"/>
        <v>1</v>
      </c>
      <c r="H171" t="str">
        <f>VLOOKUP(A171,ID_Lookup!$A:$A,1,FALSE)</f>
        <v>J2899</v>
      </c>
    </row>
    <row r="172" spans="1:8" hidden="1" x14ac:dyDescent="0.35">
      <c r="A172" t="s">
        <v>577</v>
      </c>
      <c r="B172">
        <v>2021</v>
      </c>
      <c r="C172" t="s">
        <v>578</v>
      </c>
      <c r="D172" t="s">
        <v>579</v>
      </c>
      <c r="E172" t="s">
        <v>112</v>
      </c>
      <c r="F172" t="s">
        <v>199</v>
      </c>
      <c r="G172" t="b">
        <f t="shared" si="2"/>
        <v>1</v>
      </c>
      <c r="H172" t="e">
        <f>VLOOKUP(A172,ID_Lookup!$A:$A,1,FALSE)</f>
        <v>#N/A</v>
      </c>
    </row>
    <row r="173" spans="1:8" hidden="1" x14ac:dyDescent="0.35">
      <c r="A173" t="s">
        <v>580</v>
      </c>
      <c r="B173">
        <v>2021</v>
      </c>
      <c r="C173" t="s">
        <v>581</v>
      </c>
      <c r="D173" t="s">
        <v>582</v>
      </c>
      <c r="E173" t="s">
        <v>112</v>
      </c>
      <c r="F173" t="s">
        <v>199</v>
      </c>
      <c r="G173" t="b">
        <f t="shared" si="2"/>
        <v>1</v>
      </c>
      <c r="H173" t="e">
        <f>VLOOKUP(A173,ID_Lookup!$A:$A,1,FALSE)</f>
        <v>#N/A</v>
      </c>
    </row>
    <row r="174" spans="1:8" x14ac:dyDescent="0.35">
      <c r="A174" t="s">
        <v>583</v>
      </c>
      <c r="B174">
        <v>2021</v>
      </c>
      <c r="C174" t="s">
        <v>584</v>
      </c>
      <c r="D174" t="s">
        <v>585</v>
      </c>
      <c r="E174" t="s">
        <v>112</v>
      </c>
      <c r="F174" t="s">
        <v>670</v>
      </c>
      <c r="G174" t="b">
        <f t="shared" si="2"/>
        <v>1</v>
      </c>
      <c r="H174" t="str">
        <f>VLOOKUP(A174,ID_Lookup!$A:$A,1,FALSE)</f>
        <v>J2902</v>
      </c>
    </row>
    <row r="175" spans="1:8" hidden="1" x14ac:dyDescent="0.35">
      <c r="A175" t="s">
        <v>586</v>
      </c>
      <c r="B175">
        <v>2021</v>
      </c>
      <c r="C175" t="s">
        <v>587</v>
      </c>
      <c r="D175" t="s">
        <v>499</v>
      </c>
      <c r="E175" t="s">
        <v>112</v>
      </c>
      <c r="F175" t="s">
        <v>199</v>
      </c>
      <c r="G175" t="b">
        <f t="shared" si="2"/>
        <v>1</v>
      </c>
      <c r="H175" t="e">
        <f>VLOOKUP(A175,ID_Lookup!$A:$A,1,FALSE)</f>
        <v>#N/A</v>
      </c>
    </row>
    <row r="176" spans="1:8" x14ac:dyDescent="0.35">
      <c r="A176" t="s">
        <v>588</v>
      </c>
      <c r="B176">
        <v>2021</v>
      </c>
      <c r="C176" t="s">
        <v>589</v>
      </c>
      <c r="D176" t="s">
        <v>590</v>
      </c>
      <c r="E176" t="s">
        <v>112</v>
      </c>
      <c r="F176" t="s">
        <v>199</v>
      </c>
      <c r="G176" t="b">
        <f t="shared" si="2"/>
        <v>1</v>
      </c>
      <c r="H176" t="str">
        <f>VLOOKUP(A176,ID_Lookup!$A:$A,1,FALSE)</f>
        <v>J2904</v>
      </c>
    </row>
    <row r="177" spans="1:8" x14ac:dyDescent="0.35">
      <c r="A177" t="s">
        <v>591</v>
      </c>
      <c r="B177">
        <v>2021</v>
      </c>
      <c r="C177" t="s">
        <v>592</v>
      </c>
      <c r="D177" t="s">
        <v>593</v>
      </c>
      <c r="E177" t="s">
        <v>112</v>
      </c>
      <c r="F177" t="s">
        <v>199</v>
      </c>
      <c r="G177" t="b">
        <f t="shared" si="2"/>
        <v>1</v>
      </c>
      <c r="H177" t="str">
        <f>VLOOKUP(A177,ID_Lookup!$A:$A,1,FALSE)</f>
        <v>J2905</v>
      </c>
    </row>
    <row r="178" spans="1:8" x14ac:dyDescent="0.35">
      <c r="A178" t="s">
        <v>594</v>
      </c>
      <c r="B178">
        <v>2021</v>
      </c>
      <c r="C178" t="s">
        <v>595</v>
      </c>
      <c r="D178" t="s">
        <v>596</v>
      </c>
      <c r="E178" t="s">
        <v>112</v>
      </c>
      <c r="F178" t="s">
        <v>199</v>
      </c>
      <c r="G178" t="b">
        <f t="shared" si="2"/>
        <v>1</v>
      </c>
      <c r="H178" t="str">
        <f>VLOOKUP(A178,ID_Lookup!$A:$A,1,FALSE)</f>
        <v>J2906</v>
      </c>
    </row>
    <row r="179" spans="1:8" x14ac:dyDescent="0.35">
      <c r="A179" t="s">
        <v>597</v>
      </c>
      <c r="B179">
        <v>2021</v>
      </c>
      <c r="C179" t="s">
        <v>598</v>
      </c>
      <c r="D179" t="s">
        <v>599</v>
      </c>
      <c r="E179" t="s">
        <v>112</v>
      </c>
      <c r="F179" t="s">
        <v>199</v>
      </c>
      <c r="G179" t="b">
        <f t="shared" si="2"/>
        <v>1</v>
      </c>
      <c r="H179" t="str">
        <f>VLOOKUP(A179,ID_Lookup!$A:$A,1,FALSE)</f>
        <v>J2907</v>
      </c>
    </row>
    <row r="180" spans="1:8" x14ac:dyDescent="0.35">
      <c r="A180" t="s">
        <v>600</v>
      </c>
      <c r="B180">
        <v>2021</v>
      </c>
      <c r="C180" t="s">
        <v>601</v>
      </c>
      <c r="D180" t="s">
        <v>602</v>
      </c>
      <c r="E180" t="s">
        <v>112</v>
      </c>
      <c r="F180" t="s">
        <v>199</v>
      </c>
      <c r="G180" t="b">
        <f t="shared" si="2"/>
        <v>1</v>
      </c>
      <c r="H180" t="str">
        <f>VLOOKUP(A180,ID_Lookup!$A:$A,1,FALSE)</f>
        <v>J2908</v>
      </c>
    </row>
    <row r="181" spans="1:8" ht="409.5" x14ac:dyDescent="0.35">
      <c r="A181" s="7" t="s">
        <v>603</v>
      </c>
      <c r="B181" s="7">
        <v>2021</v>
      </c>
      <c r="C181" s="7" t="s">
        <v>601</v>
      </c>
      <c r="D181" s="9" t="s">
        <v>604</v>
      </c>
      <c r="E181" s="7" t="s">
        <v>112</v>
      </c>
      <c r="F181" s="7"/>
      <c r="G181" t="b">
        <f t="shared" si="2"/>
        <v>1</v>
      </c>
      <c r="H181" t="str">
        <f>VLOOKUP(A181,ID_Lookup!$A:$A,1,FALSE)</f>
        <v>J2909</v>
      </c>
    </row>
    <row r="182" spans="1:8" x14ac:dyDescent="0.35">
      <c r="A182" t="s">
        <v>605</v>
      </c>
      <c r="B182">
        <v>2021</v>
      </c>
      <c r="C182" t="s">
        <v>606</v>
      </c>
      <c r="D182" t="s">
        <v>607</v>
      </c>
      <c r="E182" t="s">
        <v>112</v>
      </c>
      <c r="F182" t="s">
        <v>199</v>
      </c>
      <c r="G182" t="b">
        <f t="shared" si="2"/>
        <v>1</v>
      </c>
      <c r="H182" t="str">
        <f>VLOOKUP(A182,ID_Lookup!$A:$A,1,FALSE)</f>
        <v>J2910</v>
      </c>
    </row>
    <row r="183" spans="1:8" ht="409.5" x14ac:dyDescent="0.35">
      <c r="A183" t="s">
        <v>608</v>
      </c>
      <c r="B183">
        <v>2025</v>
      </c>
      <c r="C183" t="s">
        <v>609</v>
      </c>
      <c r="D183" s="1" t="s">
        <v>610</v>
      </c>
      <c r="E183" t="s">
        <v>112</v>
      </c>
      <c r="F183" t="s">
        <v>199</v>
      </c>
      <c r="G183" t="b">
        <f t="shared" si="2"/>
        <v>1</v>
      </c>
      <c r="H183" t="str">
        <f>VLOOKUP(A183,ID_Lookup!$A:$A,1,FALSE)</f>
        <v>J6200</v>
      </c>
    </row>
    <row r="184" spans="1:8" x14ac:dyDescent="0.35">
      <c r="A184" s="7" t="s">
        <v>611</v>
      </c>
      <c r="B184" s="7">
        <v>2025</v>
      </c>
      <c r="C184" s="7" t="s">
        <v>609</v>
      </c>
      <c r="D184" s="7" t="s">
        <v>612</v>
      </c>
      <c r="E184" s="7" t="s">
        <v>112</v>
      </c>
      <c r="F184" s="7"/>
      <c r="G184" t="b">
        <f t="shared" si="2"/>
        <v>1</v>
      </c>
      <c r="H184" t="str">
        <f>VLOOKUP(A184,ID_Lookup!$A:$A,1,FALSE)</f>
        <v>J6201</v>
      </c>
    </row>
    <row r="185" spans="1:8" x14ac:dyDescent="0.35">
      <c r="A185" t="s">
        <v>613</v>
      </c>
      <c r="B185">
        <v>2025</v>
      </c>
      <c r="C185" t="s">
        <v>614</v>
      </c>
      <c r="D185" t="s">
        <v>615</v>
      </c>
      <c r="E185" t="s">
        <v>112</v>
      </c>
      <c r="F185" t="s">
        <v>199</v>
      </c>
      <c r="G185" t="b">
        <f t="shared" si="2"/>
        <v>1</v>
      </c>
      <c r="H185" t="str">
        <f>VLOOKUP(A185,ID_Lookup!$A:$A,1,FALSE)</f>
        <v>J6202</v>
      </c>
    </row>
    <row r="186" spans="1:8" hidden="1" x14ac:dyDescent="0.35">
      <c r="A186" t="s">
        <v>616</v>
      </c>
      <c r="B186">
        <v>2025</v>
      </c>
      <c r="C186" t="s">
        <v>617</v>
      </c>
      <c r="D186" t="s">
        <v>618</v>
      </c>
      <c r="E186" t="s">
        <v>112</v>
      </c>
      <c r="F186" t="s">
        <v>199</v>
      </c>
      <c r="G186" t="b">
        <f t="shared" si="2"/>
        <v>1</v>
      </c>
      <c r="H186" t="e">
        <f>VLOOKUP(A186,ID_Lookup!$A:$A,1,FALSE)</f>
        <v>#N/A</v>
      </c>
    </row>
    <row r="187" spans="1:8" x14ac:dyDescent="0.35">
      <c r="A187" t="s">
        <v>619</v>
      </c>
      <c r="B187">
        <v>2025</v>
      </c>
      <c r="C187" t="s">
        <v>620</v>
      </c>
      <c r="D187" t="s">
        <v>621</v>
      </c>
      <c r="E187" t="s">
        <v>112</v>
      </c>
      <c r="F187" t="s">
        <v>199</v>
      </c>
      <c r="G187" t="b">
        <f t="shared" si="2"/>
        <v>1</v>
      </c>
      <c r="H187" t="str">
        <f>VLOOKUP(A187,ID_Lookup!$A:$A,1,FALSE)</f>
        <v>J6204</v>
      </c>
    </row>
    <row r="188" spans="1:8" x14ac:dyDescent="0.35">
      <c r="A188" t="s">
        <v>622</v>
      </c>
      <c r="B188">
        <v>2025</v>
      </c>
      <c r="C188" t="s">
        <v>623</v>
      </c>
      <c r="D188" t="s">
        <v>624</v>
      </c>
      <c r="E188" t="s">
        <v>112</v>
      </c>
      <c r="F188" t="s">
        <v>199</v>
      </c>
      <c r="G188" t="b">
        <f t="shared" si="2"/>
        <v>1</v>
      </c>
      <c r="H188" t="str">
        <f>VLOOKUP(A188,ID_Lookup!$A:$A,1,FALSE)</f>
        <v>J6205</v>
      </c>
    </row>
    <row r="189" spans="1:8" x14ac:dyDescent="0.35">
      <c r="A189" t="s">
        <v>625</v>
      </c>
      <c r="B189">
        <v>2025</v>
      </c>
      <c r="C189" t="s">
        <v>626</v>
      </c>
      <c r="D189" t="s">
        <v>627</v>
      </c>
      <c r="E189" t="s">
        <v>112</v>
      </c>
      <c r="F189" t="s">
        <v>199</v>
      </c>
      <c r="G189" t="b">
        <f t="shared" si="2"/>
        <v>1</v>
      </c>
      <c r="H189" t="str">
        <f>VLOOKUP(A189,ID_Lookup!$A:$A,1,FALSE)</f>
        <v>J6206</v>
      </c>
    </row>
    <row r="190" spans="1:8" x14ac:dyDescent="0.35">
      <c r="A190" t="s">
        <v>628</v>
      </c>
      <c r="B190">
        <v>2025</v>
      </c>
      <c r="C190" t="s">
        <v>629</v>
      </c>
      <c r="D190" t="s">
        <v>630</v>
      </c>
      <c r="E190" t="s">
        <v>112</v>
      </c>
      <c r="F190" t="s">
        <v>199</v>
      </c>
      <c r="G190" t="b">
        <f t="shared" si="2"/>
        <v>1</v>
      </c>
      <c r="H190" t="str">
        <f>VLOOKUP(A190,ID_Lookup!$A:$A,1,FALSE)</f>
        <v>J6207</v>
      </c>
    </row>
    <row r="191" spans="1:8" hidden="1" x14ac:dyDescent="0.35">
      <c r="A191" t="s">
        <v>631</v>
      </c>
      <c r="B191">
        <v>2025</v>
      </c>
      <c r="C191" t="s">
        <v>632</v>
      </c>
      <c r="D191" t="s">
        <v>633</v>
      </c>
      <c r="E191" t="s">
        <v>112</v>
      </c>
      <c r="F191" t="s">
        <v>199</v>
      </c>
      <c r="G191" t="b">
        <f t="shared" si="2"/>
        <v>1</v>
      </c>
      <c r="H191" t="e">
        <f>VLOOKUP(A191,ID_Lookup!$A:$A,1,FALSE)</f>
        <v>#N/A</v>
      </c>
    </row>
    <row r="192" spans="1:8" x14ac:dyDescent="0.35">
      <c r="A192" t="s">
        <v>634</v>
      </c>
      <c r="B192">
        <v>2025</v>
      </c>
      <c r="C192" t="s">
        <v>635</v>
      </c>
      <c r="D192" t="s">
        <v>636</v>
      </c>
      <c r="E192" t="s">
        <v>112</v>
      </c>
      <c r="F192" t="s">
        <v>199</v>
      </c>
      <c r="G192" t="b">
        <f t="shared" si="2"/>
        <v>1</v>
      </c>
      <c r="H192" t="str">
        <f>VLOOKUP(A192,ID_Lookup!$A:$A,1,FALSE)</f>
        <v>J6209</v>
      </c>
    </row>
    <row r="193" spans="1:8" x14ac:dyDescent="0.35">
      <c r="A193" t="s">
        <v>637</v>
      </c>
      <c r="B193">
        <v>2025</v>
      </c>
      <c r="C193" t="s">
        <v>638</v>
      </c>
      <c r="D193" t="s">
        <v>639</v>
      </c>
      <c r="E193" t="s">
        <v>112</v>
      </c>
      <c r="F193" t="s">
        <v>199</v>
      </c>
      <c r="G193" t="b">
        <f t="shared" si="2"/>
        <v>1</v>
      </c>
      <c r="H193" t="str">
        <f>VLOOKUP(A193,ID_Lookup!$A:$A,1,FALSE)</f>
        <v>J6210</v>
      </c>
    </row>
    <row r="194" spans="1:8" x14ac:dyDescent="0.35">
      <c r="A194" t="s">
        <v>640</v>
      </c>
      <c r="B194">
        <v>2025</v>
      </c>
      <c r="C194" t="s">
        <v>641</v>
      </c>
      <c r="D194" t="s">
        <v>642</v>
      </c>
      <c r="E194" t="s">
        <v>112</v>
      </c>
      <c r="F194" t="s">
        <v>199</v>
      </c>
      <c r="G194" t="b">
        <f t="shared" si="2"/>
        <v>1</v>
      </c>
      <c r="H194" t="str">
        <f>VLOOKUP(A194,ID_Lookup!$A:$A,1,FALSE)</f>
        <v>J6211</v>
      </c>
    </row>
    <row r="195" spans="1:8" x14ac:dyDescent="0.35">
      <c r="A195" t="s">
        <v>643</v>
      </c>
      <c r="B195">
        <v>2025</v>
      </c>
      <c r="C195" t="s">
        <v>644</v>
      </c>
      <c r="D195" t="s">
        <v>645</v>
      </c>
      <c r="E195" t="s">
        <v>112</v>
      </c>
      <c r="F195" t="s">
        <v>199</v>
      </c>
      <c r="G195" t="b">
        <f t="shared" ref="G195:G258" si="3">IF(E195="Include", TRUE, FALSE)</f>
        <v>1</v>
      </c>
      <c r="H195" t="str">
        <f>VLOOKUP(A195,ID_Lookup!$A:$A,1,FALSE)</f>
        <v>J6212</v>
      </c>
    </row>
    <row r="196" spans="1:8" x14ac:dyDescent="0.35">
      <c r="A196" t="s">
        <v>646</v>
      </c>
      <c r="B196">
        <v>2025</v>
      </c>
      <c r="C196" t="s">
        <v>647</v>
      </c>
      <c r="D196" t="s">
        <v>648</v>
      </c>
      <c r="E196" t="s">
        <v>112</v>
      </c>
      <c r="F196" t="s">
        <v>199</v>
      </c>
      <c r="G196" t="b">
        <f t="shared" si="3"/>
        <v>1</v>
      </c>
      <c r="H196" t="str">
        <f>VLOOKUP(A196,ID_Lookup!$A:$A,1,FALSE)</f>
        <v>J6213</v>
      </c>
    </row>
    <row r="197" spans="1:8" hidden="1" x14ac:dyDescent="0.35">
      <c r="A197" t="s">
        <v>649</v>
      </c>
      <c r="B197">
        <v>2025</v>
      </c>
      <c r="C197" t="s">
        <v>650</v>
      </c>
      <c r="D197" t="s">
        <v>651</v>
      </c>
      <c r="E197" t="s">
        <v>112</v>
      </c>
      <c r="F197" t="s">
        <v>199</v>
      </c>
      <c r="G197" t="b">
        <f t="shared" si="3"/>
        <v>1</v>
      </c>
      <c r="H197" t="e">
        <f>VLOOKUP(A197,ID_Lookup!$A:$A,1,FALSE)</f>
        <v>#N/A</v>
      </c>
    </row>
    <row r="198" spans="1:8" ht="409.5" hidden="1" x14ac:dyDescent="0.35">
      <c r="A198" s="7" t="s">
        <v>652</v>
      </c>
      <c r="B198" s="7">
        <v>2025</v>
      </c>
      <c r="C198" s="7" t="s">
        <v>653</v>
      </c>
      <c r="D198" s="9" t="s">
        <v>654</v>
      </c>
      <c r="E198" s="7" t="s">
        <v>112</v>
      </c>
      <c r="F198" s="7"/>
      <c r="G198" t="b">
        <f t="shared" si="3"/>
        <v>1</v>
      </c>
      <c r="H198" t="e">
        <f>VLOOKUP(A198,ID_Lookup!$A:$A,1,FALSE)</f>
        <v>#N/A</v>
      </c>
    </row>
    <row r="199" spans="1:8" hidden="1" x14ac:dyDescent="0.35">
      <c r="A199" t="s">
        <v>655</v>
      </c>
      <c r="B199">
        <v>2025</v>
      </c>
      <c r="C199" t="s">
        <v>656</v>
      </c>
      <c r="D199" t="s">
        <v>657</v>
      </c>
      <c r="E199" t="s">
        <v>112</v>
      </c>
      <c r="F199" t="s">
        <v>199</v>
      </c>
      <c r="G199" t="b">
        <f t="shared" si="3"/>
        <v>1</v>
      </c>
      <c r="H199" t="e">
        <f>VLOOKUP(A199,ID_Lookup!$A:$A,1,FALSE)</f>
        <v>#N/A</v>
      </c>
    </row>
    <row r="200" spans="1:8" x14ac:dyDescent="0.35">
      <c r="A200" t="s">
        <v>658</v>
      </c>
      <c r="B200">
        <v>2025</v>
      </c>
      <c r="C200" t="s">
        <v>659</v>
      </c>
      <c r="D200" t="s">
        <v>660</v>
      </c>
      <c r="E200" t="s">
        <v>112</v>
      </c>
      <c r="F200" t="s">
        <v>199</v>
      </c>
      <c r="G200" t="b">
        <f t="shared" si="3"/>
        <v>1</v>
      </c>
      <c r="H200" t="str">
        <f>VLOOKUP(A200,ID_Lookup!$A:$A,1,FALSE)</f>
        <v>J6217</v>
      </c>
    </row>
    <row r="201" spans="1:8" x14ac:dyDescent="0.35">
      <c r="A201" t="s">
        <v>661</v>
      </c>
      <c r="B201">
        <v>2025</v>
      </c>
      <c r="C201" t="s">
        <v>662</v>
      </c>
      <c r="D201" t="s">
        <v>663</v>
      </c>
      <c r="E201" t="s">
        <v>112</v>
      </c>
      <c r="F201" t="s">
        <v>199</v>
      </c>
      <c r="G201" t="b">
        <f t="shared" si="3"/>
        <v>1</v>
      </c>
      <c r="H201" t="str">
        <f>VLOOKUP(A201,ID_Lookup!$A:$A,1,FALSE)</f>
        <v>J6218</v>
      </c>
    </row>
    <row r="202" spans="1:8" x14ac:dyDescent="0.35">
      <c r="A202" t="s">
        <v>862</v>
      </c>
      <c r="B202">
        <v>2025</v>
      </c>
      <c r="C202" t="s">
        <v>863</v>
      </c>
      <c r="D202" t="s">
        <v>1266</v>
      </c>
      <c r="E202" t="s">
        <v>173</v>
      </c>
      <c r="F202" t="s">
        <v>192</v>
      </c>
      <c r="G202" t="b">
        <f t="shared" si="3"/>
        <v>0</v>
      </c>
      <c r="H202" t="str">
        <f>VLOOKUP(A202,ID_Lookup!$A:$A,1,FALSE)</f>
        <v>J6219</v>
      </c>
    </row>
    <row r="203" spans="1:8" ht="409.5" x14ac:dyDescent="0.35">
      <c r="A203" t="s">
        <v>865</v>
      </c>
      <c r="B203">
        <v>2025</v>
      </c>
      <c r="C203" t="s">
        <v>866</v>
      </c>
      <c r="D203" s="1" t="s">
        <v>867</v>
      </c>
      <c r="E203" t="s">
        <v>112</v>
      </c>
      <c r="F203" t="s">
        <v>199</v>
      </c>
      <c r="G203" t="b">
        <f t="shared" si="3"/>
        <v>1</v>
      </c>
      <c r="H203" t="str">
        <f>VLOOKUP(A203,ID_Lookup!$A:$A,1,FALSE)</f>
        <v>J6220</v>
      </c>
    </row>
    <row r="204" spans="1:8" x14ac:dyDescent="0.35">
      <c r="A204" s="7" t="s">
        <v>869</v>
      </c>
      <c r="B204" s="7">
        <v>2025</v>
      </c>
      <c r="C204" s="7" t="s">
        <v>866</v>
      </c>
      <c r="D204" s="7" t="s">
        <v>1267</v>
      </c>
      <c r="E204" s="7" t="s">
        <v>112</v>
      </c>
      <c r="F204" s="7"/>
      <c r="G204" t="b">
        <f t="shared" si="3"/>
        <v>1</v>
      </c>
      <c r="H204" t="str">
        <f>VLOOKUP(A204,ID_Lookup!$A:$A,1,FALSE)</f>
        <v>J6221</v>
      </c>
    </row>
    <row r="205" spans="1:8" x14ac:dyDescent="0.35">
      <c r="A205" t="s">
        <v>872</v>
      </c>
      <c r="B205">
        <v>2025</v>
      </c>
      <c r="C205" t="s">
        <v>873</v>
      </c>
      <c r="D205" t="s">
        <v>1268</v>
      </c>
      <c r="E205" t="s">
        <v>112</v>
      </c>
      <c r="F205" t="s">
        <v>199</v>
      </c>
      <c r="G205" t="b">
        <f t="shared" si="3"/>
        <v>1</v>
      </c>
      <c r="H205" t="str">
        <f>VLOOKUP(A205,ID_Lookup!$A:$A,1,FALSE)</f>
        <v>J6222</v>
      </c>
    </row>
    <row r="206" spans="1:8" ht="409.5" x14ac:dyDescent="0.35">
      <c r="A206" t="s">
        <v>875</v>
      </c>
      <c r="B206">
        <v>2025</v>
      </c>
      <c r="C206" t="s">
        <v>876</v>
      </c>
      <c r="D206" s="1" t="s">
        <v>877</v>
      </c>
      <c r="E206" t="s">
        <v>112</v>
      </c>
      <c r="F206" t="s">
        <v>199</v>
      </c>
      <c r="G206" t="b">
        <f t="shared" si="3"/>
        <v>1</v>
      </c>
      <c r="H206" t="str">
        <f>VLOOKUP(A206,ID_Lookup!$A:$A,1,FALSE)</f>
        <v>J6223</v>
      </c>
    </row>
    <row r="207" spans="1:8" x14ac:dyDescent="0.35">
      <c r="A207" t="s">
        <v>879</v>
      </c>
      <c r="B207">
        <v>2025</v>
      </c>
      <c r="C207" t="s">
        <v>880</v>
      </c>
      <c r="D207" t="s">
        <v>1269</v>
      </c>
      <c r="E207" t="s">
        <v>112</v>
      </c>
      <c r="F207" t="s">
        <v>199</v>
      </c>
      <c r="G207" t="b">
        <f t="shared" si="3"/>
        <v>1</v>
      </c>
      <c r="H207" t="str">
        <f>VLOOKUP(A207,ID_Lookup!$A:$A,1,FALSE)</f>
        <v>J6224</v>
      </c>
    </row>
    <row r="208" spans="1:8" x14ac:dyDescent="0.35">
      <c r="A208" t="s">
        <v>883</v>
      </c>
      <c r="B208">
        <v>2025</v>
      </c>
      <c r="C208" t="s">
        <v>884</v>
      </c>
      <c r="D208" t="s">
        <v>1270</v>
      </c>
      <c r="E208" t="s">
        <v>112</v>
      </c>
      <c r="F208" t="s">
        <v>199</v>
      </c>
      <c r="G208" t="b">
        <f t="shared" si="3"/>
        <v>1</v>
      </c>
      <c r="H208" t="str">
        <f>VLOOKUP(A208,ID_Lookup!$A:$A,1,FALSE)</f>
        <v>J6225</v>
      </c>
    </row>
    <row r="209" spans="1:8" x14ac:dyDescent="0.35">
      <c r="A209" t="s">
        <v>887</v>
      </c>
      <c r="B209">
        <v>2025</v>
      </c>
      <c r="C209" t="s">
        <v>888</v>
      </c>
      <c r="D209" t="s">
        <v>1271</v>
      </c>
      <c r="E209" t="s">
        <v>112</v>
      </c>
      <c r="F209" t="s">
        <v>199</v>
      </c>
      <c r="G209" t="b">
        <f t="shared" si="3"/>
        <v>1</v>
      </c>
      <c r="H209" t="str">
        <f>VLOOKUP(A209,ID_Lookup!$A:$A,1,FALSE)</f>
        <v>J6226</v>
      </c>
    </row>
    <row r="210" spans="1:8" hidden="1" x14ac:dyDescent="0.35">
      <c r="A210" t="s">
        <v>1272</v>
      </c>
      <c r="B210">
        <v>2025</v>
      </c>
      <c r="C210" t="s">
        <v>1273</v>
      </c>
      <c r="D210" t="s">
        <v>1274</v>
      </c>
      <c r="E210" t="s">
        <v>112</v>
      </c>
      <c r="F210" t="s">
        <v>199</v>
      </c>
      <c r="G210" t="b">
        <f t="shared" si="3"/>
        <v>1</v>
      </c>
      <c r="H210" t="e">
        <f>VLOOKUP(A210,ID_Lookup!$A:$A,1,FALSE)</f>
        <v>#N/A</v>
      </c>
    </row>
    <row r="211" spans="1:8" x14ac:dyDescent="0.35">
      <c r="A211" t="s">
        <v>891</v>
      </c>
      <c r="B211">
        <v>2025</v>
      </c>
      <c r="C211" t="s">
        <v>892</v>
      </c>
      <c r="D211" t="s">
        <v>1275</v>
      </c>
      <c r="E211" t="s">
        <v>112</v>
      </c>
      <c r="F211" t="s">
        <v>199</v>
      </c>
      <c r="G211" t="b">
        <f t="shared" si="3"/>
        <v>1</v>
      </c>
      <c r="H211" t="str">
        <f>VLOOKUP(A211,ID_Lookup!$A:$A,1,FALSE)</f>
        <v>J6228</v>
      </c>
    </row>
    <row r="212" spans="1:8" ht="409.5" hidden="1" x14ac:dyDescent="0.35">
      <c r="A212" t="s">
        <v>1276</v>
      </c>
      <c r="B212">
        <v>2025</v>
      </c>
      <c r="C212" t="s">
        <v>1277</v>
      </c>
      <c r="D212" s="1" t="s">
        <v>1278</v>
      </c>
      <c r="E212" t="s">
        <v>112</v>
      </c>
      <c r="F212" t="s">
        <v>199</v>
      </c>
      <c r="G212" t="b">
        <f t="shared" si="3"/>
        <v>1</v>
      </c>
      <c r="H212" t="e">
        <f>VLOOKUP(A212,ID_Lookup!$A:$A,1,FALSE)</f>
        <v>#N/A</v>
      </c>
    </row>
    <row r="213" spans="1:8" x14ac:dyDescent="0.35">
      <c r="A213" t="s">
        <v>895</v>
      </c>
      <c r="B213">
        <v>2025</v>
      </c>
      <c r="C213" t="s">
        <v>896</v>
      </c>
      <c r="D213" t="s">
        <v>1279</v>
      </c>
      <c r="E213" t="s">
        <v>112</v>
      </c>
      <c r="F213" t="s">
        <v>199</v>
      </c>
      <c r="G213" t="b">
        <f t="shared" si="3"/>
        <v>1</v>
      </c>
      <c r="H213" t="str">
        <f>VLOOKUP(A213,ID_Lookup!$A:$A,1,FALSE)</f>
        <v>J6230</v>
      </c>
    </row>
    <row r="214" spans="1:8" ht="409.5" hidden="1" x14ac:dyDescent="0.35">
      <c r="A214" t="s">
        <v>1280</v>
      </c>
      <c r="B214">
        <v>2025</v>
      </c>
      <c r="C214" t="s">
        <v>1281</v>
      </c>
      <c r="D214" s="1" t="s">
        <v>1282</v>
      </c>
      <c r="E214" t="s">
        <v>112</v>
      </c>
      <c r="F214" t="s">
        <v>199</v>
      </c>
      <c r="G214" t="b">
        <f t="shared" si="3"/>
        <v>1</v>
      </c>
      <c r="H214" t="e">
        <f>VLOOKUP(A214,ID_Lookup!$A:$A,1,FALSE)</f>
        <v>#N/A</v>
      </c>
    </row>
    <row r="215" spans="1:8" hidden="1" x14ac:dyDescent="0.35">
      <c r="A215" t="s">
        <v>1283</v>
      </c>
      <c r="B215">
        <v>2025</v>
      </c>
      <c r="C215" t="s">
        <v>1284</v>
      </c>
      <c r="D215" t="s">
        <v>1285</v>
      </c>
      <c r="E215" t="s">
        <v>112</v>
      </c>
      <c r="F215" t="s">
        <v>199</v>
      </c>
      <c r="G215" t="b">
        <f t="shared" si="3"/>
        <v>1</v>
      </c>
      <c r="H215" t="e">
        <f>VLOOKUP(A215,ID_Lookup!$A:$A,1,FALSE)</f>
        <v>#N/A</v>
      </c>
    </row>
    <row r="216" spans="1:8" x14ac:dyDescent="0.35">
      <c r="A216" t="s">
        <v>899</v>
      </c>
      <c r="B216">
        <v>2025</v>
      </c>
      <c r="C216" t="s">
        <v>900</v>
      </c>
      <c r="D216" t="s">
        <v>1286</v>
      </c>
      <c r="E216" t="s">
        <v>112</v>
      </c>
      <c r="F216" t="s">
        <v>199</v>
      </c>
      <c r="G216" t="b">
        <f t="shared" si="3"/>
        <v>1</v>
      </c>
      <c r="H216" t="str">
        <f>VLOOKUP(A216,ID_Lookup!$A:$A,1,FALSE)</f>
        <v>J6233</v>
      </c>
    </row>
    <row r="217" spans="1:8" x14ac:dyDescent="0.35">
      <c r="A217" t="s">
        <v>903</v>
      </c>
      <c r="B217">
        <v>2025</v>
      </c>
      <c r="C217" t="s">
        <v>904</v>
      </c>
      <c r="D217" t="s">
        <v>905</v>
      </c>
      <c r="E217" t="s">
        <v>173</v>
      </c>
      <c r="F217" t="s">
        <v>192</v>
      </c>
      <c r="G217" t="b">
        <f t="shared" si="3"/>
        <v>0</v>
      </c>
      <c r="H217" t="str">
        <f>VLOOKUP(A217,ID_Lookup!$A:$A,1,FALSE)</f>
        <v>J6234</v>
      </c>
    </row>
    <row r="218" spans="1:8" x14ac:dyDescent="0.35">
      <c r="A218" t="s">
        <v>906</v>
      </c>
      <c r="B218">
        <v>2025</v>
      </c>
      <c r="C218" t="s">
        <v>907</v>
      </c>
      <c r="D218" t="s">
        <v>1287</v>
      </c>
      <c r="E218" t="s">
        <v>173</v>
      </c>
      <c r="F218" t="s">
        <v>192</v>
      </c>
      <c r="G218" t="b">
        <f t="shared" si="3"/>
        <v>0</v>
      </c>
      <c r="H218" t="str">
        <f>VLOOKUP(A218,ID_Lookup!$A:$A,1,FALSE)</f>
        <v>J6235</v>
      </c>
    </row>
    <row r="219" spans="1:8" x14ac:dyDescent="0.35">
      <c r="A219" t="s">
        <v>909</v>
      </c>
      <c r="B219">
        <v>2025</v>
      </c>
      <c r="C219" t="s">
        <v>910</v>
      </c>
      <c r="D219" t="s">
        <v>911</v>
      </c>
      <c r="E219" t="s">
        <v>173</v>
      </c>
      <c r="F219" t="s">
        <v>199</v>
      </c>
      <c r="G219" t="b">
        <f t="shared" si="3"/>
        <v>0</v>
      </c>
      <c r="H219" t="str">
        <f>VLOOKUP(A219,ID_Lookup!$A:$A,1,FALSE)</f>
        <v>J6236</v>
      </c>
    </row>
    <row r="220" spans="1:8" ht="409.5" x14ac:dyDescent="0.35">
      <c r="A220" t="s">
        <v>913</v>
      </c>
      <c r="B220">
        <v>2025</v>
      </c>
      <c r="C220" t="s">
        <v>914</v>
      </c>
      <c r="D220" s="1" t="s">
        <v>915</v>
      </c>
      <c r="E220" t="s">
        <v>112</v>
      </c>
      <c r="F220" t="s">
        <v>199</v>
      </c>
      <c r="G220" t="b">
        <f t="shared" si="3"/>
        <v>1</v>
      </c>
      <c r="H220" t="str">
        <f>VLOOKUP(A220,ID_Lookup!$A:$A,1,FALSE)</f>
        <v>J6237</v>
      </c>
    </row>
    <row r="221" spans="1:8" ht="409.5" x14ac:dyDescent="0.35">
      <c r="A221" t="s">
        <v>916</v>
      </c>
      <c r="B221">
        <v>2025</v>
      </c>
      <c r="C221" t="s">
        <v>917</v>
      </c>
      <c r="D221" s="1" t="s">
        <v>918</v>
      </c>
      <c r="E221" t="s">
        <v>112</v>
      </c>
      <c r="F221" t="s">
        <v>199</v>
      </c>
      <c r="G221" t="b">
        <f t="shared" si="3"/>
        <v>1</v>
      </c>
      <c r="H221" t="str">
        <f>VLOOKUP(A221,ID_Lookup!$A:$A,1,FALSE)</f>
        <v>J6238</v>
      </c>
    </row>
    <row r="222" spans="1:8" x14ac:dyDescent="0.35">
      <c r="A222" t="s">
        <v>920</v>
      </c>
      <c r="B222">
        <v>2025</v>
      </c>
      <c r="C222" t="s">
        <v>921</v>
      </c>
      <c r="D222" t="s">
        <v>1288</v>
      </c>
      <c r="E222" t="s">
        <v>112</v>
      </c>
      <c r="F222" t="s">
        <v>199</v>
      </c>
      <c r="G222" t="b">
        <f t="shared" si="3"/>
        <v>1</v>
      </c>
      <c r="H222" t="str">
        <f>VLOOKUP(A222,ID_Lookup!$A:$A,1,FALSE)</f>
        <v>J6239</v>
      </c>
    </row>
    <row r="223" spans="1:8" x14ac:dyDescent="0.35">
      <c r="A223" t="s">
        <v>924</v>
      </c>
      <c r="B223">
        <v>2025</v>
      </c>
      <c r="C223" t="s">
        <v>925</v>
      </c>
      <c r="D223" t="s">
        <v>1289</v>
      </c>
      <c r="E223" t="s">
        <v>112</v>
      </c>
      <c r="F223" t="s">
        <v>199</v>
      </c>
      <c r="G223" t="b">
        <f t="shared" si="3"/>
        <v>1</v>
      </c>
      <c r="H223" t="str">
        <f>VLOOKUP(A223,ID_Lookup!$A:$A,1,FALSE)</f>
        <v>J6240</v>
      </c>
    </row>
    <row r="224" spans="1:8" x14ac:dyDescent="0.35">
      <c r="A224" t="s">
        <v>927</v>
      </c>
      <c r="B224">
        <v>2025</v>
      </c>
      <c r="C224" t="s">
        <v>1290</v>
      </c>
      <c r="D224" t="s">
        <v>1291</v>
      </c>
      <c r="E224" t="s">
        <v>112</v>
      </c>
      <c r="F224" t="s">
        <v>199</v>
      </c>
      <c r="G224" t="b">
        <f t="shared" si="3"/>
        <v>1</v>
      </c>
      <c r="H224" t="str">
        <f>VLOOKUP(A224,ID_Lookup!$A:$A,1,FALSE)</f>
        <v>J6241</v>
      </c>
    </row>
    <row r="225" spans="1:8" x14ac:dyDescent="0.35">
      <c r="A225" t="s">
        <v>930</v>
      </c>
      <c r="B225">
        <v>2025</v>
      </c>
      <c r="C225" t="s">
        <v>931</v>
      </c>
      <c r="D225" t="s">
        <v>1292</v>
      </c>
      <c r="E225" t="s">
        <v>112</v>
      </c>
      <c r="F225" t="s">
        <v>199</v>
      </c>
      <c r="G225" t="b">
        <f t="shared" si="3"/>
        <v>1</v>
      </c>
      <c r="H225" t="str">
        <f>VLOOKUP(A225,ID_Lookup!$A:$A,1,FALSE)</f>
        <v>J6242</v>
      </c>
    </row>
    <row r="226" spans="1:8" x14ac:dyDescent="0.35">
      <c r="A226" t="s">
        <v>934</v>
      </c>
      <c r="B226">
        <v>2025</v>
      </c>
      <c r="C226" t="s">
        <v>935</v>
      </c>
      <c r="D226" t="s">
        <v>1293</v>
      </c>
      <c r="E226" t="s">
        <v>112</v>
      </c>
      <c r="F226" t="s">
        <v>199</v>
      </c>
      <c r="G226" t="b">
        <f t="shared" si="3"/>
        <v>1</v>
      </c>
      <c r="H226" t="str">
        <f>VLOOKUP(A226,ID_Lookup!$A:$A,1,FALSE)</f>
        <v>J6243</v>
      </c>
    </row>
    <row r="227" spans="1:8" x14ac:dyDescent="0.35">
      <c r="A227" t="s">
        <v>937</v>
      </c>
      <c r="B227">
        <v>2025</v>
      </c>
      <c r="C227" t="s">
        <v>938</v>
      </c>
      <c r="D227" t="s">
        <v>1294</v>
      </c>
      <c r="E227" t="s">
        <v>112</v>
      </c>
      <c r="F227" t="s">
        <v>199</v>
      </c>
      <c r="G227" t="b">
        <f t="shared" si="3"/>
        <v>1</v>
      </c>
      <c r="H227" t="str">
        <f>VLOOKUP(A227,ID_Lookup!$A:$A,1,FALSE)</f>
        <v>J6244</v>
      </c>
    </row>
    <row r="228" spans="1:8" x14ac:dyDescent="0.35">
      <c r="A228" t="s">
        <v>941</v>
      </c>
      <c r="B228">
        <v>2025</v>
      </c>
      <c r="C228" t="s">
        <v>942</v>
      </c>
      <c r="D228" t="s">
        <v>1295</v>
      </c>
      <c r="E228" t="s">
        <v>112</v>
      </c>
      <c r="F228" t="s">
        <v>199</v>
      </c>
      <c r="G228" t="b">
        <f t="shared" si="3"/>
        <v>1</v>
      </c>
      <c r="H228" t="str">
        <f>VLOOKUP(A228,ID_Lookup!$A:$A,1,FALSE)</f>
        <v>J6245</v>
      </c>
    </row>
    <row r="229" spans="1:8" x14ac:dyDescent="0.35">
      <c r="A229" t="s">
        <v>944</v>
      </c>
      <c r="B229">
        <v>2025</v>
      </c>
      <c r="C229" t="s">
        <v>1296</v>
      </c>
      <c r="D229" t="s">
        <v>1297</v>
      </c>
      <c r="E229" t="s">
        <v>112</v>
      </c>
      <c r="F229" t="s">
        <v>199</v>
      </c>
      <c r="G229" t="b">
        <f t="shared" si="3"/>
        <v>1</v>
      </c>
      <c r="H229" t="str">
        <f>VLOOKUP(A229,ID_Lookup!$A:$A,1,FALSE)</f>
        <v>J6246</v>
      </c>
    </row>
    <row r="230" spans="1:8" x14ac:dyDescent="0.35">
      <c r="A230" t="s">
        <v>948</v>
      </c>
      <c r="B230">
        <v>2025</v>
      </c>
      <c r="C230" t="s">
        <v>949</v>
      </c>
      <c r="D230" t="s">
        <v>499</v>
      </c>
      <c r="E230" t="s">
        <v>112</v>
      </c>
      <c r="F230" t="s">
        <v>199</v>
      </c>
      <c r="G230" t="b">
        <f t="shared" si="3"/>
        <v>1</v>
      </c>
      <c r="H230" t="str">
        <f>VLOOKUP(A230,ID_Lookup!$A:$A,1,FALSE)</f>
        <v>J6247</v>
      </c>
    </row>
    <row r="231" spans="1:8" x14ac:dyDescent="0.35">
      <c r="A231" t="s">
        <v>950</v>
      </c>
      <c r="B231">
        <v>2025</v>
      </c>
      <c r="C231" t="s">
        <v>951</v>
      </c>
      <c r="D231" t="s">
        <v>1298</v>
      </c>
      <c r="E231" t="s">
        <v>112</v>
      </c>
      <c r="F231" t="s">
        <v>199</v>
      </c>
      <c r="G231" t="b">
        <f t="shared" si="3"/>
        <v>1</v>
      </c>
      <c r="H231" t="str">
        <f>VLOOKUP(A231,ID_Lookup!$A:$A,1,FALSE)</f>
        <v>J6248</v>
      </c>
    </row>
    <row r="232" spans="1:8" x14ac:dyDescent="0.35">
      <c r="A232" t="s">
        <v>953</v>
      </c>
      <c r="B232">
        <v>2025</v>
      </c>
      <c r="C232" t="s">
        <v>954</v>
      </c>
      <c r="D232" t="s">
        <v>1299</v>
      </c>
      <c r="E232" t="s">
        <v>112</v>
      </c>
      <c r="F232" t="s">
        <v>199</v>
      </c>
      <c r="G232" t="b">
        <f t="shared" si="3"/>
        <v>1</v>
      </c>
      <c r="H232" t="str">
        <f>VLOOKUP(A232,ID_Lookup!$A:$A,1,FALSE)</f>
        <v>J6249</v>
      </c>
    </row>
    <row r="233" spans="1:8" hidden="1" x14ac:dyDescent="0.35">
      <c r="A233" t="s">
        <v>1300</v>
      </c>
      <c r="B233">
        <v>2025</v>
      </c>
      <c r="C233" t="s">
        <v>1301</v>
      </c>
      <c r="D233" t="s">
        <v>1302</v>
      </c>
      <c r="E233" t="s">
        <v>112</v>
      </c>
      <c r="F233" t="s">
        <v>199</v>
      </c>
      <c r="G233" t="b">
        <f t="shared" si="3"/>
        <v>1</v>
      </c>
      <c r="H233" t="e">
        <f>VLOOKUP(A233,ID_Lookup!$A:$A,1,FALSE)</f>
        <v>#N/A</v>
      </c>
    </row>
    <row r="234" spans="1:8" hidden="1" x14ac:dyDescent="0.35">
      <c r="A234" t="s">
        <v>1303</v>
      </c>
      <c r="B234">
        <v>2025</v>
      </c>
      <c r="C234" t="s">
        <v>1304</v>
      </c>
      <c r="D234" t="s">
        <v>1305</v>
      </c>
      <c r="E234" t="s">
        <v>112</v>
      </c>
      <c r="F234" t="s">
        <v>199</v>
      </c>
      <c r="G234" t="b">
        <f t="shared" si="3"/>
        <v>1</v>
      </c>
      <c r="H234" t="e">
        <f>VLOOKUP(A234,ID_Lookup!$A:$A,1,FALSE)</f>
        <v>#N/A</v>
      </c>
    </row>
    <row r="235" spans="1:8" ht="409.5" x14ac:dyDescent="0.35">
      <c r="A235" t="s">
        <v>957</v>
      </c>
      <c r="B235">
        <v>2025</v>
      </c>
      <c r="C235" t="s">
        <v>958</v>
      </c>
      <c r="D235" s="1" t="s">
        <v>959</v>
      </c>
      <c r="E235" t="s">
        <v>173</v>
      </c>
      <c r="F235" t="s">
        <v>192</v>
      </c>
      <c r="G235" t="b">
        <f t="shared" si="3"/>
        <v>0</v>
      </c>
      <c r="H235" t="str">
        <f>VLOOKUP(A235,ID_Lookup!$A:$A,1,FALSE)</f>
        <v>J6252</v>
      </c>
    </row>
    <row r="236" spans="1:8" hidden="1" x14ac:dyDescent="0.35">
      <c r="A236" t="s">
        <v>1306</v>
      </c>
      <c r="B236">
        <v>2025</v>
      </c>
      <c r="C236" t="s">
        <v>1307</v>
      </c>
      <c r="D236" t="s">
        <v>1308</v>
      </c>
      <c r="E236" t="s">
        <v>112</v>
      </c>
      <c r="F236" t="s">
        <v>199</v>
      </c>
      <c r="G236" t="b">
        <f t="shared" si="3"/>
        <v>1</v>
      </c>
      <c r="H236" t="e">
        <f>VLOOKUP(A236,ID_Lookup!$A:$A,1,FALSE)</f>
        <v>#N/A</v>
      </c>
    </row>
    <row r="237" spans="1:8" x14ac:dyDescent="0.35">
      <c r="A237" t="s">
        <v>960</v>
      </c>
      <c r="B237">
        <v>2025</v>
      </c>
      <c r="C237" t="s">
        <v>961</v>
      </c>
      <c r="D237" t="s">
        <v>962</v>
      </c>
      <c r="E237" t="s">
        <v>112</v>
      </c>
      <c r="F237" t="s">
        <v>199</v>
      </c>
      <c r="G237" t="b">
        <f t="shared" si="3"/>
        <v>1</v>
      </c>
      <c r="H237" t="str">
        <f>VLOOKUP(A237,ID_Lookup!$A:$A,1,FALSE)</f>
        <v>J6254</v>
      </c>
    </row>
    <row r="238" spans="1:8" x14ac:dyDescent="0.35">
      <c r="A238" t="s">
        <v>964</v>
      </c>
      <c r="B238">
        <v>2025</v>
      </c>
      <c r="C238" t="s">
        <v>965</v>
      </c>
      <c r="D238" t="s">
        <v>1309</v>
      </c>
      <c r="E238" t="s">
        <v>112</v>
      </c>
      <c r="F238" t="s">
        <v>199</v>
      </c>
      <c r="G238" t="b">
        <f t="shared" si="3"/>
        <v>1</v>
      </c>
      <c r="H238" t="str">
        <f>VLOOKUP(A238,ID_Lookup!$A:$A,1,FALSE)</f>
        <v>J6255</v>
      </c>
    </row>
    <row r="239" spans="1:8" x14ac:dyDescent="0.35">
      <c r="A239" t="s">
        <v>968</v>
      </c>
      <c r="B239">
        <v>2025</v>
      </c>
      <c r="C239" t="s">
        <v>969</v>
      </c>
      <c r="D239" t="s">
        <v>1310</v>
      </c>
      <c r="E239" t="s">
        <v>112</v>
      </c>
      <c r="F239" t="s">
        <v>199</v>
      </c>
      <c r="G239" t="b">
        <f t="shared" si="3"/>
        <v>1</v>
      </c>
      <c r="H239" t="str">
        <f>VLOOKUP(A239,ID_Lookup!$A:$A,1,FALSE)</f>
        <v>J6256</v>
      </c>
    </row>
    <row r="240" spans="1:8" x14ac:dyDescent="0.35">
      <c r="A240" t="s">
        <v>971</v>
      </c>
      <c r="B240">
        <v>2025</v>
      </c>
      <c r="C240" t="s">
        <v>1311</v>
      </c>
      <c r="D240" t="s">
        <v>1312</v>
      </c>
      <c r="E240" t="s">
        <v>112</v>
      </c>
      <c r="F240" t="s">
        <v>199</v>
      </c>
      <c r="G240" t="b">
        <f t="shared" si="3"/>
        <v>1</v>
      </c>
      <c r="H240" t="str">
        <f>VLOOKUP(A240,ID_Lookup!$A:$A,1,FALSE)</f>
        <v>J6257</v>
      </c>
    </row>
    <row r="241" spans="1:8" hidden="1" x14ac:dyDescent="0.35">
      <c r="A241" t="s">
        <v>1313</v>
      </c>
      <c r="B241">
        <v>2025</v>
      </c>
      <c r="C241" t="s">
        <v>1314</v>
      </c>
      <c r="D241" t="s">
        <v>1315</v>
      </c>
      <c r="E241" t="s">
        <v>112</v>
      </c>
      <c r="F241" t="s">
        <v>199</v>
      </c>
      <c r="G241" t="b">
        <f t="shared" si="3"/>
        <v>1</v>
      </c>
      <c r="H241" t="e">
        <f>VLOOKUP(A241,ID_Lookup!$A:$A,1,FALSE)</f>
        <v>#N/A</v>
      </c>
    </row>
    <row r="242" spans="1:8" x14ac:dyDescent="0.35">
      <c r="A242" t="s">
        <v>974</v>
      </c>
      <c r="B242">
        <v>2025</v>
      </c>
      <c r="C242" t="s">
        <v>975</v>
      </c>
      <c r="D242" t="s">
        <v>1316</v>
      </c>
      <c r="E242" t="s">
        <v>112</v>
      </c>
      <c r="F242" t="s">
        <v>199</v>
      </c>
      <c r="G242" t="b">
        <f t="shared" si="3"/>
        <v>1</v>
      </c>
      <c r="H242" t="str">
        <f>VLOOKUP(A242,ID_Lookup!$A:$A,1,FALSE)</f>
        <v>J6259</v>
      </c>
    </row>
    <row r="243" spans="1:8" x14ac:dyDescent="0.35">
      <c r="A243" t="s">
        <v>978</v>
      </c>
      <c r="B243">
        <v>2025</v>
      </c>
      <c r="C243" t="s">
        <v>979</v>
      </c>
      <c r="D243" t="s">
        <v>1317</v>
      </c>
      <c r="E243" t="s">
        <v>112</v>
      </c>
      <c r="F243" t="s">
        <v>199</v>
      </c>
      <c r="G243" t="b">
        <f t="shared" si="3"/>
        <v>1</v>
      </c>
      <c r="H243" t="str">
        <f>VLOOKUP(A243,ID_Lookup!$A:$A,1,FALSE)</f>
        <v>J6260</v>
      </c>
    </row>
    <row r="244" spans="1:8" x14ac:dyDescent="0.35">
      <c r="A244" t="s">
        <v>982</v>
      </c>
      <c r="B244">
        <v>2025</v>
      </c>
      <c r="C244" t="s">
        <v>983</v>
      </c>
      <c r="D244" t="s">
        <v>1318</v>
      </c>
      <c r="E244" t="s">
        <v>112</v>
      </c>
      <c r="F244" t="s">
        <v>199</v>
      </c>
      <c r="G244" t="b">
        <f t="shared" si="3"/>
        <v>1</v>
      </c>
      <c r="H244" t="str">
        <f>VLOOKUP(A244,ID_Lookup!$A:$A,1,FALSE)</f>
        <v>J6261</v>
      </c>
    </row>
    <row r="245" spans="1:8" x14ac:dyDescent="0.35">
      <c r="A245" t="s">
        <v>985</v>
      </c>
      <c r="B245">
        <v>2025</v>
      </c>
      <c r="C245" t="s">
        <v>986</v>
      </c>
      <c r="D245" t="s">
        <v>1319</v>
      </c>
      <c r="E245" t="s">
        <v>112</v>
      </c>
      <c r="F245" t="s">
        <v>199</v>
      </c>
      <c r="G245" t="b">
        <f t="shared" si="3"/>
        <v>1</v>
      </c>
      <c r="H245" t="str">
        <f>VLOOKUP(A245,ID_Lookup!$A:$A,1,FALSE)</f>
        <v>J6262</v>
      </c>
    </row>
    <row r="246" spans="1:8" x14ac:dyDescent="0.35">
      <c r="A246" t="s">
        <v>988</v>
      </c>
      <c r="B246">
        <v>2025</v>
      </c>
      <c r="C246" t="s">
        <v>989</v>
      </c>
      <c r="D246" t="s">
        <v>1320</v>
      </c>
      <c r="E246" t="s">
        <v>112</v>
      </c>
      <c r="F246" t="s">
        <v>199</v>
      </c>
      <c r="G246" t="b">
        <f t="shared" si="3"/>
        <v>1</v>
      </c>
      <c r="H246" t="str">
        <f>VLOOKUP(A246,ID_Lookup!$A:$A,1,FALSE)</f>
        <v>J6263</v>
      </c>
    </row>
    <row r="247" spans="1:8" x14ac:dyDescent="0.35">
      <c r="A247" t="s">
        <v>992</v>
      </c>
      <c r="B247">
        <v>2025</v>
      </c>
      <c r="C247" t="s">
        <v>993</v>
      </c>
      <c r="D247" t="s">
        <v>1321</v>
      </c>
      <c r="E247" t="s">
        <v>112</v>
      </c>
      <c r="F247" t="s">
        <v>199</v>
      </c>
      <c r="G247" t="b">
        <f t="shared" si="3"/>
        <v>1</v>
      </c>
      <c r="H247" t="str">
        <f>VLOOKUP(A247,ID_Lookup!$A:$A,1,FALSE)</f>
        <v>J6264</v>
      </c>
    </row>
    <row r="248" spans="1:8" x14ac:dyDescent="0.35">
      <c r="A248" t="s">
        <v>995</v>
      </c>
      <c r="B248">
        <v>2025</v>
      </c>
      <c r="C248" t="s">
        <v>996</v>
      </c>
      <c r="D248" t="s">
        <v>997</v>
      </c>
      <c r="E248" t="s">
        <v>112</v>
      </c>
      <c r="F248" t="s">
        <v>199</v>
      </c>
      <c r="G248" t="b">
        <f t="shared" si="3"/>
        <v>1</v>
      </c>
      <c r="H248" t="str">
        <f>VLOOKUP(A248,ID_Lookup!$A:$A,1,FALSE)</f>
        <v>J6265</v>
      </c>
    </row>
    <row r="249" spans="1:8" hidden="1" x14ac:dyDescent="0.35">
      <c r="A249" t="s">
        <v>1322</v>
      </c>
      <c r="B249">
        <v>2025</v>
      </c>
      <c r="C249" t="s">
        <v>1323</v>
      </c>
      <c r="D249" t="s">
        <v>1324</v>
      </c>
      <c r="E249" t="s">
        <v>112</v>
      </c>
      <c r="F249" t="s">
        <v>199</v>
      </c>
      <c r="G249" t="b">
        <f t="shared" si="3"/>
        <v>1</v>
      </c>
      <c r="H249" t="e">
        <f>VLOOKUP(A249,ID_Lookup!$A:$A,1,FALSE)</f>
        <v>#N/A</v>
      </c>
    </row>
    <row r="250" spans="1:8" x14ac:dyDescent="0.35">
      <c r="A250" t="s">
        <v>998</v>
      </c>
      <c r="B250">
        <v>2025</v>
      </c>
      <c r="C250" t="s">
        <v>999</v>
      </c>
      <c r="D250" t="s">
        <v>1000</v>
      </c>
      <c r="E250" t="s">
        <v>112</v>
      </c>
      <c r="F250" t="s">
        <v>199</v>
      </c>
      <c r="G250" t="b">
        <f t="shared" si="3"/>
        <v>1</v>
      </c>
      <c r="H250" t="str">
        <f>VLOOKUP(A250,ID_Lookup!$A:$A,1,FALSE)</f>
        <v>J6267</v>
      </c>
    </row>
    <row r="251" spans="1:8" x14ac:dyDescent="0.35">
      <c r="A251" t="s">
        <v>1002</v>
      </c>
      <c r="B251">
        <v>2025</v>
      </c>
      <c r="C251" t="s">
        <v>1003</v>
      </c>
      <c r="D251" t="s">
        <v>1325</v>
      </c>
      <c r="E251" t="s">
        <v>112</v>
      </c>
      <c r="F251" t="s">
        <v>199</v>
      </c>
      <c r="G251" t="b">
        <f t="shared" si="3"/>
        <v>1</v>
      </c>
      <c r="H251" t="str">
        <f>VLOOKUP(A251,ID_Lookup!$A:$A,1,FALSE)</f>
        <v>J6268</v>
      </c>
    </row>
    <row r="252" spans="1:8" ht="409.5" hidden="1" x14ac:dyDescent="0.35">
      <c r="A252" t="s">
        <v>1326</v>
      </c>
      <c r="B252">
        <v>2025</v>
      </c>
      <c r="C252" t="s">
        <v>1327</v>
      </c>
      <c r="D252" s="1" t="s">
        <v>1328</v>
      </c>
      <c r="E252" t="s">
        <v>112</v>
      </c>
      <c r="F252" t="s">
        <v>199</v>
      </c>
      <c r="G252" t="b">
        <f t="shared" si="3"/>
        <v>1</v>
      </c>
      <c r="H252" t="e">
        <f>VLOOKUP(A252,ID_Lookup!$A:$A,1,FALSE)</f>
        <v>#N/A</v>
      </c>
    </row>
    <row r="253" spans="1:8" hidden="1" x14ac:dyDescent="0.35">
      <c r="A253" t="s">
        <v>1329</v>
      </c>
      <c r="B253">
        <v>2025</v>
      </c>
      <c r="C253" t="s">
        <v>1330</v>
      </c>
      <c r="D253" t="s">
        <v>1331</v>
      </c>
      <c r="E253" t="s">
        <v>112</v>
      </c>
      <c r="F253" t="s">
        <v>199</v>
      </c>
      <c r="G253" t="b">
        <f t="shared" si="3"/>
        <v>1</v>
      </c>
      <c r="H253" t="e">
        <f>VLOOKUP(A253,ID_Lookup!$A:$A,1,FALSE)</f>
        <v>#N/A</v>
      </c>
    </row>
    <row r="254" spans="1:8" x14ac:dyDescent="0.35">
      <c r="A254" t="s">
        <v>1006</v>
      </c>
      <c r="B254">
        <v>2025</v>
      </c>
      <c r="C254" t="s">
        <v>1007</v>
      </c>
      <c r="D254" t="s">
        <v>1332</v>
      </c>
      <c r="E254" t="s">
        <v>112</v>
      </c>
      <c r="F254" t="s">
        <v>199</v>
      </c>
      <c r="G254" t="b">
        <f t="shared" si="3"/>
        <v>1</v>
      </c>
      <c r="H254" t="str">
        <f>VLOOKUP(A254,ID_Lookup!$A:$A,1,FALSE)</f>
        <v>J6271</v>
      </c>
    </row>
    <row r="255" spans="1:8" x14ac:dyDescent="0.35">
      <c r="A255" t="s">
        <v>1010</v>
      </c>
      <c r="B255">
        <v>2025</v>
      </c>
      <c r="C255" t="s">
        <v>1333</v>
      </c>
      <c r="D255" t="s">
        <v>1334</v>
      </c>
      <c r="E255" t="s">
        <v>112</v>
      </c>
      <c r="F255" t="s">
        <v>199</v>
      </c>
      <c r="G255" t="b">
        <f t="shared" si="3"/>
        <v>1</v>
      </c>
      <c r="H255" t="str">
        <f>VLOOKUP(A255,ID_Lookup!$A:$A,1,FALSE)</f>
        <v>J6272</v>
      </c>
    </row>
    <row r="256" spans="1:8" x14ac:dyDescent="0.35">
      <c r="A256" t="s">
        <v>1013</v>
      </c>
      <c r="B256">
        <v>2025</v>
      </c>
      <c r="C256" t="s">
        <v>1335</v>
      </c>
      <c r="D256" t="s">
        <v>1336</v>
      </c>
      <c r="E256" t="s">
        <v>112</v>
      </c>
      <c r="F256" t="s">
        <v>199</v>
      </c>
      <c r="G256" t="b">
        <f t="shared" si="3"/>
        <v>1</v>
      </c>
      <c r="H256" t="str">
        <f>VLOOKUP(A256,ID_Lookup!$A:$A,1,FALSE)</f>
        <v>J6273</v>
      </c>
    </row>
    <row r="257" spans="1:8" hidden="1" x14ac:dyDescent="0.35">
      <c r="A257" t="s">
        <v>1337</v>
      </c>
      <c r="B257">
        <v>2025</v>
      </c>
      <c r="C257" t="s">
        <v>1338</v>
      </c>
      <c r="D257" t="s">
        <v>1339</v>
      </c>
      <c r="E257" t="s">
        <v>112</v>
      </c>
      <c r="F257" t="s">
        <v>199</v>
      </c>
      <c r="G257" t="b">
        <f t="shared" si="3"/>
        <v>1</v>
      </c>
      <c r="H257" t="e">
        <f>VLOOKUP(A257,ID_Lookup!$A:$A,1,FALSE)</f>
        <v>#N/A</v>
      </c>
    </row>
    <row r="258" spans="1:8" ht="409.5" x14ac:dyDescent="0.35">
      <c r="A258" t="s">
        <v>1016</v>
      </c>
      <c r="B258">
        <v>2025</v>
      </c>
      <c r="C258" t="s">
        <v>1017</v>
      </c>
      <c r="D258" s="1" t="s">
        <v>1018</v>
      </c>
      <c r="E258" t="s">
        <v>112</v>
      </c>
      <c r="F258" t="s">
        <v>199</v>
      </c>
      <c r="G258" t="b">
        <f t="shared" si="3"/>
        <v>1</v>
      </c>
      <c r="H258" t="str">
        <f>VLOOKUP(A258,ID_Lookup!$A:$A,1,FALSE)</f>
        <v>J6275</v>
      </c>
    </row>
    <row r="259" spans="1:8" x14ac:dyDescent="0.35">
      <c r="A259" t="s">
        <v>1020</v>
      </c>
      <c r="B259">
        <v>2025</v>
      </c>
      <c r="C259" t="s">
        <v>1021</v>
      </c>
      <c r="D259" t="s">
        <v>1340</v>
      </c>
      <c r="E259" t="s">
        <v>112</v>
      </c>
      <c r="F259" t="s">
        <v>199</v>
      </c>
      <c r="G259" t="b">
        <f t="shared" ref="G259:G322" si="4">IF(E259="Include", TRUE, FALSE)</f>
        <v>1</v>
      </c>
      <c r="H259" t="str">
        <f>VLOOKUP(A259,ID_Lookup!$A:$A,1,FALSE)</f>
        <v>J6276</v>
      </c>
    </row>
    <row r="260" spans="1:8" x14ac:dyDescent="0.35">
      <c r="A260" t="s">
        <v>1024</v>
      </c>
      <c r="B260">
        <v>2025</v>
      </c>
      <c r="C260" t="s">
        <v>1025</v>
      </c>
      <c r="D260" t="s">
        <v>1341</v>
      </c>
      <c r="E260" t="s">
        <v>112</v>
      </c>
      <c r="F260" t="s">
        <v>199</v>
      </c>
      <c r="G260" t="b">
        <f t="shared" si="4"/>
        <v>1</v>
      </c>
      <c r="H260" t="str">
        <f>VLOOKUP(A260,ID_Lookup!$A:$A,1,FALSE)</f>
        <v>J6277</v>
      </c>
    </row>
    <row r="261" spans="1:8" x14ac:dyDescent="0.35">
      <c r="A261" t="s">
        <v>1027</v>
      </c>
      <c r="B261">
        <v>2025</v>
      </c>
      <c r="C261" t="s">
        <v>1028</v>
      </c>
      <c r="D261" t="s">
        <v>1342</v>
      </c>
      <c r="E261" t="s">
        <v>112</v>
      </c>
      <c r="F261" t="s">
        <v>199</v>
      </c>
      <c r="G261" t="b">
        <f t="shared" si="4"/>
        <v>1</v>
      </c>
      <c r="H261" t="str">
        <f>VLOOKUP(A261,ID_Lookup!$A:$A,1,FALSE)</f>
        <v>J6278</v>
      </c>
    </row>
    <row r="262" spans="1:8" ht="409.5" x14ac:dyDescent="0.35">
      <c r="A262" t="s">
        <v>1030</v>
      </c>
      <c r="B262">
        <v>2025</v>
      </c>
      <c r="C262" t="s">
        <v>1031</v>
      </c>
      <c r="D262" s="1" t="s">
        <v>1032</v>
      </c>
      <c r="E262" t="s">
        <v>112</v>
      </c>
      <c r="F262" t="s">
        <v>199</v>
      </c>
      <c r="G262" t="b">
        <f t="shared" si="4"/>
        <v>1</v>
      </c>
      <c r="H262" t="str">
        <f>VLOOKUP(A262,ID_Lookup!$A:$A,1,FALSE)</f>
        <v>J6279</v>
      </c>
    </row>
    <row r="263" spans="1:8" ht="409.5" x14ac:dyDescent="0.35">
      <c r="A263" t="s">
        <v>1034</v>
      </c>
      <c r="B263">
        <v>2025</v>
      </c>
      <c r="C263" t="s">
        <v>1035</v>
      </c>
      <c r="D263" s="1" t="s">
        <v>1036</v>
      </c>
      <c r="E263" t="s">
        <v>112</v>
      </c>
      <c r="F263" t="s">
        <v>199</v>
      </c>
      <c r="G263" t="b">
        <f t="shared" si="4"/>
        <v>1</v>
      </c>
      <c r="H263" t="str">
        <f>VLOOKUP(A263,ID_Lookup!$A:$A,1,FALSE)</f>
        <v>J6280</v>
      </c>
    </row>
    <row r="264" spans="1:8" x14ac:dyDescent="0.35">
      <c r="A264" t="s">
        <v>1038</v>
      </c>
      <c r="B264">
        <v>2025</v>
      </c>
      <c r="C264" t="s">
        <v>1039</v>
      </c>
      <c r="D264" t="s">
        <v>1343</v>
      </c>
      <c r="E264" t="s">
        <v>112</v>
      </c>
      <c r="F264" t="s">
        <v>199</v>
      </c>
      <c r="G264" t="b">
        <f t="shared" si="4"/>
        <v>1</v>
      </c>
      <c r="H264" t="str">
        <f>VLOOKUP(A264,ID_Lookup!$A:$A,1,FALSE)</f>
        <v>J6281</v>
      </c>
    </row>
    <row r="265" spans="1:8" x14ac:dyDescent="0.35">
      <c r="A265" t="s">
        <v>1042</v>
      </c>
      <c r="B265">
        <v>2025</v>
      </c>
      <c r="C265" t="s">
        <v>1043</v>
      </c>
      <c r="D265" t="s">
        <v>1344</v>
      </c>
      <c r="E265" t="s">
        <v>112</v>
      </c>
      <c r="F265" t="s">
        <v>199</v>
      </c>
      <c r="G265" t="b">
        <f t="shared" si="4"/>
        <v>1</v>
      </c>
      <c r="H265" t="str">
        <f>VLOOKUP(A265,ID_Lookup!$A:$A,1,FALSE)</f>
        <v>J6282</v>
      </c>
    </row>
    <row r="266" spans="1:8" ht="409.5" hidden="1" x14ac:dyDescent="0.35">
      <c r="A266" t="s">
        <v>1345</v>
      </c>
      <c r="B266">
        <v>2025</v>
      </c>
      <c r="C266" t="s">
        <v>1346</v>
      </c>
      <c r="D266" s="1" t="s">
        <v>1347</v>
      </c>
      <c r="E266" t="s">
        <v>112</v>
      </c>
      <c r="F266" t="s">
        <v>199</v>
      </c>
      <c r="G266" t="b">
        <f t="shared" si="4"/>
        <v>1</v>
      </c>
      <c r="H266" t="e">
        <f>VLOOKUP(A266,ID_Lookup!$A:$A,1,FALSE)</f>
        <v>#N/A</v>
      </c>
    </row>
    <row r="267" spans="1:8" x14ac:dyDescent="0.35">
      <c r="A267" t="s">
        <v>1046</v>
      </c>
      <c r="B267">
        <v>2025</v>
      </c>
      <c r="C267" t="s">
        <v>1047</v>
      </c>
      <c r="D267" t="s">
        <v>1348</v>
      </c>
      <c r="E267" t="s">
        <v>112</v>
      </c>
      <c r="F267" t="s">
        <v>199</v>
      </c>
      <c r="G267" t="b">
        <f t="shared" si="4"/>
        <v>1</v>
      </c>
      <c r="H267" t="str">
        <f>VLOOKUP(A267,ID_Lookup!$A:$A,1,FALSE)</f>
        <v>J6284</v>
      </c>
    </row>
    <row r="268" spans="1:8" ht="409.5" hidden="1" x14ac:dyDescent="0.35">
      <c r="A268" t="s">
        <v>1349</v>
      </c>
      <c r="B268">
        <v>2025</v>
      </c>
      <c r="C268" t="s">
        <v>1350</v>
      </c>
      <c r="D268" s="1" t="s">
        <v>1351</v>
      </c>
      <c r="E268" t="s">
        <v>112</v>
      </c>
      <c r="F268" t="s">
        <v>199</v>
      </c>
      <c r="G268" t="b">
        <f t="shared" si="4"/>
        <v>1</v>
      </c>
      <c r="H268" t="e">
        <f>VLOOKUP(A268,ID_Lookup!$A:$A,1,FALSE)</f>
        <v>#N/A</v>
      </c>
    </row>
    <row r="269" spans="1:8" hidden="1" x14ac:dyDescent="0.35">
      <c r="A269" s="7" t="s">
        <v>1352</v>
      </c>
      <c r="B269" s="7">
        <v>2025</v>
      </c>
      <c r="C269" s="7" t="s">
        <v>1350</v>
      </c>
      <c r="D269" s="7" t="s">
        <v>499</v>
      </c>
      <c r="E269" s="7" t="s">
        <v>112</v>
      </c>
      <c r="F269" s="7"/>
      <c r="G269" t="b">
        <f t="shared" si="4"/>
        <v>1</v>
      </c>
      <c r="H269" t="e">
        <f>VLOOKUP(A269,ID_Lookup!$A:$A,1,FALSE)</f>
        <v>#N/A</v>
      </c>
    </row>
    <row r="270" spans="1:8" hidden="1" x14ac:dyDescent="0.35">
      <c r="A270" t="s">
        <v>1353</v>
      </c>
      <c r="B270">
        <v>2025</v>
      </c>
      <c r="C270" t="s">
        <v>1354</v>
      </c>
      <c r="D270" t="s">
        <v>1355</v>
      </c>
      <c r="E270" t="s">
        <v>112</v>
      </c>
      <c r="F270" t="s">
        <v>199</v>
      </c>
      <c r="G270" t="b">
        <f t="shared" si="4"/>
        <v>1</v>
      </c>
      <c r="H270" t="e">
        <f>VLOOKUP(A270,ID_Lookup!$A:$A,1,FALSE)</f>
        <v>#N/A</v>
      </c>
    </row>
    <row r="271" spans="1:8" x14ac:dyDescent="0.35">
      <c r="A271" t="s">
        <v>1050</v>
      </c>
      <c r="B271">
        <v>2025</v>
      </c>
      <c r="C271" t="s">
        <v>1051</v>
      </c>
      <c r="D271" t="s">
        <v>1356</v>
      </c>
      <c r="E271" t="s">
        <v>112</v>
      </c>
      <c r="F271" t="s">
        <v>199</v>
      </c>
      <c r="G271" t="b">
        <f t="shared" si="4"/>
        <v>1</v>
      </c>
      <c r="H271" t="str">
        <f>VLOOKUP(A271,ID_Lookup!$A:$A,1,FALSE)</f>
        <v>J6288</v>
      </c>
    </row>
    <row r="272" spans="1:8" x14ac:dyDescent="0.35">
      <c r="A272" t="s">
        <v>1053</v>
      </c>
      <c r="B272">
        <v>2025</v>
      </c>
      <c r="C272" t="s">
        <v>1054</v>
      </c>
      <c r="D272" t="s">
        <v>1357</v>
      </c>
      <c r="E272" t="s">
        <v>112</v>
      </c>
      <c r="F272" t="s">
        <v>199</v>
      </c>
      <c r="G272" t="b">
        <f t="shared" si="4"/>
        <v>1</v>
      </c>
      <c r="H272" t="str">
        <f>VLOOKUP(A272,ID_Lookup!$A:$A,1,FALSE)</f>
        <v>J6289</v>
      </c>
    </row>
    <row r="273" spans="1:8" x14ac:dyDescent="0.35">
      <c r="A273" t="s">
        <v>1057</v>
      </c>
      <c r="B273">
        <v>2025</v>
      </c>
      <c r="C273" t="s">
        <v>1058</v>
      </c>
      <c r="D273" t="s">
        <v>1358</v>
      </c>
      <c r="E273" t="s">
        <v>112</v>
      </c>
      <c r="F273" t="s">
        <v>199</v>
      </c>
      <c r="G273" t="b">
        <f t="shared" si="4"/>
        <v>1</v>
      </c>
      <c r="H273" t="str">
        <f>VLOOKUP(A273,ID_Lookup!$A:$A,1,FALSE)</f>
        <v>J6290</v>
      </c>
    </row>
    <row r="274" spans="1:8" ht="409.5" hidden="1" x14ac:dyDescent="0.35">
      <c r="A274" t="s">
        <v>1359</v>
      </c>
      <c r="B274">
        <v>2025</v>
      </c>
      <c r="C274" t="s">
        <v>1360</v>
      </c>
      <c r="D274" s="1" t="s">
        <v>1361</v>
      </c>
      <c r="E274" t="s">
        <v>112</v>
      </c>
      <c r="F274" t="s">
        <v>199</v>
      </c>
      <c r="G274" t="b">
        <f t="shared" si="4"/>
        <v>1</v>
      </c>
      <c r="H274" t="e">
        <f>VLOOKUP(A274,ID_Lookup!$A:$A,1,FALSE)</f>
        <v>#N/A</v>
      </c>
    </row>
    <row r="275" spans="1:8" hidden="1" x14ac:dyDescent="0.35">
      <c r="A275" t="s">
        <v>1362</v>
      </c>
      <c r="B275">
        <v>2025</v>
      </c>
      <c r="C275" t="s">
        <v>1363</v>
      </c>
      <c r="D275" t="s">
        <v>1364</v>
      </c>
      <c r="E275" t="s">
        <v>112</v>
      </c>
      <c r="F275" t="s">
        <v>199</v>
      </c>
      <c r="G275" t="b">
        <f t="shared" si="4"/>
        <v>1</v>
      </c>
      <c r="H275" t="e">
        <f>VLOOKUP(A275,ID_Lookup!$A:$A,1,FALSE)</f>
        <v>#N/A</v>
      </c>
    </row>
    <row r="276" spans="1:8" x14ac:dyDescent="0.35">
      <c r="A276" t="s">
        <v>1060</v>
      </c>
      <c r="B276">
        <v>2025</v>
      </c>
      <c r="C276" t="s">
        <v>1061</v>
      </c>
      <c r="D276" t="s">
        <v>1365</v>
      </c>
      <c r="E276" t="s">
        <v>112</v>
      </c>
      <c r="F276" t="s">
        <v>199</v>
      </c>
      <c r="G276" t="b">
        <f t="shared" si="4"/>
        <v>1</v>
      </c>
      <c r="H276" t="str">
        <f>VLOOKUP(A276,ID_Lookup!$A:$A,1,FALSE)</f>
        <v>J6293</v>
      </c>
    </row>
    <row r="277" spans="1:8" hidden="1" x14ac:dyDescent="0.35">
      <c r="A277" t="s">
        <v>1366</v>
      </c>
      <c r="B277">
        <v>2025</v>
      </c>
      <c r="C277" t="s">
        <v>1367</v>
      </c>
      <c r="D277" t="s">
        <v>1368</v>
      </c>
      <c r="E277" t="s">
        <v>112</v>
      </c>
      <c r="F277" t="s">
        <v>199</v>
      </c>
      <c r="G277" t="b">
        <f t="shared" si="4"/>
        <v>1</v>
      </c>
      <c r="H277" t="e">
        <f>VLOOKUP(A277,ID_Lookup!$A:$A,1,FALSE)</f>
        <v>#N/A</v>
      </c>
    </row>
    <row r="278" spans="1:8" x14ac:dyDescent="0.35">
      <c r="A278" t="s">
        <v>1064</v>
      </c>
      <c r="B278">
        <v>2025</v>
      </c>
      <c r="C278" t="s">
        <v>1065</v>
      </c>
      <c r="D278" t="s">
        <v>1369</v>
      </c>
      <c r="E278" t="s">
        <v>112</v>
      </c>
      <c r="F278" t="s">
        <v>199</v>
      </c>
      <c r="G278" t="b">
        <f t="shared" si="4"/>
        <v>1</v>
      </c>
      <c r="H278" t="str">
        <f>VLOOKUP(A278,ID_Lookup!$A:$A,1,FALSE)</f>
        <v>J6295</v>
      </c>
    </row>
    <row r="279" spans="1:8" x14ac:dyDescent="0.35">
      <c r="A279" s="7" t="s">
        <v>1068</v>
      </c>
      <c r="B279" s="7">
        <v>2025</v>
      </c>
      <c r="C279" s="7" t="s">
        <v>1065</v>
      </c>
      <c r="D279" s="7" t="s">
        <v>1069</v>
      </c>
      <c r="E279" s="7" t="s">
        <v>112</v>
      </c>
      <c r="F279" s="7"/>
      <c r="G279" t="b">
        <f t="shared" si="4"/>
        <v>1</v>
      </c>
      <c r="H279" t="str">
        <f>VLOOKUP(A279,ID_Lookup!$A:$A,1,FALSE)</f>
        <v>J6296</v>
      </c>
    </row>
    <row r="280" spans="1:8" x14ac:dyDescent="0.35">
      <c r="A280" t="s">
        <v>1070</v>
      </c>
      <c r="B280">
        <v>2025</v>
      </c>
      <c r="C280" t="s">
        <v>1071</v>
      </c>
      <c r="D280" t="s">
        <v>1370</v>
      </c>
      <c r="E280" t="s">
        <v>112</v>
      </c>
      <c r="F280" t="s">
        <v>199</v>
      </c>
      <c r="G280" t="b">
        <f t="shared" si="4"/>
        <v>1</v>
      </c>
      <c r="H280" t="str">
        <f>VLOOKUP(A280,ID_Lookup!$A:$A,1,FALSE)</f>
        <v>J6297</v>
      </c>
    </row>
    <row r="281" spans="1:8" ht="409.5" hidden="1" x14ac:dyDescent="0.35">
      <c r="A281" t="s">
        <v>1371</v>
      </c>
      <c r="B281">
        <v>2025</v>
      </c>
      <c r="C281" t="s">
        <v>1372</v>
      </c>
      <c r="D281" s="1" t="s">
        <v>1373</v>
      </c>
      <c r="E281" t="s">
        <v>112</v>
      </c>
      <c r="F281" t="s">
        <v>199</v>
      </c>
      <c r="G281" t="b">
        <f t="shared" si="4"/>
        <v>1</v>
      </c>
      <c r="H281" t="e">
        <f>VLOOKUP(A281,ID_Lookup!$A:$A,1,FALSE)</f>
        <v>#N/A</v>
      </c>
    </row>
    <row r="282" spans="1:8" x14ac:dyDescent="0.35">
      <c r="A282" t="s">
        <v>1074</v>
      </c>
      <c r="B282">
        <v>2025</v>
      </c>
      <c r="C282" t="s">
        <v>1075</v>
      </c>
      <c r="D282" t="s">
        <v>1374</v>
      </c>
      <c r="E282" t="s">
        <v>112</v>
      </c>
      <c r="F282" t="s">
        <v>199</v>
      </c>
      <c r="G282" t="b">
        <f t="shared" si="4"/>
        <v>1</v>
      </c>
      <c r="H282" t="str">
        <f>VLOOKUP(A282,ID_Lookup!$A:$A,1,FALSE)</f>
        <v>J6299</v>
      </c>
    </row>
    <row r="283" spans="1:8" x14ac:dyDescent="0.35">
      <c r="A283" t="s">
        <v>1078</v>
      </c>
      <c r="B283">
        <v>2020</v>
      </c>
      <c r="C283" t="s">
        <v>1079</v>
      </c>
      <c r="D283" t="s">
        <v>1080</v>
      </c>
      <c r="E283" t="s">
        <v>112</v>
      </c>
      <c r="F283" t="s">
        <v>199</v>
      </c>
      <c r="G283" t="b">
        <f t="shared" si="4"/>
        <v>1</v>
      </c>
      <c r="H283" t="str">
        <f>VLOOKUP(A283,ID_Lookup!$A:$A,1,FALSE)</f>
        <v>J1785</v>
      </c>
    </row>
    <row r="284" spans="1:8" hidden="1" x14ac:dyDescent="0.35">
      <c r="A284" t="s">
        <v>1375</v>
      </c>
      <c r="B284">
        <v>2020</v>
      </c>
      <c r="C284" t="s">
        <v>1376</v>
      </c>
      <c r="D284" t="s">
        <v>1377</v>
      </c>
      <c r="E284" t="s">
        <v>112</v>
      </c>
      <c r="F284" t="s">
        <v>199</v>
      </c>
      <c r="G284" t="b">
        <f t="shared" si="4"/>
        <v>1</v>
      </c>
      <c r="H284" t="e">
        <f>VLOOKUP(A284,ID_Lookup!$A:$A,1,FALSE)</f>
        <v>#N/A</v>
      </c>
    </row>
    <row r="285" spans="1:8" x14ac:dyDescent="0.35">
      <c r="A285" t="s">
        <v>1081</v>
      </c>
      <c r="B285">
        <v>2020</v>
      </c>
      <c r="C285" t="s">
        <v>1082</v>
      </c>
      <c r="D285" t="s">
        <v>1378</v>
      </c>
      <c r="E285" t="s">
        <v>112</v>
      </c>
      <c r="F285" t="s">
        <v>199</v>
      </c>
      <c r="G285" t="b">
        <f t="shared" si="4"/>
        <v>1</v>
      </c>
      <c r="H285" t="str">
        <f>VLOOKUP(A285,ID_Lookup!$A:$A,1,FALSE)</f>
        <v>J1787</v>
      </c>
    </row>
    <row r="286" spans="1:8" x14ac:dyDescent="0.35">
      <c r="A286" t="s">
        <v>1085</v>
      </c>
      <c r="B286">
        <v>2020</v>
      </c>
      <c r="C286" t="s">
        <v>1086</v>
      </c>
      <c r="D286" t="s">
        <v>1379</v>
      </c>
      <c r="E286" t="s">
        <v>112</v>
      </c>
      <c r="F286" t="s">
        <v>199</v>
      </c>
      <c r="G286" t="b">
        <f t="shared" si="4"/>
        <v>1</v>
      </c>
      <c r="H286" t="str">
        <f>VLOOKUP(A286,ID_Lookup!$A:$A,1,FALSE)</f>
        <v>J1788</v>
      </c>
    </row>
    <row r="287" spans="1:8" x14ac:dyDescent="0.35">
      <c r="A287" t="s">
        <v>1088</v>
      </c>
      <c r="B287">
        <v>2020</v>
      </c>
      <c r="C287" t="s">
        <v>1089</v>
      </c>
      <c r="D287" t="s">
        <v>1380</v>
      </c>
      <c r="E287" t="s">
        <v>112</v>
      </c>
      <c r="F287" t="s">
        <v>199</v>
      </c>
      <c r="G287" t="b">
        <f t="shared" si="4"/>
        <v>1</v>
      </c>
      <c r="H287" t="str">
        <f>VLOOKUP(A287,ID_Lookup!$A:$A,1,FALSE)</f>
        <v>J1789</v>
      </c>
    </row>
    <row r="288" spans="1:8" hidden="1" x14ac:dyDescent="0.35">
      <c r="A288" t="s">
        <v>1381</v>
      </c>
      <c r="B288">
        <v>2020</v>
      </c>
      <c r="C288" t="s">
        <v>1382</v>
      </c>
      <c r="D288" t="s">
        <v>1383</v>
      </c>
      <c r="E288" t="s">
        <v>112</v>
      </c>
      <c r="F288" t="s">
        <v>199</v>
      </c>
      <c r="G288" t="b">
        <f t="shared" si="4"/>
        <v>1</v>
      </c>
      <c r="H288" t="e">
        <f>VLOOKUP(A288,ID_Lookup!$A:$A,1,FALSE)</f>
        <v>#N/A</v>
      </c>
    </row>
    <row r="289" spans="1:8" hidden="1" x14ac:dyDescent="0.35">
      <c r="A289" t="s">
        <v>1384</v>
      </c>
      <c r="B289">
        <v>2020</v>
      </c>
      <c r="C289" t="s">
        <v>1385</v>
      </c>
      <c r="D289" t="s">
        <v>1386</v>
      </c>
      <c r="E289" t="s">
        <v>173</v>
      </c>
      <c r="F289" t="s">
        <v>1481</v>
      </c>
      <c r="G289" t="b">
        <f t="shared" si="4"/>
        <v>0</v>
      </c>
      <c r="H289" t="e">
        <f>VLOOKUP(A289,ID_Lookup!$A:$A,1,FALSE)</f>
        <v>#N/A</v>
      </c>
    </row>
    <row r="290" spans="1:8" x14ac:dyDescent="0.35">
      <c r="A290" t="s">
        <v>1092</v>
      </c>
      <c r="B290">
        <v>2020</v>
      </c>
      <c r="C290" t="s">
        <v>1093</v>
      </c>
      <c r="D290" t="s">
        <v>1387</v>
      </c>
      <c r="E290" t="s">
        <v>112</v>
      </c>
      <c r="F290" t="s">
        <v>199</v>
      </c>
      <c r="G290" t="b">
        <f t="shared" si="4"/>
        <v>1</v>
      </c>
      <c r="H290" t="str">
        <f>VLOOKUP(A290,ID_Lookup!$A:$A,1,FALSE)</f>
        <v>J1792</v>
      </c>
    </row>
    <row r="291" spans="1:8" x14ac:dyDescent="0.35">
      <c r="A291" t="s">
        <v>1096</v>
      </c>
      <c r="B291">
        <v>2020</v>
      </c>
      <c r="C291" t="s">
        <v>1388</v>
      </c>
      <c r="D291" t="s">
        <v>1389</v>
      </c>
      <c r="E291" t="s">
        <v>112</v>
      </c>
      <c r="F291" t="s">
        <v>199</v>
      </c>
      <c r="G291" t="b">
        <f t="shared" si="4"/>
        <v>1</v>
      </c>
      <c r="H291" t="str">
        <f>VLOOKUP(A291,ID_Lookup!$A:$A,1,FALSE)</f>
        <v>J1793</v>
      </c>
    </row>
    <row r="292" spans="1:8" x14ac:dyDescent="0.35">
      <c r="A292" t="s">
        <v>1100</v>
      </c>
      <c r="B292">
        <v>2020</v>
      </c>
      <c r="C292" t="s">
        <v>1101</v>
      </c>
      <c r="D292" t="s">
        <v>499</v>
      </c>
      <c r="E292" t="s">
        <v>112</v>
      </c>
      <c r="F292" t="s">
        <v>199</v>
      </c>
      <c r="G292" t="b">
        <f t="shared" si="4"/>
        <v>1</v>
      </c>
      <c r="H292" t="str">
        <f>VLOOKUP(A292,ID_Lookup!$A:$A,1,FALSE)</f>
        <v>J1794</v>
      </c>
    </row>
    <row r="293" spans="1:8" x14ac:dyDescent="0.35">
      <c r="A293" t="s">
        <v>1103</v>
      </c>
      <c r="B293">
        <v>2020</v>
      </c>
      <c r="C293" t="s">
        <v>1104</v>
      </c>
      <c r="D293" t="s">
        <v>1105</v>
      </c>
      <c r="E293" t="s">
        <v>112</v>
      </c>
      <c r="F293" t="s">
        <v>199</v>
      </c>
      <c r="G293" t="b">
        <f t="shared" si="4"/>
        <v>1</v>
      </c>
      <c r="H293" t="str">
        <f>VLOOKUP(A293,ID_Lookup!$A:$A,1,FALSE)</f>
        <v>J1795</v>
      </c>
    </row>
    <row r="294" spans="1:8" x14ac:dyDescent="0.35">
      <c r="A294" t="s">
        <v>1107</v>
      </c>
      <c r="B294">
        <v>2020</v>
      </c>
      <c r="C294" t="s">
        <v>1108</v>
      </c>
      <c r="D294" t="s">
        <v>1109</v>
      </c>
      <c r="E294" t="s">
        <v>173</v>
      </c>
      <c r="F294" t="s">
        <v>192</v>
      </c>
      <c r="G294" t="b">
        <f t="shared" si="4"/>
        <v>0</v>
      </c>
      <c r="H294" t="str">
        <f>VLOOKUP(A294,ID_Lookup!$A:$A,1,FALSE)</f>
        <v>J1796</v>
      </c>
    </row>
    <row r="295" spans="1:8" hidden="1" x14ac:dyDescent="0.35">
      <c r="A295" t="s">
        <v>1390</v>
      </c>
      <c r="B295">
        <v>2020</v>
      </c>
      <c r="C295" t="s">
        <v>1391</v>
      </c>
      <c r="D295" t="s">
        <v>1392</v>
      </c>
      <c r="E295" t="s">
        <v>112</v>
      </c>
      <c r="F295" t="s">
        <v>199</v>
      </c>
      <c r="G295" t="b">
        <f t="shared" si="4"/>
        <v>1</v>
      </c>
      <c r="H295" t="e">
        <f>VLOOKUP(A295,ID_Lookup!$A:$A,1,FALSE)</f>
        <v>#N/A</v>
      </c>
    </row>
    <row r="296" spans="1:8" hidden="1" x14ac:dyDescent="0.35">
      <c r="A296" t="s">
        <v>1393</v>
      </c>
      <c r="B296">
        <v>2020</v>
      </c>
      <c r="C296" t="s">
        <v>1394</v>
      </c>
      <c r="D296" t="s">
        <v>1395</v>
      </c>
      <c r="E296" t="s">
        <v>112</v>
      </c>
      <c r="F296" t="s">
        <v>199</v>
      </c>
      <c r="G296" t="b">
        <f t="shared" si="4"/>
        <v>1</v>
      </c>
      <c r="H296" t="e">
        <f>VLOOKUP(A296,ID_Lookup!$A:$A,1,FALSE)</f>
        <v>#N/A</v>
      </c>
    </row>
    <row r="297" spans="1:8" hidden="1" x14ac:dyDescent="0.35">
      <c r="A297" t="s">
        <v>1396</v>
      </c>
      <c r="B297">
        <v>2020</v>
      </c>
      <c r="C297" t="s">
        <v>1397</v>
      </c>
      <c r="D297" t="s">
        <v>1398</v>
      </c>
      <c r="E297" t="s">
        <v>112</v>
      </c>
      <c r="F297" t="s">
        <v>199</v>
      </c>
      <c r="G297" t="b">
        <f t="shared" si="4"/>
        <v>1</v>
      </c>
      <c r="H297" t="e">
        <f>VLOOKUP(A297,ID_Lookup!$A:$A,1,FALSE)</f>
        <v>#N/A</v>
      </c>
    </row>
    <row r="298" spans="1:8" x14ac:dyDescent="0.35">
      <c r="A298" t="s">
        <v>1110</v>
      </c>
      <c r="B298">
        <v>2020</v>
      </c>
      <c r="C298" t="s">
        <v>1111</v>
      </c>
      <c r="D298" t="s">
        <v>1399</v>
      </c>
      <c r="E298" t="s">
        <v>112</v>
      </c>
      <c r="F298" t="s">
        <v>199</v>
      </c>
      <c r="G298" t="b">
        <f t="shared" si="4"/>
        <v>1</v>
      </c>
      <c r="H298" t="str">
        <f>VLOOKUP(A298,ID_Lookup!$A:$A,1,FALSE)</f>
        <v>J1800</v>
      </c>
    </row>
    <row r="299" spans="1:8" x14ac:dyDescent="0.35">
      <c r="A299" t="s">
        <v>1114</v>
      </c>
      <c r="B299">
        <v>2020</v>
      </c>
      <c r="C299" t="s">
        <v>1115</v>
      </c>
      <c r="D299" t="s">
        <v>1400</v>
      </c>
      <c r="E299" t="s">
        <v>112</v>
      </c>
      <c r="F299" t="s">
        <v>199</v>
      </c>
      <c r="G299" t="b">
        <f t="shared" si="4"/>
        <v>1</v>
      </c>
      <c r="H299" t="str">
        <f>VLOOKUP(A299,ID_Lookup!$A:$A,1,FALSE)</f>
        <v>J1801</v>
      </c>
    </row>
    <row r="300" spans="1:8" hidden="1" x14ac:dyDescent="0.35">
      <c r="A300" t="s">
        <v>1401</v>
      </c>
      <c r="B300">
        <v>2020</v>
      </c>
      <c r="C300" t="s">
        <v>1402</v>
      </c>
      <c r="D300" t="s">
        <v>1403</v>
      </c>
      <c r="E300" t="s">
        <v>112</v>
      </c>
      <c r="F300" t="s">
        <v>199</v>
      </c>
      <c r="G300" t="b">
        <f t="shared" si="4"/>
        <v>1</v>
      </c>
      <c r="H300" t="e">
        <f>VLOOKUP(A300,ID_Lookup!$A:$A,1,FALSE)</f>
        <v>#N/A</v>
      </c>
    </row>
    <row r="301" spans="1:8" x14ac:dyDescent="0.35">
      <c r="A301" t="s">
        <v>1118</v>
      </c>
      <c r="B301">
        <v>2020</v>
      </c>
      <c r="C301" t="s">
        <v>1119</v>
      </c>
      <c r="D301" t="s">
        <v>1404</v>
      </c>
      <c r="E301" t="s">
        <v>112</v>
      </c>
      <c r="F301" t="s">
        <v>199</v>
      </c>
      <c r="G301" t="b">
        <f t="shared" si="4"/>
        <v>1</v>
      </c>
      <c r="H301" t="str">
        <f>VLOOKUP(A301,ID_Lookup!$A:$A,1,FALSE)</f>
        <v>J1803</v>
      </c>
    </row>
    <row r="302" spans="1:8" x14ac:dyDescent="0.35">
      <c r="A302" t="s">
        <v>1122</v>
      </c>
      <c r="B302">
        <v>2020</v>
      </c>
      <c r="C302" t="s">
        <v>1123</v>
      </c>
      <c r="D302" t="s">
        <v>1405</v>
      </c>
      <c r="E302" t="s">
        <v>112</v>
      </c>
      <c r="F302" t="s">
        <v>199</v>
      </c>
      <c r="G302" t="b">
        <f t="shared" si="4"/>
        <v>1</v>
      </c>
      <c r="H302" t="str">
        <f>VLOOKUP(A302,ID_Lookup!$A:$A,1,FALSE)</f>
        <v>J1804</v>
      </c>
    </row>
    <row r="303" spans="1:8" hidden="1" x14ac:dyDescent="0.35">
      <c r="A303" t="s">
        <v>1406</v>
      </c>
      <c r="B303">
        <v>2020</v>
      </c>
      <c r="C303" t="s">
        <v>1407</v>
      </c>
      <c r="D303" t="s">
        <v>1408</v>
      </c>
      <c r="E303" t="s">
        <v>112</v>
      </c>
      <c r="F303" t="s">
        <v>199</v>
      </c>
      <c r="G303" t="b">
        <f t="shared" si="4"/>
        <v>1</v>
      </c>
      <c r="H303" t="e">
        <f>VLOOKUP(A303,ID_Lookup!$A:$A,1,FALSE)</f>
        <v>#N/A</v>
      </c>
    </row>
    <row r="304" spans="1:8" x14ac:dyDescent="0.35">
      <c r="A304" t="s">
        <v>1125</v>
      </c>
      <c r="B304">
        <v>2020</v>
      </c>
      <c r="C304" t="s">
        <v>1409</v>
      </c>
      <c r="D304" t="s">
        <v>1410</v>
      </c>
      <c r="E304" t="s">
        <v>112</v>
      </c>
      <c r="F304" t="s">
        <v>199</v>
      </c>
      <c r="G304" t="b">
        <f t="shared" si="4"/>
        <v>1</v>
      </c>
      <c r="H304" t="str">
        <f>VLOOKUP(A304,ID_Lookup!$A:$A,1,FALSE)</f>
        <v>J1806</v>
      </c>
    </row>
    <row r="305" spans="1:8" x14ac:dyDescent="0.35">
      <c r="A305" t="s">
        <v>1128</v>
      </c>
      <c r="B305">
        <v>2020</v>
      </c>
      <c r="C305" t="s">
        <v>1129</v>
      </c>
      <c r="D305" t="s">
        <v>1411</v>
      </c>
      <c r="E305" t="s">
        <v>112</v>
      </c>
      <c r="F305" t="s">
        <v>199</v>
      </c>
      <c r="G305" t="b">
        <f t="shared" si="4"/>
        <v>1</v>
      </c>
      <c r="H305" t="str">
        <f>VLOOKUP(A305,ID_Lookup!$A:$A,1,FALSE)</f>
        <v>J1807</v>
      </c>
    </row>
    <row r="306" spans="1:8" hidden="1" x14ac:dyDescent="0.35">
      <c r="A306" t="s">
        <v>1412</v>
      </c>
      <c r="B306">
        <v>2020</v>
      </c>
      <c r="C306" t="s">
        <v>1413</v>
      </c>
      <c r="D306" t="s">
        <v>1414</v>
      </c>
      <c r="E306" t="s">
        <v>112</v>
      </c>
      <c r="F306" t="s">
        <v>199</v>
      </c>
      <c r="G306" t="b">
        <f t="shared" si="4"/>
        <v>1</v>
      </c>
      <c r="H306" t="e">
        <f>VLOOKUP(A306,ID_Lookup!$A:$A,1,FALSE)</f>
        <v>#N/A</v>
      </c>
    </row>
    <row r="307" spans="1:8" ht="409.5" x14ac:dyDescent="0.35">
      <c r="A307" t="s">
        <v>1131</v>
      </c>
      <c r="B307">
        <v>2020</v>
      </c>
      <c r="C307" t="s">
        <v>1132</v>
      </c>
      <c r="D307" s="1" t="s">
        <v>1133</v>
      </c>
      <c r="E307" t="s">
        <v>112</v>
      </c>
      <c r="F307" t="s">
        <v>199</v>
      </c>
      <c r="G307" t="b">
        <f t="shared" si="4"/>
        <v>1</v>
      </c>
      <c r="H307" t="str">
        <f>VLOOKUP(A307,ID_Lookup!$A:$A,1,FALSE)</f>
        <v>J1809</v>
      </c>
    </row>
    <row r="308" spans="1:8" x14ac:dyDescent="0.35">
      <c r="A308" s="7" t="s">
        <v>1135</v>
      </c>
      <c r="B308" s="7">
        <v>2020</v>
      </c>
      <c r="C308" s="7" t="s">
        <v>1136</v>
      </c>
      <c r="D308" s="7" t="s">
        <v>1137</v>
      </c>
      <c r="E308" s="7" t="s">
        <v>112</v>
      </c>
      <c r="F308" s="7"/>
      <c r="G308" t="b">
        <f t="shared" si="4"/>
        <v>1</v>
      </c>
      <c r="H308" t="str">
        <f>VLOOKUP(A308,ID_Lookup!$A:$A,1,FALSE)</f>
        <v>J1810</v>
      </c>
    </row>
    <row r="309" spans="1:8" x14ac:dyDescent="0.35">
      <c r="A309" t="s">
        <v>1139</v>
      </c>
      <c r="B309">
        <v>2020</v>
      </c>
      <c r="C309" t="s">
        <v>1140</v>
      </c>
      <c r="D309" t="s">
        <v>1141</v>
      </c>
      <c r="E309" t="s">
        <v>112</v>
      </c>
      <c r="F309" t="s">
        <v>199</v>
      </c>
      <c r="G309" t="b">
        <f t="shared" si="4"/>
        <v>1</v>
      </c>
      <c r="H309" t="str">
        <f>VLOOKUP(A309,ID_Lookup!$A:$A,1,FALSE)</f>
        <v>J1811</v>
      </c>
    </row>
    <row r="310" spans="1:8" ht="409.5" hidden="1" x14ac:dyDescent="0.35">
      <c r="A310" t="s">
        <v>1415</v>
      </c>
      <c r="B310">
        <v>2020</v>
      </c>
      <c r="C310" t="s">
        <v>1416</v>
      </c>
      <c r="D310" s="1" t="s">
        <v>1417</v>
      </c>
      <c r="E310" t="s">
        <v>112</v>
      </c>
      <c r="F310" t="s">
        <v>199</v>
      </c>
      <c r="G310" t="b">
        <f t="shared" si="4"/>
        <v>1</v>
      </c>
      <c r="H310" t="e">
        <f>VLOOKUP(A310,ID_Lookup!$A:$A,1,FALSE)</f>
        <v>#N/A</v>
      </c>
    </row>
    <row r="311" spans="1:8" hidden="1" x14ac:dyDescent="0.35">
      <c r="A311" t="s">
        <v>1418</v>
      </c>
      <c r="B311">
        <v>2020</v>
      </c>
      <c r="C311" t="s">
        <v>1419</v>
      </c>
      <c r="D311" t="s">
        <v>1420</v>
      </c>
      <c r="E311" t="s">
        <v>112</v>
      </c>
      <c r="F311" t="s">
        <v>199</v>
      </c>
      <c r="G311" t="b">
        <f t="shared" si="4"/>
        <v>1</v>
      </c>
      <c r="H311" t="e">
        <f>VLOOKUP(A311,ID_Lookup!$A:$A,1,FALSE)</f>
        <v>#N/A</v>
      </c>
    </row>
    <row r="312" spans="1:8" hidden="1" x14ac:dyDescent="0.35">
      <c r="A312" t="s">
        <v>1421</v>
      </c>
      <c r="B312">
        <v>2020</v>
      </c>
      <c r="C312" t="s">
        <v>1422</v>
      </c>
      <c r="D312" t="s">
        <v>1423</v>
      </c>
      <c r="E312" t="s">
        <v>112</v>
      </c>
      <c r="F312" t="s">
        <v>199</v>
      </c>
      <c r="G312" t="b">
        <f t="shared" si="4"/>
        <v>1</v>
      </c>
      <c r="H312" t="e">
        <f>VLOOKUP(A312,ID_Lookup!$A:$A,1,FALSE)</f>
        <v>#N/A</v>
      </c>
    </row>
    <row r="313" spans="1:8" ht="409.5" x14ac:dyDescent="0.35">
      <c r="A313" t="s">
        <v>1143</v>
      </c>
      <c r="B313">
        <v>2022</v>
      </c>
      <c r="C313" t="s">
        <v>1144</v>
      </c>
      <c r="D313" s="1" t="s">
        <v>1145</v>
      </c>
      <c r="E313" t="s">
        <v>112</v>
      </c>
      <c r="F313" t="s">
        <v>199</v>
      </c>
      <c r="G313" t="b">
        <f t="shared" si="4"/>
        <v>1</v>
      </c>
      <c r="H313" t="str">
        <f>VLOOKUP(A313,ID_Lookup!$A:$A,1,FALSE)</f>
        <v>J3595</v>
      </c>
    </row>
    <row r="314" spans="1:8" x14ac:dyDescent="0.35">
      <c r="A314" s="7" t="s">
        <v>1146</v>
      </c>
      <c r="B314" s="7">
        <v>2022</v>
      </c>
      <c r="C314" s="7" t="s">
        <v>1144</v>
      </c>
      <c r="D314" s="7" t="s">
        <v>1137</v>
      </c>
      <c r="E314" s="7" t="s">
        <v>112</v>
      </c>
      <c r="F314" s="7"/>
      <c r="G314" t="b">
        <f t="shared" si="4"/>
        <v>1</v>
      </c>
      <c r="H314" t="str">
        <f>VLOOKUP(A314,ID_Lookup!$A:$A,1,FALSE)</f>
        <v>J3596</v>
      </c>
    </row>
    <row r="315" spans="1:8" hidden="1" x14ac:dyDescent="0.35">
      <c r="A315" t="s">
        <v>1424</v>
      </c>
      <c r="B315">
        <v>2022</v>
      </c>
      <c r="C315" t="s">
        <v>1425</v>
      </c>
      <c r="D315" t="s">
        <v>1426</v>
      </c>
      <c r="E315" t="s">
        <v>112</v>
      </c>
      <c r="F315" t="s">
        <v>199</v>
      </c>
      <c r="G315" t="b">
        <f t="shared" si="4"/>
        <v>1</v>
      </c>
      <c r="H315" t="e">
        <f>VLOOKUP(A315,ID_Lookup!$A:$A,1,FALSE)</f>
        <v>#N/A</v>
      </c>
    </row>
    <row r="316" spans="1:8" hidden="1" x14ac:dyDescent="0.35">
      <c r="A316" t="s">
        <v>1427</v>
      </c>
      <c r="B316">
        <v>2022</v>
      </c>
      <c r="C316" t="s">
        <v>1428</v>
      </c>
      <c r="D316" t="s">
        <v>1429</v>
      </c>
      <c r="E316" t="s">
        <v>112</v>
      </c>
      <c r="F316" t="s">
        <v>199</v>
      </c>
      <c r="G316" t="b">
        <f t="shared" si="4"/>
        <v>1</v>
      </c>
      <c r="H316" t="e">
        <f>VLOOKUP(A316,ID_Lookup!$A:$A,1,FALSE)</f>
        <v>#N/A</v>
      </c>
    </row>
    <row r="317" spans="1:8" ht="409.5" x14ac:dyDescent="0.35">
      <c r="A317" t="s">
        <v>1148</v>
      </c>
      <c r="B317">
        <v>2022</v>
      </c>
      <c r="C317" t="s">
        <v>1149</v>
      </c>
      <c r="D317" s="1" t="s">
        <v>1150</v>
      </c>
      <c r="E317" t="s">
        <v>112</v>
      </c>
      <c r="F317" t="s">
        <v>199</v>
      </c>
      <c r="G317" t="b">
        <f t="shared" si="4"/>
        <v>1</v>
      </c>
      <c r="H317" t="str">
        <f>VLOOKUP(A317,ID_Lookup!$A:$A,1,FALSE)</f>
        <v>J3599</v>
      </c>
    </row>
    <row r="318" spans="1:8" hidden="1" x14ac:dyDescent="0.35">
      <c r="A318" t="s">
        <v>1430</v>
      </c>
      <c r="B318">
        <v>2022</v>
      </c>
      <c r="C318" t="s">
        <v>1431</v>
      </c>
      <c r="D318" t="s">
        <v>1432</v>
      </c>
      <c r="E318" t="s">
        <v>112</v>
      </c>
      <c r="F318" t="s">
        <v>199</v>
      </c>
      <c r="G318" t="b">
        <f t="shared" si="4"/>
        <v>1</v>
      </c>
      <c r="H318" t="e">
        <f>VLOOKUP(A318,ID_Lookup!$A:$A,1,FALSE)</f>
        <v>#N/A</v>
      </c>
    </row>
    <row r="319" spans="1:8" hidden="1" x14ac:dyDescent="0.35">
      <c r="A319" t="s">
        <v>1433</v>
      </c>
      <c r="B319">
        <v>2022</v>
      </c>
      <c r="C319" t="s">
        <v>1434</v>
      </c>
      <c r="D319" t="s">
        <v>1435</v>
      </c>
      <c r="E319" t="s">
        <v>112</v>
      </c>
      <c r="F319" t="s">
        <v>199</v>
      </c>
      <c r="G319" t="b">
        <f t="shared" si="4"/>
        <v>1</v>
      </c>
      <c r="H319" t="e">
        <f>VLOOKUP(A319,ID_Lookup!$A:$A,1,FALSE)</f>
        <v>#N/A</v>
      </c>
    </row>
    <row r="320" spans="1:8" hidden="1" x14ac:dyDescent="0.35">
      <c r="A320" t="s">
        <v>1436</v>
      </c>
      <c r="B320">
        <v>2022</v>
      </c>
      <c r="C320" t="s">
        <v>1437</v>
      </c>
      <c r="D320" t="s">
        <v>499</v>
      </c>
      <c r="E320" t="s">
        <v>112</v>
      </c>
      <c r="F320" t="s">
        <v>199</v>
      </c>
      <c r="G320" t="b">
        <f t="shared" si="4"/>
        <v>1</v>
      </c>
      <c r="H320" t="e">
        <f>VLOOKUP(A320,ID_Lookup!$A:$A,1,FALSE)</f>
        <v>#N/A</v>
      </c>
    </row>
    <row r="321" spans="1:8" hidden="1" x14ac:dyDescent="0.35">
      <c r="A321" t="s">
        <v>1438</v>
      </c>
      <c r="B321">
        <v>2022</v>
      </c>
      <c r="C321" t="s">
        <v>1439</v>
      </c>
      <c r="D321" t="s">
        <v>1440</v>
      </c>
      <c r="E321" t="s">
        <v>112</v>
      </c>
      <c r="F321" t="s">
        <v>199</v>
      </c>
      <c r="G321" t="b">
        <f t="shared" si="4"/>
        <v>1</v>
      </c>
      <c r="H321" t="e">
        <f>VLOOKUP(A321,ID_Lookup!$A:$A,1,FALSE)</f>
        <v>#N/A</v>
      </c>
    </row>
    <row r="322" spans="1:8" hidden="1" x14ac:dyDescent="0.35">
      <c r="A322" t="s">
        <v>1441</v>
      </c>
      <c r="B322">
        <v>2022</v>
      </c>
      <c r="C322" t="s">
        <v>1442</v>
      </c>
      <c r="D322" t="s">
        <v>1443</v>
      </c>
      <c r="E322" t="s">
        <v>112</v>
      </c>
      <c r="F322" t="s">
        <v>199</v>
      </c>
      <c r="G322" t="b">
        <f t="shared" si="4"/>
        <v>1</v>
      </c>
      <c r="H322" t="e">
        <f>VLOOKUP(A322,ID_Lookup!$A:$A,1,FALSE)</f>
        <v>#N/A</v>
      </c>
    </row>
    <row r="323" spans="1:8" x14ac:dyDescent="0.35">
      <c r="A323" t="s">
        <v>1151</v>
      </c>
      <c r="B323">
        <v>2022</v>
      </c>
      <c r="C323" t="s">
        <v>1444</v>
      </c>
      <c r="D323" t="s">
        <v>1445</v>
      </c>
      <c r="E323" t="s">
        <v>112</v>
      </c>
      <c r="F323" t="s">
        <v>199</v>
      </c>
      <c r="G323" t="b">
        <f t="shared" ref="G323:G362" si="5">IF(E323="Include", TRUE, FALSE)</f>
        <v>1</v>
      </c>
      <c r="H323" t="str">
        <f>VLOOKUP(A323,ID_Lookup!$A:$A,1,FALSE)</f>
        <v>J3605</v>
      </c>
    </row>
    <row r="324" spans="1:8" x14ac:dyDescent="0.35">
      <c r="A324" t="s">
        <v>1154</v>
      </c>
      <c r="B324">
        <v>2022</v>
      </c>
      <c r="C324" t="s">
        <v>1155</v>
      </c>
      <c r="D324" t="s">
        <v>1446</v>
      </c>
      <c r="E324" t="s">
        <v>112</v>
      </c>
      <c r="F324" t="s">
        <v>199</v>
      </c>
      <c r="G324" t="b">
        <f t="shared" si="5"/>
        <v>1</v>
      </c>
      <c r="H324" t="str">
        <f>VLOOKUP(A324,ID_Lookup!$A:$A,1,FALSE)</f>
        <v>J3606</v>
      </c>
    </row>
    <row r="325" spans="1:8" x14ac:dyDescent="0.35">
      <c r="A325" t="s">
        <v>1157</v>
      </c>
      <c r="B325">
        <v>2022</v>
      </c>
      <c r="C325" t="s">
        <v>1158</v>
      </c>
      <c r="D325" t="s">
        <v>1137</v>
      </c>
      <c r="E325" t="s">
        <v>112</v>
      </c>
      <c r="F325" t="s">
        <v>199</v>
      </c>
      <c r="G325" t="b">
        <f t="shared" si="5"/>
        <v>1</v>
      </c>
      <c r="H325" t="str">
        <f>VLOOKUP(A325,ID_Lookup!$A:$A,1,FALSE)</f>
        <v>J3607</v>
      </c>
    </row>
    <row r="326" spans="1:8" x14ac:dyDescent="0.35">
      <c r="A326" t="s">
        <v>1160</v>
      </c>
      <c r="B326">
        <v>2022</v>
      </c>
      <c r="C326" t="s">
        <v>1161</v>
      </c>
      <c r="D326" t="s">
        <v>1447</v>
      </c>
      <c r="E326" t="s">
        <v>112</v>
      </c>
      <c r="F326" t="s">
        <v>199</v>
      </c>
      <c r="G326" t="b">
        <f t="shared" si="5"/>
        <v>1</v>
      </c>
      <c r="H326" t="str">
        <f>VLOOKUP(A326,ID_Lookup!$A:$A,1,FALSE)</f>
        <v>J3608</v>
      </c>
    </row>
    <row r="327" spans="1:8" x14ac:dyDescent="0.35">
      <c r="A327" t="s">
        <v>1164</v>
      </c>
      <c r="B327">
        <v>2022</v>
      </c>
      <c r="C327" t="s">
        <v>1165</v>
      </c>
      <c r="D327" t="s">
        <v>1448</v>
      </c>
      <c r="E327" t="s">
        <v>112</v>
      </c>
      <c r="F327" t="s">
        <v>199</v>
      </c>
      <c r="G327" t="b">
        <f t="shared" si="5"/>
        <v>1</v>
      </c>
      <c r="H327" t="str">
        <f>VLOOKUP(A327,ID_Lookup!$A:$A,1,FALSE)</f>
        <v>J3609</v>
      </c>
    </row>
    <row r="328" spans="1:8" x14ac:dyDescent="0.35">
      <c r="A328" t="s">
        <v>1167</v>
      </c>
      <c r="B328">
        <v>2022</v>
      </c>
      <c r="C328" t="s">
        <v>1168</v>
      </c>
      <c r="D328" t="s">
        <v>1169</v>
      </c>
      <c r="E328" t="s">
        <v>112</v>
      </c>
      <c r="F328" t="s">
        <v>199</v>
      </c>
      <c r="G328" t="b">
        <f t="shared" si="5"/>
        <v>1</v>
      </c>
      <c r="H328" t="str">
        <f>VLOOKUP(A328,ID_Lookup!$A:$A,1,FALSE)</f>
        <v>J3610</v>
      </c>
    </row>
    <row r="329" spans="1:8" x14ac:dyDescent="0.35">
      <c r="A329" t="s">
        <v>1171</v>
      </c>
      <c r="B329">
        <v>2022</v>
      </c>
      <c r="C329" t="s">
        <v>1172</v>
      </c>
      <c r="D329" t="s">
        <v>1449</v>
      </c>
      <c r="E329" t="s">
        <v>173</v>
      </c>
      <c r="F329" t="s">
        <v>192</v>
      </c>
      <c r="G329" t="b">
        <f t="shared" si="5"/>
        <v>0</v>
      </c>
      <c r="H329" t="str">
        <f>VLOOKUP(A329,ID_Lookup!$A:$A,1,FALSE)</f>
        <v>J3611</v>
      </c>
    </row>
    <row r="330" spans="1:8" x14ac:dyDescent="0.35">
      <c r="A330" t="s">
        <v>1174</v>
      </c>
      <c r="B330">
        <v>2022</v>
      </c>
      <c r="C330" t="s">
        <v>1175</v>
      </c>
      <c r="D330" t="s">
        <v>1176</v>
      </c>
      <c r="E330" t="s">
        <v>173</v>
      </c>
      <c r="F330" t="s">
        <v>1482</v>
      </c>
      <c r="G330" t="b">
        <f t="shared" si="5"/>
        <v>0</v>
      </c>
      <c r="H330" t="str">
        <f>VLOOKUP(A330,ID_Lookup!$A:$A,1,FALSE)</f>
        <v>J3612</v>
      </c>
    </row>
    <row r="331" spans="1:8" x14ac:dyDescent="0.35">
      <c r="A331" t="s">
        <v>1177</v>
      </c>
      <c r="B331">
        <v>2022</v>
      </c>
      <c r="C331" t="s">
        <v>1178</v>
      </c>
      <c r="D331" t="s">
        <v>1179</v>
      </c>
      <c r="E331" t="s">
        <v>112</v>
      </c>
      <c r="F331" t="s">
        <v>199</v>
      </c>
      <c r="G331" t="b">
        <f t="shared" si="5"/>
        <v>1</v>
      </c>
      <c r="H331" t="str">
        <f>VLOOKUP(A331,ID_Lookup!$A:$A,1,FALSE)</f>
        <v>J3613</v>
      </c>
    </row>
    <row r="332" spans="1:8" x14ac:dyDescent="0.35">
      <c r="A332" t="s">
        <v>1180</v>
      </c>
      <c r="B332">
        <v>2022</v>
      </c>
      <c r="C332" t="s">
        <v>1181</v>
      </c>
      <c r="D332" t="s">
        <v>1450</v>
      </c>
      <c r="E332" t="s">
        <v>112</v>
      </c>
      <c r="F332" t="s">
        <v>199</v>
      </c>
      <c r="G332" t="b">
        <f t="shared" si="5"/>
        <v>1</v>
      </c>
      <c r="H332" t="str">
        <f>VLOOKUP(A332,ID_Lookup!$A:$A,1,FALSE)</f>
        <v>J3614</v>
      </c>
    </row>
    <row r="333" spans="1:8" x14ac:dyDescent="0.35">
      <c r="A333" t="s">
        <v>1184</v>
      </c>
      <c r="B333">
        <v>2022</v>
      </c>
      <c r="C333" t="s">
        <v>1185</v>
      </c>
      <c r="D333" t="s">
        <v>1451</v>
      </c>
      <c r="E333" t="s">
        <v>173</v>
      </c>
      <c r="F333" t="s">
        <v>192</v>
      </c>
      <c r="G333" t="b">
        <f t="shared" si="5"/>
        <v>0</v>
      </c>
      <c r="H333" t="str">
        <f>VLOOKUP(A333,ID_Lookup!$A:$A,1,FALSE)</f>
        <v>J3615</v>
      </c>
    </row>
    <row r="334" spans="1:8" x14ac:dyDescent="0.35">
      <c r="A334" t="s">
        <v>1187</v>
      </c>
      <c r="B334">
        <v>2022</v>
      </c>
      <c r="C334" t="s">
        <v>1188</v>
      </c>
      <c r="D334" t="s">
        <v>1452</v>
      </c>
      <c r="E334" t="s">
        <v>112</v>
      </c>
      <c r="F334" t="s">
        <v>199</v>
      </c>
      <c r="G334" t="b">
        <f t="shared" si="5"/>
        <v>1</v>
      </c>
      <c r="H334" t="str">
        <f>VLOOKUP(A334,ID_Lookup!$A:$A,1,FALSE)</f>
        <v>J3616</v>
      </c>
    </row>
    <row r="335" spans="1:8" hidden="1" x14ac:dyDescent="0.35">
      <c r="A335" t="s">
        <v>1453</v>
      </c>
      <c r="B335">
        <v>2022</v>
      </c>
      <c r="C335" t="s">
        <v>1454</v>
      </c>
      <c r="D335" t="s">
        <v>1455</v>
      </c>
      <c r="E335" t="s">
        <v>112</v>
      </c>
      <c r="F335" t="s">
        <v>199</v>
      </c>
      <c r="G335" t="b">
        <f t="shared" si="5"/>
        <v>1</v>
      </c>
      <c r="H335" t="e">
        <f>VLOOKUP(A335,ID_Lookup!$A:$A,1,FALSE)</f>
        <v>#N/A</v>
      </c>
    </row>
    <row r="336" spans="1:8" x14ac:dyDescent="0.35">
      <c r="A336" t="s">
        <v>1190</v>
      </c>
      <c r="B336">
        <v>2022</v>
      </c>
      <c r="C336" s="10" t="s">
        <v>1456</v>
      </c>
      <c r="D336" t="s">
        <v>1192</v>
      </c>
      <c r="E336" t="s">
        <v>112</v>
      </c>
      <c r="F336" t="s">
        <v>199</v>
      </c>
      <c r="G336" t="b">
        <f t="shared" si="5"/>
        <v>1</v>
      </c>
      <c r="H336" t="str">
        <f>VLOOKUP(A336,ID_Lookup!$A:$A,1,FALSE)</f>
        <v>J3618</v>
      </c>
    </row>
    <row r="337" spans="1:8" ht="409.5" x14ac:dyDescent="0.35">
      <c r="A337" t="s">
        <v>1193</v>
      </c>
      <c r="B337">
        <v>2022</v>
      </c>
      <c r="C337" t="s">
        <v>1194</v>
      </c>
      <c r="D337" s="1" t="s">
        <v>1195</v>
      </c>
      <c r="E337" t="s">
        <v>112</v>
      </c>
      <c r="F337" t="s">
        <v>199</v>
      </c>
      <c r="G337" t="b">
        <f t="shared" si="5"/>
        <v>1</v>
      </c>
      <c r="H337" t="str">
        <f>VLOOKUP(A337,ID_Lookup!$A:$A,1,FALSE)</f>
        <v>J3619</v>
      </c>
    </row>
    <row r="338" spans="1:8" x14ac:dyDescent="0.35">
      <c r="A338" s="7" t="s">
        <v>1197</v>
      </c>
      <c r="B338" s="7">
        <v>2022</v>
      </c>
      <c r="C338" s="7" t="s">
        <v>1194</v>
      </c>
      <c r="D338" s="7" t="s">
        <v>499</v>
      </c>
      <c r="E338" s="7" t="s">
        <v>112</v>
      </c>
      <c r="F338" s="7"/>
      <c r="G338" t="b">
        <f t="shared" si="5"/>
        <v>1</v>
      </c>
      <c r="H338" t="str">
        <f>VLOOKUP(A338,ID_Lookup!$A:$A,1,FALSE)</f>
        <v>J3620</v>
      </c>
    </row>
    <row r="339" spans="1:8" x14ac:dyDescent="0.35">
      <c r="A339" t="s">
        <v>1199</v>
      </c>
      <c r="B339">
        <v>2022</v>
      </c>
      <c r="C339" t="s">
        <v>1200</v>
      </c>
      <c r="D339" t="s">
        <v>1201</v>
      </c>
      <c r="E339" t="s">
        <v>112</v>
      </c>
      <c r="F339" t="s">
        <v>199</v>
      </c>
      <c r="G339" t="b">
        <f t="shared" si="5"/>
        <v>1</v>
      </c>
      <c r="H339" t="str">
        <f>VLOOKUP(A339,ID_Lookup!$A:$A,1,FALSE)</f>
        <v>J3621</v>
      </c>
    </row>
    <row r="340" spans="1:8" ht="409.5" x14ac:dyDescent="0.35">
      <c r="A340" t="s">
        <v>1202</v>
      </c>
      <c r="B340">
        <v>2022</v>
      </c>
      <c r="C340" t="s">
        <v>1203</v>
      </c>
      <c r="D340" s="1" t="s">
        <v>1204</v>
      </c>
      <c r="E340" t="s">
        <v>112</v>
      </c>
      <c r="F340" t="s">
        <v>199</v>
      </c>
      <c r="G340" t="b">
        <f t="shared" si="5"/>
        <v>1</v>
      </c>
      <c r="H340" t="str">
        <f>VLOOKUP(A340,ID_Lookup!$A:$A,1,FALSE)</f>
        <v>J3622</v>
      </c>
    </row>
    <row r="341" spans="1:8" x14ac:dyDescent="0.35">
      <c r="A341" t="s">
        <v>1206</v>
      </c>
      <c r="B341">
        <v>2022</v>
      </c>
      <c r="C341" t="s">
        <v>1207</v>
      </c>
      <c r="D341" t="s">
        <v>1208</v>
      </c>
      <c r="E341" t="s">
        <v>112</v>
      </c>
      <c r="F341" t="s">
        <v>199</v>
      </c>
      <c r="G341" t="b">
        <f t="shared" si="5"/>
        <v>1</v>
      </c>
      <c r="H341" t="str">
        <f>VLOOKUP(A341,ID_Lookup!$A:$A,1,FALSE)</f>
        <v>J3623</v>
      </c>
    </row>
    <row r="342" spans="1:8" x14ac:dyDescent="0.35">
      <c r="A342" t="s">
        <v>1209</v>
      </c>
      <c r="B342">
        <v>2022</v>
      </c>
      <c r="C342" t="s">
        <v>1210</v>
      </c>
      <c r="D342" t="s">
        <v>1211</v>
      </c>
      <c r="E342" t="s">
        <v>112</v>
      </c>
      <c r="F342" t="s">
        <v>199</v>
      </c>
      <c r="G342" t="b">
        <f t="shared" si="5"/>
        <v>1</v>
      </c>
      <c r="H342" t="str">
        <f>VLOOKUP(A342,ID_Lookup!$A:$A,1,FALSE)</f>
        <v>J3624</v>
      </c>
    </row>
    <row r="343" spans="1:8" x14ac:dyDescent="0.35">
      <c r="A343" t="s">
        <v>1212</v>
      </c>
      <c r="B343">
        <v>2022</v>
      </c>
      <c r="C343" t="s">
        <v>1213</v>
      </c>
      <c r="D343" t="s">
        <v>1457</v>
      </c>
      <c r="E343" t="s">
        <v>112</v>
      </c>
      <c r="F343" t="s">
        <v>199</v>
      </c>
      <c r="G343" t="b">
        <f t="shared" si="5"/>
        <v>1</v>
      </c>
      <c r="H343" t="str">
        <f>VLOOKUP(A343,ID_Lookup!$A:$A,1,FALSE)</f>
        <v>J3625</v>
      </c>
    </row>
    <row r="344" spans="1:8" x14ac:dyDescent="0.35">
      <c r="A344" t="s">
        <v>1216</v>
      </c>
      <c r="B344">
        <v>2022</v>
      </c>
      <c r="C344" t="s">
        <v>1217</v>
      </c>
      <c r="D344" t="s">
        <v>1458</v>
      </c>
      <c r="E344" t="s">
        <v>112</v>
      </c>
      <c r="F344" t="s">
        <v>199</v>
      </c>
      <c r="G344" t="b">
        <f t="shared" si="5"/>
        <v>1</v>
      </c>
      <c r="H344" t="str">
        <f>VLOOKUP(A344,ID_Lookup!$A:$A,1,FALSE)</f>
        <v>J3626</v>
      </c>
    </row>
    <row r="345" spans="1:8" x14ac:dyDescent="0.35">
      <c r="A345" t="s">
        <v>1220</v>
      </c>
      <c r="B345">
        <v>2022</v>
      </c>
      <c r="C345" t="s">
        <v>1221</v>
      </c>
      <c r="D345" t="s">
        <v>1222</v>
      </c>
      <c r="E345" t="s">
        <v>112</v>
      </c>
      <c r="F345" t="s">
        <v>199</v>
      </c>
      <c r="G345" t="b">
        <f t="shared" si="5"/>
        <v>1</v>
      </c>
      <c r="H345" t="str">
        <f>VLOOKUP(A345,ID_Lookup!$A:$A,1,FALSE)</f>
        <v>J3627</v>
      </c>
    </row>
    <row r="346" spans="1:8" x14ac:dyDescent="0.35">
      <c r="A346" t="s">
        <v>1223</v>
      </c>
      <c r="B346">
        <v>2022</v>
      </c>
      <c r="C346" t="s">
        <v>1224</v>
      </c>
      <c r="D346" t="s">
        <v>1459</v>
      </c>
      <c r="E346" t="s">
        <v>112</v>
      </c>
      <c r="F346" t="s">
        <v>199</v>
      </c>
      <c r="G346" t="b">
        <f t="shared" si="5"/>
        <v>1</v>
      </c>
      <c r="H346" t="str">
        <f>VLOOKUP(A346,ID_Lookup!$A:$A,1,FALSE)</f>
        <v>J3628</v>
      </c>
    </row>
    <row r="347" spans="1:8" x14ac:dyDescent="0.35">
      <c r="A347" t="s">
        <v>1227</v>
      </c>
      <c r="B347">
        <v>2022</v>
      </c>
      <c r="C347" t="s">
        <v>1228</v>
      </c>
      <c r="D347" t="s">
        <v>1229</v>
      </c>
      <c r="E347" t="s">
        <v>112</v>
      </c>
      <c r="F347" t="s">
        <v>199</v>
      </c>
      <c r="G347" t="b">
        <f t="shared" si="5"/>
        <v>1</v>
      </c>
      <c r="H347" t="str">
        <f>VLOOKUP(A347,ID_Lookup!$A:$A,1,FALSE)</f>
        <v>J3629</v>
      </c>
    </row>
    <row r="348" spans="1:8" x14ac:dyDescent="0.35">
      <c r="A348" t="s">
        <v>1230</v>
      </c>
      <c r="B348">
        <v>2022</v>
      </c>
      <c r="C348" t="s">
        <v>1231</v>
      </c>
      <c r="D348" t="s">
        <v>1460</v>
      </c>
      <c r="E348" t="s">
        <v>112</v>
      </c>
      <c r="F348" t="s">
        <v>199</v>
      </c>
      <c r="G348" t="b">
        <f t="shared" si="5"/>
        <v>1</v>
      </c>
      <c r="H348" t="str">
        <f>VLOOKUP(A348,ID_Lookup!$A:$A,1,FALSE)</f>
        <v>J3630</v>
      </c>
    </row>
    <row r="349" spans="1:8" hidden="1" x14ac:dyDescent="0.35">
      <c r="A349" t="s">
        <v>1461</v>
      </c>
      <c r="B349">
        <v>2022</v>
      </c>
      <c r="C349" t="s">
        <v>1462</v>
      </c>
      <c r="D349" t="s">
        <v>1463</v>
      </c>
      <c r="E349" t="s">
        <v>112</v>
      </c>
      <c r="F349" t="s">
        <v>199</v>
      </c>
      <c r="G349" t="b">
        <f t="shared" si="5"/>
        <v>1</v>
      </c>
      <c r="H349" t="e">
        <f>VLOOKUP(A349,ID_Lookup!$A:$A,1,FALSE)</f>
        <v>#N/A</v>
      </c>
    </row>
    <row r="350" spans="1:8" x14ac:dyDescent="0.35">
      <c r="A350" t="s">
        <v>1234</v>
      </c>
      <c r="B350">
        <v>2022</v>
      </c>
      <c r="C350" t="s">
        <v>1235</v>
      </c>
      <c r="D350" t="s">
        <v>1464</v>
      </c>
      <c r="E350" t="s">
        <v>173</v>
      </c>
      <c r="F350" t="s">
        <v>192</v>
      </c>
      <c r="G350" t="b">
        <f t="shared" si="5"/>
        <v>0</v>
      </c>
      <c r="H350" t="str">
        <f>VLOOKUP(A350,ID_Lookup!$A:$A,1,FALSE)</f>
        <v>J3632</v>
      </c>
    </row>
    <row r="351" spans="1:8" x14ac:dyDescent="0.35">
      <c r="A351" t="s">
        <v>1237</v>
      </c>
      <c r="B351">
        <v>2022</v>
      </c>
      <c r="C351" t="s">
        <v>1238</v>
      </c>
      <c r="D351" t="s">
        <v>499</v>
      </c>
      <c r="E351" t="s">
        <v>173</v>
      </c>
      <c r="F351" t="s">
        <v>192</v>
      </c>
      <c r="G351" t="b">
        <f t="shared" si="5"/>
        <v>0</v>
      </c>
      <c r="H351" t="str">
        <f>VLOOKUP(A351,ID_Lookup!$A:$A,1,FALSE)</f>
        <v>J3633</v>
      </c>
    </row>
    <row r="352" spans="1:8" hidden="1" x14ac:dyDescent="0.35">
      <c r="A352" t="s">
        <v>1465</v>
      </c>
      <c r="B352">
        <v>2022</v>
      </c>
      <c r="C352" t="s">
        <v>1466</v>
      </c>
      <c r="D352" t="s">
        <v>1467</v>
      </c>
      <c r="E352" t="s">
        <v>112</v>
      </c>
      <c r="F352" t="s">
        <v>199</v>
      </c>
      <c r="G352" t="b">
        <f t="shared" si="5"/>
        <v>1</v>
      </c>
      <c r="H352" t="e">
        <f>VLOOKUP(A352,ID_Lookup!$A:$A,1,FALSE)</f>
        <v>#N/A</v>
      </c>
    </row>
    <row r="353" spans="1:8" hidden="1" x14ac:dyDescent="0.35">
      <c r="A353" t="s">
        <v>1468</v>
      </c>
      <c r="B353">
        <v>2022</v>
      </c>
      <c r="C353" t="s">
        <v>1469</v>
      </c>
      <c r="D353" t="s">
        <v>1470</v>
      </c>
      <c r="E353" t="s">
        <v>112</v>
      </c>
      <c r="F353" t="s">
        <v>199</v>
      </c>
      <c r="G353" t="b">
        <f t="shared" si="5"/>
        <v>1</v>
      </c>
      <c r="H353" t="e">
        <f>VLOOKUP(A353,ID_Lookup!$A:$A,1,FALSE)</f>
        <v>#N/A</v>
      </c>
    </row>
    <row r="354" spans="1:8" x14ac:dyDescent="0.35">
      <c r="A354" t="s">
        <v>1239</v>
      </c>
      <c r="B354">
        <v>2022</v>
      </c>
      <c r="C354" t="s">
        <v>1240</v>
      </c>
      <c r="D354" t="s">
        <v>1471</v>
      </c>
      <c r="E354" t="s">
        <v>112</v>
      </c>
      <c r="F354" t="s">
        <v>199</v>
      </c>
      <c r="G354" t="b">
        <f t="shared" si="5"/>
        <v>1</v>
      </c>
      <c r="H354" t="str">
        <f>VLOOKUP(A354,ID_Lookup!$A:$A,1,FALSE)</f>
        <v>J3636</v>
      </c>
    </row>
    <row r="355" spans="1:8" x14ac:dyDescent="0.35">
      <c r="A355" t="s">
        <v>1243</v>
      </c>
      <c r="B355">
        <v>2022</v>
      </c>
      <c r="C355" t="s">
        <v>1244</v>
      </c>
      <c r="D355" t="s">
        <v>1472</v>
      </c>
      <c r="E355" t="s">
        <v>112</v>
      </c>
      <c r="F355" t="s">
        <v>199</v>
      </c>
      <c r="G355" t="b">
        <f t="shared" si="5"/>
        <v>1</v>
      </c>
      <c r="H355" t="str">
        <f>VLOOKUP(A355,ID_Lookup!$A:$A,1,FALSE)</f>
        <v>J3637</v>
      </c>
    </row>
    <row r="356" spans="1:8" x14ac:dyDescent="0.35">
      <c r="A356" t="s">
        <v>1247</v>
      </c>
      <c r="B356">
        <v>2022</v>
      </c>
      <c r="C356" t="s">
        <v>1248</v>
      </c>
      <c r="D356" t="s">
        <v>1473</v>
      </c>
      <c r="E356" t="s">
        <v>112</v>
      </c>
      <c r="F356" t="s">
        <v>199</v>
      </c>
      <c r="G356" t="b">
        <f t="shared" si="5"/>
        <v>1</v>
      </c>
      <c r="H356" t="str">
        <f>VLOOKUP(A356,ID_Lookup!$A:$A,1,FALSE)</f>
        <v>J3638</v>
      </c>
    </row>
    <row r="357" spans="1:8" x14ac:dyDescent="0.35">
      <c r="A357" s="7" t="s">
        <v>1251</v>
      </c>
      <c r="B357" s="7">
        <v>2022</v>
      </c>
      <c r="C357" s="7" t="s">
        <v>1252</v>
      </c>
      <c r="D357" s="11" t="s">
        <v>1474</v>
      </c>
      <c r="E357" s="7" t="s">
        <v>112</v>
      </c>
      <c r="F357" s="7"/>
      <c r="G357" t="b">
        <f t="shared" si="5"/>
        <v>1</v>
      </c>
      <c r="H357" t="str">
        <f>VLOOKUP(A357,ID_Lookup!$A:$A,1,FALSE)</f>
        <v>J3639</v>
      </c>
    </row>
    <row r="358" spans="1:8" x14ac:dyDescent="0.35">
      <c r="A358" t="s">
        <v>1253</v>
      </c>
      <c r="B358">
        <v>2022</v>
      </c>
      <c r="C358" t="s">
        <v>1254</v>
      </c>
      <c r="D358" t="s">
        <v>1255</v>
      </c>
      <c r="E358" t="s">
        <v>112</v>
      </c>
      <c r="F358" t="s">
        <v>199</v>
      </c>
      <c r="G358" t="b">
        <f t="shared" si="5"/>
        <v>1</v>
      </c>
      <c r="H358" t="str">
        <f>VLOOKUP(A358,ID_Lookup!$A:$A,1,FALSE)</f>
        <v>J3640</v>
      </c>
    </row>
    <row r="359" spans="1:8" x14ac:dyDescent="0.35">
      <c r="A359" s="7" t="s">
        <v>1257</v>
      </c>
      <c r="B359" s="7">
        <v>2022</v>
      </c>
      <c r="C359" s="7" t="s">
        <v>1254</v>
      </c>
      <c r="D359" s="7" t="s">
        <v>1255</v>
      </c>
      <c r="E359" s="7" t="s">
        <v>112</v>
      </c>
      <c r="F359" s="7"/>
      <c r="G359" t="b">
        <f t="shared" si="5"/>
        <v>1</v>
      </c>
      <c r="H359" t="str">
        <f>VLOOKUP(A359,ID_Lookup!$A:$A,1,FALSE)</f>
        <v>J3641</v>
      </c>
    </row>
    <row r="360" spans="1:8" x14ac:dyDescent="0.35">
      <c r="A360" t="s">
        <v>1259</v>
      </c>
      <c r="B360">
        <v>2022</v>
      </c>
      <c r="C360" t="s">
        <v>1260</v>
      </c>
      <c r="D360" t="s">
        <v>1475</v>
      </c>
      <c r="E360" t="s">
        <v>112</v>
      </c>
      <c r="F360" t="s">
        <v>199</v>
      </c>
      <c r="G360" t="b">
        <f t="shared" si="5"/>
        <v>1</v>
      </c>
      <c r="H360" t="str">
        <f>VLOOKUP(A360,ID_Lookup!$A:$A,1,FALSE)</f>
        <v>J3642</v>
      </c>
    </row>
    <row r="361" spans="1:8" x14ac:dyDescent="0.35">
      <c r="A361" t="s">
        <v>1262</v>
      </c>
      <c r="B361">
        <v>2022</v>
      </c>
      <c r="C361" t="s">
        <v>1476</v>
      </c>
      <c r="D361" t="s">
        <v>1477</v>
      </c>
      <c r="E361" t="s">
        <v>112</v>
      </c>
      <c r="F361" s="12" t="s">
        <v>199</v>
      </c>
      <c r="G361" t="b">
        <f t="shared" si="5"/>
        <v>1</v>
      </c>
      <c r="H361" t="str">
        <f>VLOOKUP(A361,ID_Lookup!$A:$A,1,FALSE)</f>
        <v>J3643</v>
      </c>
    </row>
    <row r="362" spans="1:8" hidden="1" x14ac:dyDescent="0.35">
      <c r="A362" t="s">
        <v>1478</v>
      </c>
      <c r="B362">
        <v>2022</v>
      </c>
      <c r="C362" t="s">
        <v>1479</v>
      </c>
      <c r="D362" t="s">
        <v>1480</v>
      </c>
      <c r="E362" t="s">
        <v>112</v>
      </c>
      <c r="F362" t="s">
        <v>199</v>
      </c>
      <c r="G362" t="b">
        <f t="shared" si="5"/>
        <v>1</v>
      </c>
      <c r="H362" t="e">
        <f>VLOOKUP(A362,ID_Lookup!$A:$A,1,FALSE)</f>
        <v>#N/A</v>
      </c>
    </row>
  </sheetData>
  <autoFilter ref="A1:H362" xr:uid="{5D3E4052-2545-45A0-857B-B79114EE9774}">
    <filterColumn colId="7">
      <filters>
        <filter val="J1785"/>
        <filter val="J1787"/>
        <filter val="J1788"/>
        <filter val="J1789"/>
        <filter val="J1792"/>
        <filter val="J1793"/>
        <filter val="J1794"/>
        <filter val="J1795"/>
        <filter val="J1796"/>
        <filter val="J1800"/>
        <filter val="J1801"/>
        <filter val="J1803"/>
        <filter val="J1804"/>
        <filter val="J1806"/>
        <filter val="J1807"/>
        <filter val="J1809"/>
        <filter val="J1810"/>
        <filter val="J1811"/>
        <filter val="J2830"/>
        <filter val="J2832"/>
        <filter val="J2833"/>
        <filter val="J2834"/>
        <filter val="J2835"/>
        <filter val="J2836"/>
        <filter val="J2840"/>
        <filter val="J2841"/>
        <filter val="J2842"/>
        <filter val="J2843"/>
        <filter val="J2844"/>
        <filter val="J2845"/>
        <filter val="J2846"/>
        <filter val="J2847"/>
        <filter val="J2848"/>
        <filter val="J2849"/>
        <filter val="J2850"/>
        <filter val="J2851"/>
        <filter val="J2852"/>
        <filter val="J2853"/>
        <filter val="J2854"/>
        <filter val="J2855"/>
        <filter val="J2856"/>
        <filter val="J2857"/>
        <filter val="J2858"/>
        <filter val="J2861"/>
        <filter val="J2862"/>
        <filter val="J2863"/>
        <filter val="J2864"/>
        <filter val="J2865"/>
        <filter val="J2866"/>
        <filter val="J2867"/>
        <filter val="J2868"/>
        <filter val="J2869"/>
        <filter val="J2870"/>
        <filter val="J2871"/>
        <filter val="J2872"/>
        <filter val="J2873"/>
        <filter val="J2874"/>
        <filter val="J2876"/>
        <filter val="J2877"/>
        <filter val="J2878"/>
        <filter val="J2879"/>
        <filter val="J2880"/>
        <filter val="J2881"/>
        <filter val="J2882"/>
        <filter val="J2883"/>
        <filter val="J2884"/>
        <filter val="J2885"/>
        <filter val="J2886"/>
        <filter val="J2887"/>
        <filter val="J2888"/>
        <filter val="J2889"/>
        <filter val="J2890"/>
        <filter val="J2891"/>
        <filter val="J2892"/>
        <filter val="J2893"/>
        <filter val="J2894"/>
        <filter val="J2895"/>
        <filter val="J2896"/>
        <filter val="J2897"/>
        <filter val="J2898"/>
        <filter val="J2899"/>
        <filter val="J2902"/>
        <filter val="J2904"/>
        <filter val="J2905"/>
        <filter val="J2906"/>
        <filter val="J2907"/>
        <filter val="J2908"/>
        <filter val="J2909"/>
        <filter val="J2910"/>
        <filter val="J3595"/>
        <filter val="J3596"/>
        <filter val="J3599"/>
        <filter val="J3605"/>
        <filter val="J3606"/>
        <filter val="J3607"/>
        <filter val="J3608"/>
        <filter val="J3609"/>
        <filter val="J3610"/>
        <filter val="J3611"/>
        <filter val="J3612"/>
        <filter val="J3613"/>
        <filter val="J3614"/>
        <filter val="J3615"/>
        <filter val="J3616"/>
        <filter val="J3618"/>
        <filter val="J3619"/>
        <filter val="J3620"/>
        <filter val="J3621"/>
        <filter val="J3622"/>
        <filter val="J3623"/>
        <filter val="J3624"/>
        <filter val="J3625"/>
        <filter val="J3626"/>
        <filter val="J3627"/>
        <filter val="J3628"/>
        <filter val="J3629"/>
        <filter val="J3630"/>
        <filter val="J3632"/>
        <filter val="J3633"/>
        <filter val="J3636"/>
        <filter val="J3637"/>
        <filter val="J3638"/>
        <filter val="J3639"/>
        <filter val="J3640"/>
        <filter val="J3641"/>
        <filter val="J3642"/>
        <filter val="J3643"/>
        <filter val="J502"/>
        <filter val="J503"/>
        <filter val="J504"/>
        <filter val="J505"/>
        <filter val="J506"/>
        <filter val="J508"/>
        <filter val="J509"/>
        <filter val="J510"/>
        <filter val="J511"/>
        <filter val="J512"/>
        <filter val="J513"/>
        <filter val="J514"/>
        <filter val="J515"/>
        <filter val="J520"/>
        <filter val="J521"/>
        <filter val="J522"/>
        <filter val="J523"/>
        <filter val="J524"/>
        <filter val="J527"/>
        <filter val="J529"/>
        <filter val="J530"/>
        <filter val="J532"/>
        <filter val="J533"/>
        <filter val="J534"/>
        <filter val="J535"/>
        <filter val="J536"/>
        <filter val="J537"/>
        <filter val="J540"/>
        <filter val="J541"/>
        <filter val="J543"/>
        <filter val="J544"/>
        <filter val="J545"/>
        <filter val="J546"/>
        <filter val="J547"/>
        <filter val="J549"/>
        <filter val="J550"/>
        <filter val="J551"/>
        <filter val="J552"/>
        <filter val="J554"/>
        <filter val="J555"/>
        <filter val="J556"/>
        <filter val="J557"/>
        <filter val="J558"/>
        <filter val="J559"/>
        <filter val="J561"/>
        <filter val="J562"/>
        <filter val="J563"/>
        <filter val="J565"/>
        <filter val="J566"/>
        <filter val="J567"/>
        <filter val="J570"/>
        <filter val="J571"/>
        <filter val="J573"/>
        <filter val="J574"/>
        <filter val="J575"/>
        <filter val="J576"/>
        <filter val="J581"/>
        <filter val="J583"/>
        <filter val="J586"/>
        <filter val="J587"/>
        <filter val="J588"/>
        <filter val="J590"/>
        <filter val="J592"/>
        <filter val="J593"/>
        <filter val="J594"/>
        <filter val="J595"/>
        <filter val="J598"/>
        <filter val="J599"/>
        <filter val="J6200"/>
        <filter val="J6201"/>
        <filter val="J6202"/>
        <filter val="J6204"/>
        <filter val="J6205"/>
        <filter val="J6206"/>
        <filter val="J6207"/>
        <filter val="J6209"/>
        <filter val="J6210"/>
        <filter val="J6211"/>
        <filter val="J6212"/>
        <filter val="J6213"/>
        <filter val="J6217"/>
        <filter val="J6218"/>
        <filter val="J6219"/>
        <filter val="J6220"/>
        <filter val="J6221"/>
        <filter val="J6222"/>
        <filter val="J6223"/>
        <filter val="J6224"/>
        <filter val="J6225"/>
        <filter val="J6226"/>
        <filter val="J6228"/>
        <filter val="J6230"/>
        <filter val="J6233"/>
        <filter val="J6234"/>
        <filter val="J6235"/>
        <filter val="J6236"/>
        <filter val="J6237"/>
        <filter val="J6238"/>
        <filter val="J6239"/>
        <filter val="J6240"/>
        <filter val="J6241"/>
        <filter val="J6242"/>
        <filter val="J6243"/>
        <filter val="J6244"/>
        <filter val="J6245"/>
        <filter val="J6246"/>
        <filter val="J6247"/>
        <filter val="J6248"/>
        <filter val="J6249"/>
        <filter val="J6252"/>
        <filter val="J6254"/>
        <filter val="J6255"/>
        <filter val="J6256"/>
        <filter val="J6257"/>
        <filter val="J6259"/>
        <filter val="J6260"/>
        <filter val="J6261"/>
        <filter val="J6262"/>
        <filter val="J6263"/>
        <filter val="J6264"/>
        <filter val="J6265"/>
        <filter val="J6267"/>
        <filter val="J6268"/>
        <filter val="J6271"/>
        <filter val="J6272"/>
        <filter val="J6273"/>
        <filter val="J6275"/>
        <filter val="J6276"/>
        <filter val="J6277"/>
        <filter val="J6278"/>
        <filter val="J6279"/>
        <filter val="J6280"/>
        <filter val="J6281"/>
        <filter val="J6282"/>
        <filter val="J6284"/>
        <filter val="J6288"/>
        <filter val="J6289"/>
        <filter val="J6290"/>
        <filter val="J6293"/>
        <filter val="J6295"/>
        <filter val="J6296"/>
        <filter val="J6297"/>
        <filter val="J6299"/>
      </filters>
    </filterColumn>
  </autoFilter>
  <conditionalFormatting sqref="E1:E362 F50:F81 F83:F123 F125:F180 F182:F183 F185:F197 F199:F203 F205:F268 F270:F278 F280:F307 F309:F313 F315:F337 F339:F356 F358 F360 F362">
    <cfRule type="containsText" dxfId="3" priority="2" operator="containsText" text="Include">
      <formula>NOT(ISERROR(SEARCH("Include",E1)))</formula>
    </cfRule>
  </conditionalFormatting>
  <conditionalFormatting sqref="E1:E362 F50:F81 F83:F123 F125:F180 F182:F183 F185:F197 F199:F203 F205:F268 F270:F278 F280:F307 F309:F313 F315:F337 F339:F356 F358 F360 F362">
    <cfRule type="containsText" dxfId="2" priority="1" operator="containsText" text="Exclude">
      <formula>NOT(ISERROR(SEARCH("Exclude",E1)))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K271"/>
  <sheetViews>
    <sheetView workbookViewId="0">
      <selection activeCell="I1" sqref="I1:K1048485"/>
    </sheetView>
  </sheetViews>
  <sheetFormatPr defaultRowHeight="14.5" x14ac:dyDescent="0.35"/>
  <sheetData>
    <row r="1" spans="1:11" ht="15" thickBot="1" x14ac:dyDescent="0.4">
      <c r="A1" t="s">
        <v>0</v>
      </c>
      <c r="B1" t="s">
        <v>1</v>
      </c>
      <c r="C1" t="s">
        <v>2</v>
      </c>
      <c r="D1" t="s">
        <v>3</v>
      </c>
      <c r="E1" t="s">
        <v>176</v>
      </c>
      <c r="F1" t="s">
        <v>177</v>
      </c>
      <c r="G1" t="s">
        <v>178</v>
      </c>
      <c r="H1" t="s">
        <v>179</v>
      </c>
      <c r="I1" s="3" t="s">
        <v>109</v>
      </c>
      <c r="J1" s="4" t="s">
        <v>110</v>
      </c>
      <c r="K1" t="s">
        <v>175</v>
      </c>
    </row>
    <row r="2" spans="1:11" x14ac:dyDescent="0.35">
      <c r="A2" t="s">
        <v>8</v>
      </c>
      <c r="B2">
        <v>2019</v>
      </c>
      <c r="C2" t="s">
        <v>9</v>
      </c>
      <c r="D2" t="s">
        <v>180</v>
      </c>
      <c r="E2" t="b">
        <v>1</v>
      </c>
      <c r="F2" t="s">
        <v>769</v>
      </c>
      <c r="G2" t="s">
        <v>181</v>
      </c>
      <c r="H2">
        <v>0.9</v>
      </c>
      <c r="I2" t="s">
        <v>112</v>
      </c>
      <c r="J2" t="s">
        <v>199</v>
      </c>
      <c r="K2" t="b">
        <v>1</v>
      </c>
    </row>
    <row r="3" spans="1:11" x14ac:dyDescent="0.35">
      <c r="A3" t="s">
        <v>10</v>
      </c>
      <c r="B3">
        <v>2019</v>
      </c>
      <c r="C3" t="s">
        <v>11</v>
      </c>
      <c r="D3" t="s">
        <v>201</v>
      </c>
      <c r="E3" t="b">
        <v>1</v>
      </c>
      <c r="F3" t="s">
        <v>770</v>
      </c>
      <c r="G3" t="s">
        <v>181</v>
      </c>
      <c r="H3">
        <v>0.9</v>
      </c>
      <c r="I3" t="s">
        <v>112</v>
      </c>
      <c r="J3" t="s">
        <v>199</v>
      </c>
      <c r="K3" t="b">
        <v>1</v>
      </c>
    </row>
    <row r="4" spans="1:11" x14ac:dyDescent="0.35">
      <c r="A4" t="s">
        <v>12</v>
      </c>
      <c r="B4">
        <v>2019</v>
      </c>
      <c r="C4" t="s">
        <v>13</v>
      </c>
      <c r="D4" t="s">
        <v>182</v>
      </c>
      <c r="E4" t="b">
        <v>1</v>
      </c>
      <c r="F4" t="s">
        <v>678</v>
      </c>
      <c r="G4" t="s">
        <v>181</v>
      </c>
      <c r="H4">
        <v>0.9</v>
      </c>
      <c r="I4" t="s">
        <v>112</v>
      </c>
      <c r="J4" t="s">
        <v>199</v>
      </c>
      <c r="K4" t="b">
        <v>1</v>
      </c>
    </row>
    <row r="5" spans="1:11" x14ac:dyDescent="0.35">
      <c r="A5" t="s">
        <v>14</v>
      </c>
      <c r="B5">
        <v>2019</v>
      </c>
      <c r="C5" t="s">
        <v>15</v>
      </c>
      <c r="D5" t="s">
        <v>202</v>
      </c>
      <c r="E5" t="b">
        <v>1</v>
      </c>
      <c r="F5" t="s">
        <v>771</v>
      </c>
      <c r="G5" t="s">
        <v>205</v>
      </c>
      <c r="H5">
        <v>0.7</v>
      </c>
      <c r="I5" t="s">
        <v>112</v>
      </c>
      <c r="J5" t="s">
        <v>199</v>
      </c>
      <c r="K5" t="b">
        <v>1</v>
      </c>
    </row>
    <row r="6" spans="1:11" x14ac:dyDescent="0.35">
      <c r="A6" t="s">
        <v>16</v>
      </c>
      <c r="B6">
        <v>2019</v>
      </c>
      <c r="C6" t="s">
        <v>17</v>
      </c>
      <c r="D6" t="s">
        <v>204</v>
      </c>
      <c r="E6" t="b">
        <v>1</v>
      </c>
      <c r="F6" t="s">
        <v>771</v>
      </c>
      <c r="G6" t="s">
        <v>205</v>
      </c>
      <c r="H6">
        <v>0.6</v>
      </c>
      <c r="I6" t="s">
        <v>112</v>
      </c>
      <c r="J6" t="s">
        <v>199</v>
      </c>
      <c r="K6" t="b">
        <v>1</v>
      </c>
    </row>
    <row r="7" spans="1:11" x14ac:dyDescent="0.35">
      <c r="A7" t="s">
        <v>19</v>
      </c>
      <c r="B7">
        <v>2019</v>
      </c>
      <c r="C7" t="s">
        <v>20</v>
      </c>
      <c r="D7" t="s">
        <v>183</v>
      </c>
      <c r="E7" t="b">
        <v>1</v>
      </c>
      <c r="F7" t="s">
        <v>772</v>
      </c>
      <c r="G7" t="s">
        <v>181</v>
      </c>
      <c r="H7">
        <v>0.9</v>
      </c>
      <c r="I7" t="s">
        <v>112</v>
      </c>
      <c r="J7" t="s">
        <v>199</v>
      </c>
      <c r="K7" t="b">
        <v>1</v>
      </c>
    </row>
    <row r="8" spans="1:11" x14ac:dyDescent="0.35">
      <c r="A8" t="s">
        <v>21</v>
      </c>
      <c r="B8">
        <v>2019</v>
      </c>
      <c r="C8" t="s">
        <v>22</v>
      </c>
      <c r="D8" t="s">
        <v>184</v>
      </c>
      <c r="E8" t="b">
        <v>1</v>
      </c>
      <c r="F8" t="s">
        <v>773</v>
      </c>
      <c r="G8" t="s">
        <v>181</v>
      </c>
      <c r="H8">
        <v>0.9</v>
      </c>
      <c r="I8" t="s">
        <v>112</v>
      </c>
      <c r="J8" t="s">
        <v>199</v>
      </c>
      <c r="K8" t="b">
        <v>1</v>
      </c>
    </row>
    <row r="9" spans="1:11" x14ac:dyDescent="0.35">
      <c r="A9" t="s">
        <v>23</v>
      </c>
      <c r="B9">
        <v>2019</v>
      </c>
      <c r="C9" t="s">
        <v>206</v>
      </c>
      <c r="D9" t="s">
        <v>207</v>
      </c>
      <c r="E9" t="b">
        <v>1</v>
      </c>
      <c r="F9" t="s">
        <v>774</v>
      </c>
      <c r="G9" t="s">
        <v>181</v>
      </c>
      <c r="H9">
        <v>0.9</v>
      </c>
      <c r="I9" t="s">
        <v>112</v>
      </c>
      <c r="J9" t="s">
        <v>199</v>
      </c>
      <c r="K9" t="b">
        <v>1</v>
      </c>
    </row>
    <row r="10" spans="1:11" x14ac:dyDescent="0.35">
      <c r="A10" t="s">
        <v>24</v>
      </c>
      <c r="B10">
        <v>2019</v>
      </c>
      <c r="C10" t="s">
        <v>25</v>
      </c>
      <c r="D10" t="s">
        <v>26</v>
      </c>
      <c r="E10" t="b">
        <v>1</v>
      </c>
      <c r="F10" t="s">
        <v>775</v>
      </c>
      <c r="G10" t="s">
        <v>181</v>
      </c>
      <c r="H10">
        <v>0.9</v>
      </c>
      <c r="I10" t="s">
        <v>112</v>
      </c>
      <c r="J10" t="s">
        <v>199</v>
      </c>
      <c r="K10" t="b">
        <v>1</v>
      </c>
    </row>
    <row r="11" spans="1:11" x14ac:dyDescent="0.35">
      <c r="A11" t="s">
        <v>27</v>
      </c>
      <c r="B11">
        <v>2019</v>
      </c>
      <c r="C11" t="s">
        <v>28</v>
      </c>
      <c r="D11" t="s">
        <v>29</v>
      </c>
      <c r="E11" t="b">
        <v>1</v>
      </c>
      <c r="F11" t="s">
        <v>776</v>
      </c>
      <c r="G11" t="s">
        <v>181</v>
      </c>
      <c r="H11">
        <v>0.9</v>
      </c>
      <c r="I11" s="7" t="s">
        <v>112</v>
      </c>
      <c r="J11" s="7"/>
      <c r="K11" t="b">
        <v>1</v>
      </c>
    </row>
    <row r="12" spans="1:11" x14ac:dyDescent="0.35">
      <c r="A12" t="s">
        <v>30</v>
      </c>
      <c r="B12">
        <v>2019</v>
      </c>
      <c r="C12" t="s">
        <v>208</v>
      </c>
      <c r="D12" t="s">
        <v>209</v>
      </c>
      <c r="E12" t="b">
        <v>1</v>
      </c>
      <c r="F12" t="s">
        <v>677</v>
      </c>
      <c r="G12" t="s">
        <v>181</v>
      </c>
      <c r="H12">
        <v>0.9</v>
      </c>
      <c r="I12" t="s">
        <v>112</v>
      </c>
      <c r="J12" t="s">
        <v>199</v>
      </c>
      <c r="K12" t="b">
        <v>1</v>
      </c>
    </row>
    <row r="13" spans="1:11" x14ac:dyDescent="0.35">
      <c r="A13" t="s">
        <v>31</v>
      </c>
      <c r="B13">
        <v>2019</v>
      </c>
      <c r="C13" t="s">
        <v>185</v>
      </c>
      <c r="D13" t="s">
        <v>186</v>
      </c>
      <c r="E13" t="b">
        <v>1</v>
      </c>
      <c r="F13" t="s">
        <v>777</v>
      </c>
      <c r="G13" t="s">
        <v>181</v>
      </c>
      <c r="H13">
        <v>0.9</v>
      </c>
      <c r="I13" t="s">
        <v>112</v>
      </c>
      <c r="J13" t="s">
        <v>199</v>
      </c>
      <c r="K13" t="b">
        <v>1</v>
      </c>
    </row>
    <row r="14" spans="1:11" x14ac:dyDescent="0.35">
      <c r="A14" t="s">
        <v>32</v>
      </c>
      <c r="B14">
        <v>2019</v>
      </c>
      <c r="C14" t="s">
        <v>33</v>
      </c>
      <c r="D14" t="s">
        <v>187</v>
      </c>
      <c r="E14" t="b">
        <v>1</v>
      </c>
      <c r="F14" t="s">
        <v>778</v>
      </c>
      <c r="G14" t="s">
        <v>181</v>
      </c>
      <c r="H14">
        <v>0.9</v>
      </c>
      <c r="I14" t="s">
        <v>112</v>
      </c>
      <c r="J14" t="s">
        <v>199</v>
      </c>
      <c r="K14" t="b">
        <v>1</v>
      </c>
    </row>
    <row r="15" spans="1:11" x14ac:dyDescent="0.35">
      <c r="A15" t="s">
        <v>42</v>
      </c>
      <c r="B15">
        <v>2019</v>
      </c>
      <c r="C15" t="s">
        <v>43</v>
      </c>
      <c r="D15" t="s">
        <v>44</v>
      </c>
      <c r="E15" t="b">
        <v>1</v>
      </c>
      <c r="F15" t="s">
        <v>779</v>
      </c>
      <c r="G15" t="s">
        <v>181</v>
      </c>
      <c r="H15">
        <v>0.9</v>
      </c>
      <c r="I15" t="s">
        <v>112</v>
      </c>
      <c r="J15" t="s">
        <v>199</v>
      </c>
      <c r="K15" t="b">
        <v>1</v>
      </c>
    </row>
    <row r="16" spans="1:11" x14ac:dyDescent="0.35">
      <c r="A16" t="s">
        <v>45</v>
      </c>
      <c r="B16">
        <v>2019</v>
      </c>
      <c r="C16" t="s">
        <v>46</v>
      </c>
      <c r="D16" t="s">
        <v>188</v>
      </c>
      <c r="E16" t="b">
        <v>1</v>
      </c>
      <c r="F16" t="s">
        <v>780</v>
      </c>
      <c r="G16" t="s">
        <v>181</v>
      </c>
      <c r="H16">
        <v>0.9</v>
      </c>
      <c r="I16" t="s">
        <v>112</v>
      </c>
      <c r="J16" t="s">
        <v>199</v>
      </c>
      <c r="K16" t="b">
        <v>1</v>
      </c>
    </row>
    <row r="17" spans="1:11" x14ac:dyDescent="0.35">
      <c r="A17" t="s">
        <v>47</v>
      </c>
      <c r="B17">
        <v>2019</v>
      </c>
      <c r="C17" t="s">
        <v>48</v>
      </c>
      <c r="D17" t="s">
        <v>189</v>
      </c>
      <c r="E17" t="b">
        <v>1</v>
      </c>
      <c r="F17" t="s">
        <v>781</v>
      </c>
      <c r="G17" t="s">
        <v>181</v>
      </c>
      <c r="H17">
        <v>1</v>
      </c>
      <c r="I17" t="s">
        <v>112</v>
      </c>
      <c r="J17" t="s">
        <v>199</v>
      </c>
      <c r="K17" t="b">
        <v>1</v>
      </c>
    </row>
    <row r="18" spans="1:11" x14ac:dyDescent="0.35">
      <c r="A18" t="s">
        <v>49</v>
      </c>
      <c r="B18">
        <v>2019</v>
      </c>
      <c r="C18" t="s">
        <v>210</v>
      </c>
      <c r="D18" t="s">
        <v>211</v>
      </c>
      <c r="E18" t="b">
        <v>1</v>
      </c>
      <c r="F18" t="s">
        <v>773</v>
      </c>
      <c r="G18" t="s">
        <v>181</v>
      </c>
      <c r="H18">
        <v>0.9</v>
      </c>
      <c r="I18" t="s">
        <v>112</v>
      </c>
      <c r="J18" t="s">
        <v>199</v>
      </c>
      <c r="K18" t="b">
        <v>1</v>
      </c>
    </row>
    <row r="19" spans="1:11" x14ac:dyDescent="0.35">
      <c r="A19" t="s">
        <v>50</v>
      </c>
      <c r="B19">
        <v>2019</v>
      </c>
      <c r="C19" t="s">
        <v>212</v>
      </c>
      <c r="D19" t="s">
        <v>213</v>
      </c>
      <c r="E19" t="b">
        <v>1</v>
      </c>
      <c r="F19" t="s">
        <v>782</v>
      </c>
      <c r="G19" t="s">
        <v>181</v>
      </c>
      <c r="H19">
        <v>0.9</v>
      </c>
      <c r="I19" t="s">
        <v>112</v>
      </c>
      <c r="J19" t="s">
        <v>199</v>
      </c>
      <c r="K19" t="b">
        <v>1</v>
      </c>
    </row>
    <row r="20" spans="1:11" x14ac:dyDescent="0.35">
      <c r="A20" t="s">
        <v>57</v>
      </c>
      <c r="B20">
        <v>2019</v>
      </c>
      <c r="C20" t="s">
        <v>58</v>
      </c>
      <c r="D20" t="s">
        <v>214</v>
      </c>
      <c r="E20" t="b">
        <v>1</v>
      </c>
      <c r="F20" t="s">
        <v>783</v>
      </c>
      <c r="G20" t="s">
        <v>181</v>
      </c>
      <c r="H20">
        <v>0.9</v>
      </c>
      <c r="I20" t="s">
        <v>112</v>
      </c>
      <c r="J20" t="s">
        <v>199</v>
      </c>
      <c r="K20" t="b">
        <v>1</v>
      </c>
    </row>
    <row r="21" spans="1:11" x14ac:dyDescent="0.35">
      <c r="A21" t="s">
        <v>60</v>
      </c>
      <c r="B21">
        <v>2019</v>
      </c>
      <c r="C21" t="s">
        <v>61</v>
      </c>
      <c r="D21" t="s">
        <v>215</v>
      </c>
      <c r="E21" t="b">
        <v>1</v>
      </c>
      <c r="F21" t="s">
        <v>784</v>
      </c>
      <c r="G21" t="s">
        <v>181</v>
      </c>
      <c r="H21">
        <v>0.9</v>
      </c>
      <c r="I21" t="s">
        <v>112</v>
      </c>
      <c r="J21" t="s">
        <v>199</v>
      </c>
      <c r="K21" t="b">
        <v>1</v>
      </c>
    </row>
    <row r="22" spans="1:11" x14ac:dyDescent="0.35">
      <c r="A22" t="s">
        <v>62</v>
      </c>
      <c r="B22">
        <v>2019</v>
      </c>
      <c r="C22" t="s">
        <v>63</v>
      </c>
      <c r="D22" t="s">
        <v>216</v>
      </c>
      <c r="E22" t="b">
        <v>1</v>
      </c>
      <c r="F22" t="s">
        <v>785</v>
      </c>
      <c r="G22" t="s">
        <v>181</v>
      </c>
      <c r="H22">
        <v>0.9</v>
      </c>
      <c r="I22" t="s">
        <v>112</v>
      </c>
      <c r="J22" t="s">
        <v>199</v>
      </c>
      <c r="K22" t="b">
        <v>1</v>
      </c>
    </row>
    <row r="23" spans="1:11" x14ac:dyDescent="0.35">
      <c r="A23" t="s">
        <v>66</v>
      </c>
      <c r="B23">
        <v>2019</v>
      </c>
      <c r="C23" t="s">
        <v>67</v>
      </c>
      <c r="D23" t="s">
        <v>68</v>
      </c>
      <c r="E23" t="b">
        <v>0</v>
      </c>
      <c r="F23" t="s">
        <v>786</v>
      </c>
      <c r="G23" t="s">
        <v>190</v>
      </c>
      <c r="H23">
        <v>0.9</v>
      </c>
      <c r="I23" t="s">
        <v>112</v>
      </c>
      <c r="J23" t="s">
        <v>199</v>
      </c>
      <c r="K23" t="b">
        <v>1</v>
      </c>
    </row>
    <row r="24" spans="1:11" x14ac:dyDescent="0.35">
      <c r="A24" t="s">
        <v>69</v>
      </c>
      <c r="B24">
        <v>2019</v>
      </c>
      <c r="C24" t="s">
        <v>70</v>
      </c>
      <c r="D24" t="s">
        <v>191</v>
      </c>
      <c r="E24" t="b">
        <v>0</v>
      </c>
      <c r="F24" t="s">
        <v>686</v>
      </c>
      <c r="G24" t="s">
        <v>192</v>
      </c>
      <c r="H24">
        <v>1</v>
      </c>
      <c r="I24" t="s">
        <v>173</v>
      </c>
      <c r="J24" t="s">
        <v>192</v>
      </c>
      <c r="K24" t="b">
        <v>0</v>
      </c>
    </row>
    <row r="25" spans="1:11" ht="409.5" x14ac:dyDescent="0.35">
      <c r="A25" t="s">
        <v>71</v>
      </c>
      <c r="B25">
        <v>2019</v>
      </c>
      <c r="C25" t="s">
        <v>72</v>
      </c>
      <c r="D25" s="1" t="s">
        <v>73</v>
      </c>
      <c r="E25" t="b">
        <v>1</v>
      </c>
      <c r="F25" t="s">
        <v>787</v>
      </c>
      <c r="G25" t="s">
        <v>181</v>
      </c>
      <c r="H25">
        <v>0.9</v>
      </c>
      <c r="I25" t="s">
        <v>112</v>
      </c>
      <c r="J25" t="s">
        <v>199</v>
      </c>
      <c r="K25" t="b">
        <v>1</v>
      </c>
    </row>
    <row r="26" spans="1:11" x14ac:dyDescent="0.35">
      <c r="A26" t="s">
        <v>74</v>
      </c>
      <c r="B26">
        <v>2019</v>
      </c>
      <c r="C26" t="s">
        <v>75</v>
      </c>
      <c r="D26" t="s">
        <v>217</v>
      </c>
      <c r="E26" t="b">
        <v>1</v>
      </c>
      <c r="F26" t="s">
        <v>788</v>
      </c>
      <c r="G26" t="s">
        <v>181</v>
      </c>
      <c r="H26">
        <v>0.9</v>
      </c>
      <c r="I26" t="s">
        <v>112</v>
      </c>
      <c r="J26" t="s">
        <v>199</v>
      </c>
      <c r="K26" t="b">
        <v>1</v>
      </c>
    </row>
    <row r="27" spans="1:11" x14ac:dyDescent="0.35">
      <c r="A27" t="s">
        <v>76</v>
      </c>
      <c r="B27">
        <v>2019</v>
      </c>
      <c r="C27" t="s">
        <v>77</v>
      </c>
      <c r="D27" t="s">
        <v>193</v>
      </c>
      <c r="E27" t="b">
        <v>1</v>
      </c>
      <c r="F27" t="s">
        <v>789</v>
      </c>
      <c r="G27" t="s">
        <v>181</v>
      </c>
      <c r="H27">
        <v>0.9</v>
      </c>
      <c r="I27" t="s">
        <v>112</v>
      </c>
      <c r="J27" t="s">
        <v>199</v>
      </c>
      <c r="K27" t="b">
        <v>1</v>
      </c>
    </row>
    <row r="28" spans="1:11" x14ac:dyDescent="0.35">
      <c r="A28" t="s">
        <v>78</v>
      </c>
      <c r="B28">
        <v>2019</v>
      </c>
      <c r="C28" t="s">
        <v>79</v>
      </c>
      <c r="D28" t="s">
        <v>194</v>
      </c>
      <c r="E28" t="b">
        <v>1</v>
      </c>
      <c r="F28" t="s">
        <v>790</v>
      </c>
      <c r="G28" t="s">
        <v>181</v>
      </c>
      <c r="H28">
        <v>0.9</v>
      </c>
      <c r="I28" t="s">
        <v>112</v>
      </c>
      <c r="J28" t="s">
        <v>199</v>
      </c>
      <c r="K28" t="b">
        <v>1</v>
      </c>
    </row>
    <row r="29" spans="1:11" x14ac:dyDescent="0.35">
      <c r="A29" t="s">
        <v>83</v>
      </c>
      <c r="B29">
        <v>2019</v>
      </c>
      <c r="C29" t="s">
        <v>84</v>
      </c>
      <c r="D29" t="s">
        <v>218</v>
      </c>
      <c r="E29" t="b">
        <v>1</v>
      </c>
      <c r="F29" t="s">
        <v>791</v>
      </c>
      <c r="G29" t="s">
        <v>181</v>
      </c>
      <c r="H29">
        <v>0.9</v>
      </c>
      <c r="I29" t="s">
        <v>112</v>
      </c>
      <c r="J29" t="s">
        <v>199</v>
      </c>
      <c r="K29" t="b">
        <v>1</v>
      </c>
    </row>
    <row r="30" spans="1:11" ht="409.5" x14ac:dyDescent="0.35">
      <c r="A30" t="s">
        <v>85</v>
      </c>
      <c r="B30">
        <v>2019</v>
      </c>
      <c r="C30" t="s">
        <v>86</v>
      </c>
      <c r="D30" s="1" t="s">
        <v>87</v>
      </c>
      <c r="E30" t="b">
        <v>1</v>
      </c>
      <c r="F30" t="s">
        <v>792</v>
      </c>
      <c r="G30" t="s">
        <v>181</v>
      </c>
      <c r="H30">
        <v>0.9</v>
      </c>
      <c r="I30" t="s">
        <v>112</v>
      </c>
      <c r="J30" t="s">
        <v>199</v>
      </c>
      <c r="K30" t="b">
        <v>1</v>
      </c>
    </row>
    <row r="31" spans="1:11" x14ac:dyDescent="0.35">
      <c r="A31" t="s">
        <v>89</v>
      </c>
      <c r="B31">
        <v>2019</v>
      </c>
      <c r="C31" t="s">
        <v>90</v>
      </c>
      <c r="D31" t="s">
        <v>195</v>
      </c>
      <c r="E31" t="b">
        <v>0</v>
      </c>
      <c r="F31" t="s">
        <v>196</v>
      </c>
      <c r="G31" t="s">
        <v>192</v>
      </c>
      <c r="H31">
        <v>1</v>
      </c>
      <c r="I31" t="s">
        <v>173</v>
      </c>
      <c r="J31" t="s">
        <v>192</v>
      </c>
      <c r="K31" t="b">
        <v>0</v>
      </c>
    </row>
    <row r="32" spans="1:11" x14ac:dyDescent="0.35">
      <c r="A32" t="s">
        <v>91</v>
      </c>
      <c r="B32">
        <v>2019</v>
      </c>
      <c r="C32" t="s">
        <v>92</v>
      </c>
      <c r="D32" t="s">
        <v>93</v>
      </c>
      <c r="E32" t="b">
        <v>1</v>
      </c>
      <c r="F32" t="s">
        <v>793</v>
      </c>
      <c r="G32" t="s">
        <v>181</v>
      </c>
      <c r="H32">
        <v>0.9</v>
      </c>
      <c r="I32" t="s">
        <v>112</v>
      </c>
      <c r="J32" t="s">
        <v>199</v>
      </c>
      <c r="K32" t="b">
        <v>1</v>
      </c>
    </row>
    <row r="33" spans="1:11" x14ac:dyDescent="0.35">
      <c r="A33" t="s">
        <v>94</v>
      </c>
      <c r="B33">
        <v>2019</v>
      </c>
      <c r="C33" t="s">
        <v>95</v>
      </c>
      <c r="D33" t="s">
        <v>96</v>
      </c>
      <c r="E33" t="b">
        <v>1</v>
      </c>
      <c r="F33" t="s">
        <v>197</v>
      </c>
      <c r="G33" t="s">
        <v>181</v>
      </c>
      <c r="H33">
        <v>0.9</v>
      </c>
      <c r="I33" t="s">
        <v>112</v>
      </c>
      <c r="J33" t="s">
        <v>199</v>
      </c>
      <c r="K33" t="b">
        <v>1</v>
      </c>
    </row>
    <row r="34" spans="1:11" x14ac:dyDescent="0.35">
      <c r="A34" t="s">
        <v>97</v>
      </c>
      <c r="B34">
        <v>2019</v>
      </c>
      <c r="C34" t="s">
        <v>98</v>
      </c>
      <c r="D34" t="s">
        <v>198</v>
      </c>
      <c r="E34" t="b">
        <v>0</v>
      </c>
      <c r="F34" t="s">
        <v>219</v>
      </c>
      <c r="G34" t="s">
        <v>192</v>
      </c>
      <c r="H34">
        <v>1</v>
      </c>
      <c r="I34" t="s">
        <v>173</v>
      </c>
      <c r="J34" t="s">
        <v>200</v>
      </c>
      <c r="K34" t="b">
        <v>0</v>
      </c>
    </row>
    <row r="35" spans="1:11" x14ac:dyDescent="0.35">
      <c r="A35" t="s">
        <v>99</v>
      </c>
      <c r="B35">
        <v>2019</v>
      </c>
      <c r="C35" t="s">
        <v>100</v>
      </c>
      <c r="D35" t="s">
        <v>101</v>
      </c>
      <c r="E35" t="b">
        <v>1</v>
      </c>
      <c r="F35" t="s">
        <v>794</v>
      </c>
      <c r="G35" t="s">
        <v>181</v>
      </c>
      <c r="H35">
        <v>0.9</v>
      </c>
      <c r="I35" t="s">
        <v>112</v>
      </c>
      <c r="J35" t="s">
        <v>199</v>
      </c>
      <c r="K35" t="b">
        <v>1</v>
      </c>
    </row>
    <row r="36" spans="1:11" x14ac:dyDescent="0.35">
      <c r="A36" t="s">
        <v>103</v>
      </c>
      <c r="B36">
        <v>2019</v>
      </c>
      <c r="C36" t="s">
        <v>104</v>
      </c>
      <c r="D36" t="s">
        <v>105</v>
      </c>
      <c r="E36" t="b">
        <v>1</v>
      </c>
      <c r="F36" t="s">
        <v>795</v>
      </c>
      <c r="G36" t="s">
        <v>181</v>
      </c>
      <c r="H36">
        <v>0.9</v>
      </c>
      <c r="I36" t="s">
        <v>112</v>
      </c>
      <c r="J36" t="s">
        <v>199</v>
      </c>
      <c r="K36" t="b">
        <v>1</v>
      </c>
    </row>
    <row r="37" spans="1:11" x14ac:dyDescent="0.35">
      <c r="A37" t="s">
        <v>106</v>
      </c>
      <c r="B37">
        <v>2019</v>
      </c>
      <c r="C37" t="s">
        <v>107</v>
      </c>
      <c r="D37" t="s">
        <v>220</v>
      </c>
      <c r="E37" t="b">
        <v>1</v>
      </c>
      <c r="F37" t="s">
        <v>796</v>
      </c>
      <c r="G37" t="s">
        <v>181</v>
      </c>
      <c r="H37">
        <v>0.9</v>
      </c>
      <c r="I37" t="s">
        <v>112</v>
      </c>
      <c r="J37" t="s">
        <v>199</v>
      </c>
      <c r="K37" t="b">
        <v>1</v>
      </c>
    </row>
    <row r="38" spans="1:11" x14ac:dyDescent="0.35">
      <c r="A38" t="s">
        <v>221</v>
      </c>
      <c r="B38">
        <v>2019</v>
      </c>
      <c r="C38" t="s">
        <v>222</v>
      </c>
      <c r="D38" t="s">
        <v>223</v>
      </c>
      <c r="E38" t="b">
        <v>1</v>
      </c>
      <c r="F38" t="s">
        <v>797</v>
      </c>
      <c r="G38" t="s">
        <v>181</v>
      </c>
      <c r="H38">
        <v>0.9</v>
      </c>
      <c r="I38" t="s">
        <v>112</v>
      </c>
      <c r="J38" t="s">
        <v>199</v>
      </c>
      <c r="K38" t="b">
        <v>1</v>
      </c>
    </row>
    <row r="39" spans="1:11" x14ac:dyDescent="0.35">
      <c r="A39" t="s">
        <v>224</v>
      </c>
      <c r="B39">
        <v>2019</v>
      </c>
      <c r="C39" t="s">
        <v>671</v>
      </c>
      <c r="D39" t="s">
        <v>672</v>
      </c>
      <c r="E39" t="b">
        <v>1</v>
      </c>
      <c r="F39" t="s">
        <v>798</v>
      </c>
      <c r="G39" t="s">
        <v>181</v>
      </c>
      <c r="H39">
        <v>0.9</v>
      </c>
      <c r="I39" t="s">
        <v>112</v>
      </c>
      <c r="J39" t="s">
        <v>199</v>
      </c>
      <c r="K39" t="b">
        <v>1</v>
      </c>
    </row>
    <row r="40" spans="1:11" x14ac:dyDescent="0.35">
      <c r="A40" t="s">
        <v>230</v>
      </c>
      <c r="B40">
        <v>2019</v>
      </c>
      <c r="C40" t="s">
        <v>231</v>
      </c>
      <c r="D40" t="s">
        <v>673</v>
      </c>
      <c r="E40" t="b">
        <v>1</v>
      </c>
      <c r="F40" t="s">
        <v>799</v>
      </c>
      <c r="G40" t="s">
        <v>181</v>
      </c>
      <c r="H40">
        <v>0.9</v>
      </c>
      <c r="I40" t="s">
        <v>112</v>
      </c>
      <c r="J40" t="s">
        <v>199</v>
      </c>
      <c r="K40" t="b">
        <v>1</v>
      </c>
    </row>
    <row r="41" spans="1:11" x14ac:dyDescent="0.35">
      <c r="A41" t="s">
        <v>233</v>
      </c>
      <c r="B41">
        <v>2019</v>
      </c>
      <c r="C41" t="s">
        <v>234</v>
      </c>
      <c r="D41" t="s">
        <v>235</v>
      </c>
      <c r="E41" t="b">
        <v>1</v>
      </c>
      <c r="F41" t="s">
        <v>771</v>
      </c>
      <c r="G41" t="s">
        <v>205</v>
      </c>
      <c r="H41">
        <v>0.7</v>
      </c>
      <c r="I41" t="s">
        <v>112</v>
      </c>
      <c r="J41" t="s">
        <v>199</v>
      </c>
      <c r="K41" t="b">
        <v>1</v>
      </c>
    </row>
    <row r="42" spans="1:11" x14ac:dyDescent="0.35">
      <c r="A42" t="s">
        <v>236</v>
      </c>
      <c r="B42">
        <v>2019</v>
      </c>
      <c r="C42" t="s">
        <v>237</v>
      </c>
      <c r="D42" t="s">
        <v>238</v>
      </c>
      <c r="E42" t="b">
        <v>1</v>
      </c>
      <c r="F42" t="s">
        <v>771</v>
      </c>
      <c r="G42" t="s">
        <v>205</v>
      </c>
      <c r="H42">
        <v>0.6</v>
      </c>
      <c r="I42" t="s">
        <v>112</v>
      </c>
      <c r="J42" t="s">
        <v>199</v>
      </c>
      <c r="K42" t="b">
        <v>1</v>
      </c>
    </row>
    <row r="43" spans="1:11" x14ac:dyDescent="0.35">
      <c r="A43" t="s">
        <v>239</v>
      </c>
      <c r="B43">
        <v>2019</v>
      </c>
      <c r="C43" t="s">
        <v>240</v>
      </c>
      <c r="D43" t="s">
        <v>675</v>
      </c>
      <c r="E43" t="b">
        <v>1</v>
      </c>
      <c r="F43" t="s">
        <v>800</v>
      </c>
      <c r="G43" t="s">
        <v>181</v>
      </c>
      <c r="H43">
        <v>0.9</v>
      </c>
      <c r="I43" t="s">
        <v>112</v>
      </c>
      <c r="J43" t="s">
        <v>199</v>
      </c>
      <c r="K43" t="b">
        <v>1</v>
      </c>
    </row>
    <row r="44" spans="1:11" x14ac:dyDescent="0.35">
      <c r="A44" t="s">
        <v>242</v>
      </c>
      <c r="B44">
        <v>2019</v>
      </c>
      <c r="C44" t="s">
        <v>243</v>
      </c>
      <c r="D44" t="s">
        <v>676</v>
      </c>
      <c r="E44" t="b">
        <v>1</v>
      </c>
      <c r="F44" t="s">
        <v>677</v>
      </c>
      <c r="G44" t="s">
        <v>181</v>
      </c>
      <c r="H44">
        <v>0.9</v>
      </c>
      <c r="I44" t="s">
        <v>112</v>
      </c>
      <c r="J44" t="s">
        <v>199</v>
      </c>
      <c r="K44" t="b">
        <v>1</v>
      </c>
    </row>
    <row r="45" spans="1:11" x14ac:dyDescent="0.35">
      <c r="A45" t="s">
        <v>245</v>
      </c>
      <c r="B45">
        <v>2019</v>
      </c>
      <c r="C45" t="s">
        <v>246</v>
      </c>
      <c r="D45" t="s">
        <v>247</v>
      </c>
      <c r="E45" t="b">
        <v>1</v>
      </c>
      <c r="F45" t="s">
        <v>778</v>
      </c>
      <c r="G45" t="s">
        <v>181</v>
      </c>
      <c r="H45">
        <v>0.9</v>
      </c>
      <c r="I45" t="s">
        <v>112</v>
      </c>
      <c r="J45" t="s">
        <v>199</v>
      </c>
      <c r="K45" t="b">
        <v>1</v>
      </c>
    </row>
    <row r="46" spans="1:11" x14ac:dyDescent="0.35">
      <c r="A46" t="s">
        <v>251</v>
      </c>
      <c r="B46">
        <v>2019</v>
      </c>
      <c r="C46" t="s">
        <v>252</v>
      </c>
      <c r="D46" t="s">
        <v>679</v>
      </c>
      <c r="E46" t="b">
        <v>1</v>
      </c>
      <c r="F46" t="s">
        <v>801</v>
      </c>
      <c r="G46" t="s">
        <v>181</v>
      </c>
      <c r="H46">
        <v>0.9</v>
      </c>
      <c r="I46" t="s">
        <v>112</v>
      </c>
      <c r="J46" t="s">
        <v>199</v>
      </c>
      <c r="K46" t="b">
        <v>1</v>
      </c>
    </row>
    <row r="47" spans="1:11" x14ac:dyDescent="0.35">
      <c r="A47" t="s">
        <v>254</v>
      </c>
      <c r="B47">
        <v>2019</v>
      </c>
      <c r="C47" t="s">
        <v>255</v>
      </c>
      <c r="D47" t="s">
        <v>680</v>
      </c>
      <c r="E47" t="b">
        <v>1</v>
      </c>
      <c r="F47" t="s">
        <v>802</v>
      </c>
      <c r="G47" t="s">
        <v>181</v>
      </c>
      <c r="H47">
        <v>0.9</v>
      </c>
      <c r="I47" t="s">
        <v>112</v>
      </c>
      <c r="J47" t="s">
        <v>199</v>
      </c>
      <c r="K47" t="b">
        <v>1</v>
      </c>
    </row>
    <row r="48" spans="1:11" x14ac:dyDescent="0.35">
      <c r="A48" t="s">
        <v>257</v>
      </c>
      <c r="B48">
        <v>2019</v>
      </c>
      <c r="C48" t="s">
        <v>258</v>
      </c>
      <c r="D48" t="s">
        <v>259</v>
      </c>
      <c r="E48" t="b">
        <v>0</v>
      </c>
      <c r="F48" t="s">
        <v>803</v>
      </c>
      <c r="G48" t="s">
        <v>192</v>
      </c>
      <c r="H48">
        <v>1</v>
      </c>
      <c r="I48" t="s">
        <v>173</v>
      </c>
      <c r="J48" t="s">
        <v>192</v>
      </c>
      <c r="K48" t="b">
        <v>0</v>
      </c>
    </row>
    <row r="49" spans="1:11" x14ac:dyDescent="0.35">
      <c r="A49" t="s">
        <v>263</v>
      </c>
      <c r="B49">
        <v>2019</v>
      </c>
      <c r="C49" t="s">
        <v>264</v>
      </c>
      <c r="D49" t="s">
        <v>265</v>
      </c>
      <c r="E49" t="b">
        <v>1</v>
      </c>
      <c r="F49" t="s">
        <v>800</v>
      </c>
      <c r="G49" t="s">
        <v>181</v>
      </c>
      <c r="H49">
        <v>0.9</v>
      </c>
      <c r="I49" t="s">
        <v>112</v>
      </c>
      <c r="J49" t="s">
        <v>199</v>
      </c>
      <c r="K49" t="b">
        <v>1</v>
      </c>
    </row>
    <row r="50" spans="1:11" x14ac:dyDescent="0.35">
      <c r="A50" t="s">
        <v>266</v>
      </c>
      <c r="B50">
        <v>2019</v>
      </c>
      <c r="C50" t="s">
        <v>267</v>
      </c>
      <c r="D50" t="s">
        <v>681</v>
      </c>
      <c r="E50" t="b">
        <v>1</v>
      </c>
      <c r="F50" t="s">
        <v>800</v>
      </c>
      <c r="G50" t="s">
        <v>181</v>
      </c>
      <c r="H50">
        <v>0.9</v>
      </c>
      <c r="I50" t="s">
        <v>112</v>
      </c>
      <c r="J50" t="s">
        <v>199</v>
      </c>
      <c r="K50" t="b">
        <v>1</v>
      </c>
    </row>
    <row r="51" spans="1:11" x14ac:dyDescent="0.35">
      <c r="A51" t="s">
        <v>269</v>
      </c>
      <c r="B51">
        <v>2019</v>
      </c>
      <c r="C51" t="s">
        <v>682</v>
      </c>
      <c r="D51" t="s">
        <v>683</v>
      </c>
      <c r="E51" t="b">
        <v>1</v>
      </c>
      <c r="F51" t="s">
        <v>804</v>
      </c>
      <c r="G51" t="s">
        <v>181</v>
      </c>
      <c r="H51">
        <v>0.9</v>
      </c>
      <c r="I51" t="s">
        <v>112</v>
      </c>
      <c r="J51" t="s">
        <v>199</v>
      </c>
      <c r="K51" t="b">
        <v>1</v>
      </c>
    </row>
    <row r="52" spans="1:11" x14ac:dyDescent="0.35">
      <c r="A52" t="s">
        <v>278</v>
      </c>
      <c r="B52">
        <v>2019</v>
      </c>
      <c r="C52" t="s">
        <v>684</v>
      </c>
      <c r="D52" t="s">
        <v>685</v>
      </c>
      <c r="E52" t="b">
        <v>1</v>
      </c>
      <c r="F52" t="s">
        <v>805</v>
      </c>
      <c r="G52" t="s">
        <v>181</v>
      </c>
      <c r="H52">
        <v>0.9</v>
      </c>
      <c r="I52" t="s">
        <v>112</v>
      </c>
      <c r="J52" t="s">
        <v>199</v>
      </c>
      <c r="K52" t="b">
        <v>1</v>
      </c>
    </row>
    <row r="53" spans="1:11" ht="409.5" x14ac:dyDescent="0.35">
      <c r="A53" t="s">
        <v>281</v>
      </c>
      <c r="B53">
        <v>2019</v>
      </c>
      <c r="C53" t="s">
        <v>282</v>
      </c>
      <c r="D53" s="1" t="s">
        <v>283</v>
      </c>
      <c r="E53" t="b">
        <v>1</v>
      </c>
      <c r="F53" t="s">
        <v>806</v>
      </c>
      <c r="G53" t="s">
        <v>181</v>
      </c>
      <c r="H53">
        <v>0.9</v>
      </c>
      <c r="I53" t="s">
        <v>112</v>
      </c>
      <c r="J53" t="s">
        <v>199</v>
      </c>
      <c r="K53" t="b">
        <v>1</v>
      </c>
    </row>
    <row r="54" spans="1:11" x14ac:dyDescent="0.35">
      <c r="A54" t="s">
        <v>287</v>
      </c>
      <c r="B54">
        <v>2019</v>
      </c>
      <c r="C54" t="s">
        <v>288</v>
      </c>
      <c r="D54" t="s">
        <v>289</v>
      </c>
      <c r="E54" t="b">
        <v>0</v>
      </c>
      <c r="F54" t="s">
        <v>803</v>
      </c>
      <c r="G54" t="s">
        <v>192</v>
      </c>
      <c r="H54">
        <v>1</v>
      </c>
      <c r="I54" t="s">
        <v>173</v>
      </c>
      <c r="J54" t="s">
        <v>192</v>
      </c>
      <c r="K54" t="b">
        <v>0</v>
      </c>
    </row>
    <row r="55" spans="1:11" x14ac:dyDescent="0.35">
      <c r="A55" t="s">
        <v>290</v>
      </c>
      <c r="B55">
        <v>2019</v>
      </c>
      <c r="C55" t="s">
        <v>291</v>
      </c>
      <c r="D55" t="s">
        <v>292</v>
      </c>
      <c r="E55" t="b">
        <v>1</v>
      </c>
      <c r="F55" t="s">
        <v>807</v>
      </c>
      <c r="G55" t="s">
        <v>674</v>
      </c>
      <c r="H55">
        <v>0.9</v>
      </c>
      <c r="I55" t="s">
        <v>112</v>
      </c>
      <c r="J55" t="s">
        <v>199</v>
      </c>
      <c r="K55" t="b">
        <v>1</v>
      </c>
    </row>
    <row r="56" spans="1:11" x14ac:dyDescent="0.35">
      <c r="A56" t="s">
        <v>293</v>
      </c>
      <c r="B56">
        <v>2019</v>
      </c>
      <c r="C56" t="s">
        <v>294</v>
      </c>
      <c r="D56" t="s">
        <v>687</v>
      </c>
      <c r="E56" t="b">
        <v>1</v>
      </c>
      <c r="F56" t="s">
        <v>808</v>
      </c>
      <c r="G56" t="s">
        <v>181</v>
      </c>
      <c r="H56">
        <v>0.9</v>
      </c>
      <c r="I56" t="s">
        <v>112</v>
      </c>
      <c r="J56" t="s">
        <v>199</v>
      </c>
      <c r="K56" t="b">
        <v>1</v>
      </c>
    </row>
    <row r="57" spans="1:11" x14ac:dyDescent="0.35">
      <c r="A57" t="s">
        <v>296</v>
      </c>
      <c r="B57">
        <v>2019</v>
      </c>
      <c r="C57" t="s">
        <v>297</v>
      </c>
      <c r="D57" t="s">
        <v>688</v>
      </c>
      <c r="E57" t="b">
        <v>0</v>
      </c>
      <c r="F57" t="s">
        <v>686</v>
      </c>
      <c r="G57" t="s">
        <v>192</v>
      </c>
      <c r="H57">
        <v>1</v>
      </c>
      <c r="I57" t="s">
        <v>173</v>
      </c>
      <c r="J57" t="s">
        <v>192</v>
      </c>
      <c r="K57" t="b">
        <v>0</v>
      </c>
    </row>
    <row r="58" spans="1:11" x14ac:dyDescent="0.35">
      <c r="A58" t="s">
        <v>311</v>
      </c>
      <c r="B58">
        <v>2019</v>
      </c>
      <c r="C58" t="s">
        <v>312</v>
      </c>
      <c r="D58" t="s">
        <v>313</v>
      </c>
      <c r="E58" t="b">
        <v>1</v>
      </c>
      <c r="F58" t="s">
        <v>771</v>
      </c>
      <c r="G58" t="s">
        <v>205</v>
      </c>
      <c r="H58">
        <v>0.6</v>
      </c>
      <c r="I58" t="s">
        <v>112</v>
      </c>
      <c r="J58" t="s">
        <v>665</v>
      </c>
      <c r="K58" t="b">
        <v>1</v>
      </c>
    </row>
    <row r="59" spans="1:11" x14ac:dyDescent="0.35">
      <c r="A59" t="s">
        <v>317</v>
      </c>
      <c r="B59">
        <v>2019</v>
      </c>
      <c r="C59" t="s">
        <v>318</v>
      </c>
      <c r="D59" t="s">
        <v>689</v>
      </c>
      <c r="E59" t="b">
        <v>1</v>
      </c>
      <c r="F59" t="s">
        <v>809</v>
      </c>
      <c r="G59" t="s">
        <v>181</v>
      </c>
      <c r="H59">
        <v>0.9</v>
      </c>
      <c r="I59" t="s">
        <v>112</v>
      </c>
      <c r="J59" t="s">
        <v>199</v>
      </c>
      <c r="K59" t="b">
        <v>1</v>
      </c>
    </row>
    <row r="60" spans="1:11" x14ac:dyDescent="0.35">
      <c r="A60" t="s">
        <v>326</v>
      </c>
      <c r="B60">
        <v>2019</v>
      </c>
      <c r="C60" t="s">
        <v>327</v>
      </c>
      <c r="D60" t="s">
        <v>690</v>
      </c>
      <c r="E60" t="b">
        <v>1</v>
      </c>
      <c r="F60" t="s">
        <v>705</v>
      </c>
      <c r="G60" t="s">
        <v>181</v>
      </c>
      <c r="H60">
        <v>0.9</v>
      </c>
      <c r="I60" t="s">
        <v>112</v>
      </c>
      <c r="J60" t="s">
        <v>199</v>
      </c>
      <c r="K60" t="b">
        <v>1</v>
      </c>
    </row>
    <row r="61" spans="1:11" ht="409.5" x14ac:dyDescent="0.35">
      <c r="A61" t="s">
        <v>329</v>
      </c>
      <c r="B61">
        <v>2019</v>
      </c>
      <c r="C61" t="s">
        <v>330</v>
      </c>
      <c r="D61" s="1" t="s">
        <v>331</v>
      </c>
      <c r="E61" t="b">
        <v>1</v>
      </c>
      <c r="F61" t="s">
        <v>810</v>
      </c>
      <c r="G61" t="s">
        <v>205</v>
      </c>
      <c r="H61">
        <v>0.8</v>
      </c>
      <c r="I61" t="s">
        <v>112</v>
      </c>
      <c r="J61" t="s">
        <v>199</v>
      </c>
      <c r="K61" t="b">
        <v>1</v>
      </c>
    </row>
    <row r="62" spans="1:11" x14ac:dyDescent="0.35">
      <c r="A62" t="s">
        <v>332</v>
      </c>
      <c r="B62">
        <v>2019</v>
      </c>
      <c r="C62" t="s">
        <v>333</v>
      </c>
      <c r="D62" t="s">
        <v>691</v>
      </c>
      <c r="E62" t="b">
        <v>1</v>
      </c>
      <c r="F62" t="s">
        <v>771</v>
      </c>
      <c r="G62" t="s">
        <v>205</v>
      </c>
      <c r="H62">
        <v>0.6</v>
      </c>
      <c r="I62" t="s">
        <v>112</v>
      </c>
      <c r="J62" t="s">
        <v>199</v>
      </c>
      <c r="K62" t="b">
        <v>1</v>
      </c>
    </row>
    <row r="63" spans="1:11" x14ac:dyDescent="0.35">
      <c r="A63" t="s">
        <v>338</v>
      </c>
      <c r="B63">
        <v>2019</v>
      </c>
      <c r="C63" t="s">
        <v>339</v>
      </c>
      <c r="D63" t="s">
        <v>692</v>
      </c>
      <c r="E63" t="b">
        <v>1</v>
      </c>
      <c r="F63" t="s">
        <v>811</v>
      </c>
      <c r="G63" t="s">
        <v>181</v>
      </c>
      <c r="H63">
        <v>0.9</v>
      </c>
      <c r="I63" t="s">
        <v>112</v>
      </c>
      <c r="J63" t="s">
        <v>199</v>
      </c>
      <c r="K63" t="b">
        <v>1</v>
      </c>
    </row>
    <row r="64" spans="1:11" x14ac:dyDescent="0.35">
      <c r="A64" t="s">
        <v>344</v>
      </c>
      <c r="B64">
        <v>2019</v>
      </c>
      <c r="C64" t="s">
        <v>345</v>
      </c>
      <c r="D64" t="s">
        <v>346</v>
      </c>
      <c r="E64" t="b">
        <v>1</v>
      </c>
      <c r="F64" t="s">
        <v>799</v>
      </c>
      <c r="G64" t="s">
        <v>181</v>
      </c>
      <c r="H64">
        <v>0.9</v>
      </c>
      <c r="I64" t="s">
        <v>112</v>
      </c>
      <c r="J64" t="s">
        <v>199</v>
      </c>
      <c r="K64" t="b">
        <v>1</v>
      </c>
    </row>
    <row r="65" spans="1:11" x14ac:dyDescent="0.35">
      <c r="A65" t="s">
        <v>347</v>
      </c>
      <c r="B65">
        <v>2019</v>
      </c>
      <c r="C65" t="s">
        <v>348</v>
      </c>
      <c r="D65" t="s">
        <v>349</v>
      </c>
      <c r="E65" t="b">
        <v>1</v>
      </c>
      <c r="F65" t="s">
        <v>812</v>
      </c>
      <c r="G65" t="s">
        <v>181</v>
      </c>
      <c r="H65">
        <v>0.9</v>
      </c>
      <c r="I65" t="s">
        <v>112</v>
      </c>
      <c r="J65" t="s">
        <v>199</v>
      </c>
      <c r="K65" t="b">
        <v>1</v>
      </c>
    </row>
    <row r="66" spans="1:11" x14ac:dyDescent="0.35">
      <c r="A66" t="s">
        <v>350</v>
      </c>
      <c r="B66">
        <v>2019</v>
      </c>
      <c r="C66" t="s">
        <v>351</v>
      </c>
      <c r="D66" t="s">
        <v>352</v>
      </c>
      <c r="E66" t="b">
        <v>1</v>
      </c>
      <c r="F66" t="s">
        <v>813</v>
      </c>
      <c r="G66" t="s">
        <v>181</v>
      </c>
      <c r="H66">
        <v>0.9</v>
      </c>
      <c r="I66" t="s">
        <v>112</v>
      </c>
      <c r="J66" t="s">
        <v>199</v>
      </c>
      <c r="K66" t="b">
        <v>1</v>
      </c>
    </row>
    <row r="67" spans="1:11" x14ac:dyDescent="0.35">
      <c r="A67" t="s">
        <v>353</v>
      </c>
      <c r="B67">
        <v>2019</v>
      </c>
      <c r="C67" t="s">
        <v>354</v>
      </c>
      <c r="D67" t="s">
        <v>693</v>
      </c>
      <c r="E67" t="b">
        <v>1</v>
      </c>
      <c r="F67" t="s">
        <v>771</v>
      </c>
      <c r="G67" t="s">
        <v>205</v>
      </c>
      <c r="H67">
        <v>0.7</v>
      </c>
      <c r="I67" t="s">
        <v>112</v>
      </c>
      <c r="J67" t="s">
        <v>199</v>
      </c>
      <c r="K67" t="b">
        <v>1</v>
      </c>
    </row>
    <row r="68" spans="1:11" x14ac:dyDescent="0.35">
      <c r="A68" t="s">
        <v>362</v>
      </c>
      <c r="B68">
        <v>2019</v>
      </c>
      <c r="C68" t="s">
        <v>363</v>
      </c>
      <c r="D68" t="s">
        <v>694</v>
      </c>
      <c r="E68" t="b">
        <v>1</v>
      </c>
      <c r="F68" t="s">
        <v>789</v>
      </c>
      <c r="G68" t="s">
        <v>181</v>
      </c>
      <c r="H68">
        <v>0.9</v>
      </c>
      <c r="I68" t="s">
        <v>112</v>
      </c>
      <c r="J68" t="s">
        <v>199</v>
      </c>
      <c r="K68" t="b">
        <v>1</v>
      </c>
    </row>
    <row r="69" spans="1:11" x14ac:dyDescent="0.35">
      <c r="A69" t="s">
        <v>365</v>
      </c>
      <c r="B69">
        <v>2019</v>
      </c>
      <c r="C69" t="s">
        <v>366</v>
      </c>
      <c r="D69" t="s">
        <v>695</v>
      </c>
      <c r="E69" t="b">
        <v>1</v>
      </c>
      <c r="F69" t="s">
        <v>705</v>
      </c>
      <c r="G69" t="s">
        <v>181</v>
      </c>
      <c r="H69">
        <v>0.9</v>
      </c>
      <c r="I69" t="s">
        <v>112</v>
      </c>
      <c r="J69" t="s">
        <v>199</v>
      </c>
      <c r="K69" t="b">
        <v>1</v>
      </c>
    </row>
    <row r="70" spans="1:11" x14ac:dyDescent="0.35">
      <c r="A70" t="s">
        <v>368</v>
      </c>
      <c r="B70">
        <v>2021</v>
      </c>
      <c r="C70" t="s">
        <v>369</v>
      </c>
      <c r="D70" t="s">
        <v>696</v>
      </c>
      <c r="E70" t="b">
        <v>1</v>
      </c>
      <c r="F70" t="s">
        <v>814</v>
      </c>
      <c r="G70" t="s">
        <v>674</v>
      </c>
      <c r="H70">
        <v>0.9</v>
      </c>
      <c r="I70" t="s">
        <v>112</v>
      </c>
      <c r="J70" t="s">
        <v>199</v>
      </c>
      <c r="K70" t="b">
        <v>1</v>
      </c>
    </row>
    <row r="71" spans="1:11" x14ac:dyDescent="0.35">
      <c r="A71" t="s">
        <v>374</v>
      </c>
      <c r="B71">
        <v>2021</v>
      </c>
      <c r="C71" t="s">
        <v>375</v>
      </c>
      <c r="D71" t="s">
        <v>376</v>
      </c>
      <c r="E71" t="b">
        <v>1</v>
      </c>
      <c r="F71" t="s">
        <v>771</v>
      </c>
      <c r="G71" t="s">
        <v>205</v>
      </c>
      <c r="H71">
        <v>0.7</v>
      </c>
      <c r="I71" t="s">
        <v>112</v>
      </c>
      <c r="J71" t="s">
        <v>199</v>
      </c>
      <c r="K71" t="b">
        <v>1</v>
      </c>
    </row>
    <row r="72" spans="1:11" x14ac:dyDescent="0.35">
      <c r="A72" t="s">
        <v>377</v>
      </c>
      <c r="B72">
        <v>2021</v>
      </c>
      <c r="C72" t="s">
        <v>697</v>
      </c>
      <c r="D72" t="s">
        <v>698</v>
      </c>
      <c r="E72" t="b">
        <v>1</v>
      </c>
      <c r="F72" t="s">
        <v>800</v>
      </c>
      <c r="G72" t="s">
        <v>181</v>
      </c>
      <c r="H72">
        <v>0.9</v>
      </c>
      <c r="I72" t="s">
        <v>112</v>
      </c>
      <c r="J72" t="s">
        <v>199</v>
      </c>
      <c r="K72" t="b">
        <v>1</v>
      </c>
    </row>
    <row r="73" spans="1:11" x14ac:dyDescent="0.35">
      <c r="A73" t="s">
        <v>380</v>
      </c>
      <c r="B73">
        <v>2021</v>
      </c>
      <c r="C73" t="s">
        <v>381</v>
      </c>
      <c r="D73" t="s">
        <v>699</v>
      </c>
      <c r="E73" t="b">
        <v>0</v>
      </c>
      <c r="F73" t="s">
        <v>815</v>
      </c>
      <c r="G73" t="s">
        <v>190</v>
      </c>
      <c r="H73">
        <v>0.9</v>
      </c>
      <c r="I73" t="s">
        <v>112</v>
      </c>
      <c r="J73" t="s">
        <v>199</v>
      </c>
      <c r="K73" t="b">
        <v>1</v>
      </c>
    </row>
    <row r="74" spans="1:11" x14ac:dyDescent="0.35">
      <c r="A74" t="s">
        <v>383</v>
      </c>
      <c r="B74">
        <v>2021</v>
      </c>
      <c r="C74" t="s">
        <v>700</v>
      </c>
      <c r="D74" t="s">
        <v>701</v>
      </c>
      <c r="E74" t="b">
        <v>1</v>
      </c>
      <c r="F74" t="s">
        <v>702</v>
      </c>
      <c r="G74" t="s">
        <v>181</v>
      </c>
      <c r="H74">
        <v>0.9</v>
      </c>
      <c r="I74" t="s">
        <v>112</v>
      </c>
      <c r="J74" t="s">
        <v>199</v>
      </c>
      <c r="K74" t="b">
        <v>1</v>
      </c>
    </row>
    <row r="75" spans="1:11" x14ac:dyDescent="0.35">
      <c r="A75" t="s">
        <v>386</v>
      </c>
      <c r="B75">
        <v>2021</v>
      </c>
      <c r="C75" t="s">
        <v>387</v>
      </c>
      <c r="D75" t="s">
        <v>388</v>
      </c>
      <c r="E75" t="b">
        <v>1</v>
      </c>
      <c r="F75" t="s">
        <v>771</v>
      </c>
      <c r="G75" t="s">
        <v>205</v>
      </c>
      <c r="H75">
        <v>0.7</v>
      </c>
      <c r="I75" t="s">
        <v>112</v>
      </c>
      <c r="J75" t="s">
        <v>199</v>
      </c>
      <c r="K75" t="b">
        <v>1</v>
      </c>
    </row>
    <row r="76" spans="1:11" x14ac:dyDescent="0.35">
      <c r="A76" t="s">
        <v>398</v>
      </c>
      <c r="B76">
        <v>2021</v>
      </c>
      <c r="C76" t="s">
        <v>399</v>
      </c>
      <c r="D76" t="s">
        <v>703</v>
      </c>
      <c r="E76" t="b">
        <v>1</v>
      </c>
      <c r="F76" t="s">
        <v>816</v>
      </c>
      <c r="G76" t="s">
        <v>181</v>
      </c>
      <c r="H76">
        <v>0.9</v>
      </c>
      <c r="I76" t="s">
        <v>112</v>
      </c>
      <c r="J76" t="s">
        <v>199</v>
      </c>
      <c r="K76" t="b">
        <v>1</v>
      </c>
    </row>
    <row r="77" spans="1:11" x14ac:dyDescent="0.35">
      <c r="A77" t="s">
        <v>401</v>
      </c>
      <c r="B77">
        <v>2021</v>
      </c>
      <c r="C77" t="s">
        <v>402</v>
      </c>
      <c r="D77" t="s">
        <v>704</v>
      </c>
      <c r="E77" t="b">
        <v>1</v>
      </c>
      <c r="F77" t="s">
        <v>705</v>
      </c>
      <c r="G77" t="s">
        <v>181</v>
      </c>
      <c r="H77">
        <v>0.9</v>
      </c>
      <c r="I77" t="s">
        <v>112</v>
      </c>
      <c r="J77" t="s">
        <v>199</v>
      </c>
      <c r="K77" t="b">
        <v>1</v>
      </c>
    </row>
    <row r="78" spans="1:11" x14ac:dyDescent="0.35">
      <c r="A78" t="s">
        <v>404</v>
      </c>
      <c r="B78">
        <v>2021</v>
      </c>
      <c r="C78" t="s">
        <v>405</v>
      </c>
      <c r="D78" t="s">
        <v>706</v>
      </c>
      <c r="E78" t="b">
        <v>1</v>
      </c>
      <c r="F78" t="s">
        <v>817</v>
      </c>
      <c r="G78" t="s">
        <v>674</v>
      </c>
      <c r="H78">
        <v>0.9</v>
      </c>
      <c r="I78" t="s">
        <v>112</v>
      </c>
      <c r="J78" t="s">
        <v>199</v>
      </c>
      <c r="K78" t="b">
        <v>1</v>
      </c>
    </row>
    <row r="79" spans="1:11" x14ac:dyDescent="0.35">
      <c r="A79" t="s">
        <v>407</v>
      </c>
      <c r="B79">
        <v>2021</v>
      </c>
      <c r="C79" t="s">
        <v>408</v>
      </c>
      <c r="D79" t="s">
        <v>707</v>
      </c>
      <c r="E79" t="b">
        <v>1</v>
      </c>
      <c r="F79" t="s">
        <v>818</v>
      </c>
      <c r="G79" t="s">
        <v>181</v>
      </c>
      <c r="H79">
        <v>0.95</v>
      </c>
      <c r="I79" t="s">
        <v>112</v>
      </c>
      <c r="J79" t="s">
        <v>199</v>
      </c>
      <c r="K79" t="b">
        <v>1</v>
      </c>
    </row>
    <row r="80" spans="1:11" x14ac:dyDescent="0.35">
      <c r="A80" t="s">
        <v>410</v>
      </c>
      <c r="B80">
        <v>2021</v>
      </c>
      <c r="C80" t="s">
        <v>411</v>
      </c>
      <c r="D80" t="s">
        <v>708</v>
      </c>
      <c r="E80" t="b">
        <v>1</v>
      </c>
      <c r="F80" t="s">
        <v>819</v>
      </c>
      <c r="G80" t="s">
        <v>181</v>
      </c>
      <c r="H80">
        <v>0.9</v>
      </c>
      <c r="I80" t="s">
        <v>112</v>
      </c>
      <c r="J80" t="s">
        <v>199</v>
      </c>
      <c r="K80" t="b">
        <v>1</v>
      </c>
    </row>
    <row r="81" spans="1:11" x14ac:dyDescent="0.35">
      <c r="A81" t="s">
        <v>413</v>
      </c>
      <c r="B81">
        <v>2021</v>
      </c>
      <c r="C81" t="s">
        <v>414</v>
      </c>
      <c r="D81" t="s">
        <v>709</v>
      </c>
      <c r="E81" t="b">
        <v>0</v>
      </c>
      <c r="F81" t="s">
        <v>803</v>
      </c>
      <c r="G81" t="s">
        <v>192</v>
      </c>
      <c r="H81">
        <v>1</v>
      </c>
      <c r="I81" t="s">
        <v>173</v>
      </c>
      <c r="J81" t="s">
        <v>192</v>
      </c>
      <c r="K81" t="b">
        <v>0</v>
      </c>
    </row>
    <row r="82" spans="1:11" x14ac:dyDescent="0.35">
      <c r="A82" t="s">
        <v>416</v>
      </c>
      <c r="B82">
        <v>2021</v>
      </c>
      <c r="C82" t="s">
        <v>417</v>
      </c>
      <c r="D82" t="s">
        <v>710</v>
      </c>
      <c r="E82" t="b">
        <v>1</v>
      </c>
      <c r="F82" t="s">
        <v>820</v>
      </c>
      <c r="G82" t="s">
        <v>181</v>
      </c>
      <c r="H82">
        <v>0.9</v>
      </c>
      <c r="I82" t="s">
        <v>112</v>
      </c>
      <c r="J82" t="s">
        <v>199</v>
      </c>
      <c r="K82" t="b">
        <v>1</v>
      </c>
    </row>
    <row r="83" spans="1:11" x14ac:dyDescent="0.35">
      <c r="A83" t="s">
        <v>419</v>
      </c>
      <c r="B83">
        <v>2021</v>
      </c>
      <c r="C83" t="s">
        <v>420</v>
      </c>
      <c r="D83" t="s">
        <v>711</v>
      </c>
      <c r="E83" t="b">
        <v>1</v>
      </c>
      <c r="F83" t="s">
        <v>821</v>
      </c>
      <c r="G83" t="s">
        <v>181</v>
      </c>
      <c r="H83">
        <v>0.9</v>
      </c>
      <c r="I83" t="s">
        <v>112</v>
      </c>
      <c r="J83" t="s">
        <v>199</v>
      </c>
      <c r="K83" t="b">
        <v>1</v>
      </c>
    </row>
    <row r="84" spans="1:11" x14ac:dyDescent="0.35">
      <c r="A84" t="s">
        <v>422</v>
      </c>
      <c r="B84">
        <v>2021</v>
      </c>
      <c r="C84" t="s">
        <v>423</v>
      </c>
      <c r="D84" t="s">
        <v>712</v>
      </c>
      <c r="E84" t="b">
        <v>1</v>
      </c>
      <c r="F84" t="s">
        <v>822</v>
      </c>
      <c r="G84" t="s">
        <v>181</v>
      </c>
      <c r="H84">
        <v>0.9</v>
      </c>
      <c r="I84" t="s">
        <v>112</v>
      </c>
      <c r="J84" t="s">
        <v>199</v>
      </c>
      <c r="K84" t="b">
        <v>1</v>
      </c>
    </row>
    <row r="85" spans="1:11" x14ac:dyDescent="0.35">
      <c r="A85" t="s">
        <v>425</v>
      </c>
      <c r="B85">
        <v>2021</v>
      </c>
      <c r="C85" t="s">
        <v>426</v>
      </c>
      <c r="D85" t="s">
        <v>713</v>
      </c>
      <c r="E85" t="b">
        <v>1</v>
      </c>
      <c r="F85" t="s">
        <v>823</v>
      </c>
      <c r="G85" t="s">
        <v>181</v>
      </c>
      <c r="H85">
        <v>0.9</v>
      </c>
      <c r="I85" t="s">
        <v>112</v>
      </c>
      <c r="J85" t="s">
        <v>199</v>
      </c>
      <c r="K85" t="b">
        <v>1</v>
      </c>
    </row>
    <row r="86" spans="1:11" ht="409.5" x14ac:dyDescent="0.35">
      <c r="A86" t="s">
        <v>428</v>
      </c>
      <c r="B86">
        <v>2021</v>
      </c>
      <c r="C86" t="s">
        <v>429</v>
      </c>
      <c r="D86" s="1" t="s">
        <v>430</v>
      </c>
      <c r="E86" t="b">
        <v>1</v>
      </c>
      <c r="F86" t="s">
        <v>678</v>
      </c>
      <c r="G86" t="s">
        <v>181</v>
      </c>
      <c r="H86">
        <v>0.9</v>
      </c>
      <c r="I86" t="s">
        <v>112</v>
      </c>
      <c r="J86" t="s">
        <v>199</v>
      </c>
      <c r="K86" t="b">
        <v>1</v>
      </c>
    </row>
    <row r="87" spans="1:11" x14ac:dyDescent="0.35">
      <c r="A87" t="s">
        <v>431</v>
      </c>
      <c r="B87">
        <v>2021</v>
      </c>
      <c r="C87" t="s">
        <v>432</v>
      </c>
      <c r="D87" t="s">
        <v>433</v>
      </c>
      <c r="E87" t="b">
        <v>1</v>
      </c>
      <c r="F87" t="s">
        <v>824</v>
      </c>
      <c r="G87" t="s">
        <v>181</v>
      </c>
      <c r="H87">
        <v>0.9</v>
      </c>
      <c r="I87" t="s">
        <v>112</v>
      </c>
      <c r="J87" t="s">
        <v>199</v>
      </c>
      <c r="K87" t="b">
        <v>1</v>
      </c>
    </row>
    <row r="88" spans="1:11" x14ac:dyDescent="0.35">
      <c r="A88" t="s">
        <v>434</v>
      </c>
      <c r="B88">
        <v>2021</v>
      </c>
      <c r="C88" t="s">
        <v>435</v>
      </c>
      <c r="D88" t="s">
        <v>714</v>
      </c>
      <c r="E88" t="b">
        <v>1</v>
      </c>
      <c r="F88" t="s">
        <v>825</v>
      </c>
      <c r="G88" t="s">
        <v>181</v>
      </c>
      <c r="H88">
        <v>0.95</v>
      </c>
      <c r="I88" s="7" t="s">
        <v>112</v>
      </c>
      <c r="J88" s="7"/>
      <c r="K88" t="b">
        <v>1</v>
      </c>
    </row>
    <row r="89" spans="1:11" x14ac:dyDescent="0.35">
      <c r="A89" t="s">
        <v>437</v>
      </c>
      <c r="B89">
        <v>2021</v>
      </c>
      <c r="C89" t="s">
        <v>438</v>
      </c>
      <c r="D89" t="s">
        <v>715</v>
      </c>
      <c r="E89" t="b">
        <v>1</v>
      </c>
      <c r="F89" t="s">
        <v>826</v>
      </c>
      <c r="G89" t="s">
        <v>181</v>
      </c>
      <c r="H89">
        <v>0.9</v>
      </c>
      <c r="I89" t="s">
        <v>112</v>
      </c>
      <c r="J89" t="s">
        <v>199</v>
      </c>
      <c r="K89" t="b">
        <v>1</v>
      </c>
    </row>
    <row r="90" spans="1:11" x14ac:dyDescent="0.35">
      <c r="A90" t="s">
        <v>440</v>
      </c>
      <c r="B90">
        <v>2021</v>
      </c>
      <c r="C90" t="s">
        <v>441</v>
      </c>
      <c r="D90" t="s">
        <v>716</v>
      </c>
      <c r="E90" t="b">
        <v>1</v>
      </c>
      <c r="F90" t="s">
        <v>827</v>
      </c>
      <c r="G90" t="s">
        <v>181</v>
      </c>
      <c r="H90">
        <v>0.9</v>
      </c>
      <c r="I90" t="s">
        <v>112</v>
      </c>
      <c r="J90" t="s">
        <v>199</v>
      </c>
      <c r="K90" t="b">
        <v>1</v>
      </c>
    </row>
    <row r="91" spans="1:11" x14ac:dyDescent="0.35">
      <c r="A91" t="s">
        <v>443</v>
      </c>
      <c r="B91">
        <v>2021</v>
      </c>
      <c r="C91" t="s">
        <v>444</v>
      </c>
      <c r="D91" t="s">
        <v>717</v>
      </c>
      <c r="E91" t="b">
        <v>1</v>
      </c>
      <c r="F91" t="s">
        <v>828</v>
      </c>
      <c r="G91" t="s">
        <v>181</v>
      </c>
      <c r="H91">
        <v>0.9</v>
      </c>
      <c r="I91" t="s">
        <v>112</v>
      </c>
      <c r="J91" t="s">
        <v>199</v>
      </c>
      <c r="K91" t="b">
        <v>1</v>
      </c>
    </row>
    <row r="92" spans="1:11" x14ac:dyDescent="0.35">
      <c r="A92" t="s">
        <v>446</v>
      </c>
      <c r="B92">
        <v>2021</v>
      </c>
      <c r="C92" t="s">
        <v>447</v>
      </c>
      <c r="D92" t="s">
        <v>448</v>
      </c>
      <c r="E92" t="b">
        <v>1</v>
      </c>
      <c r="F92" t="s">
        <v>829</v>
      </c>
      <c r="G92" t="s">
        <v>181</v>
      </c>
      <c r="H92">
        <v>0.9</v>
      </c>
      <c r="I92" t="s">
        <v>112</v>
      </c>
      <c r="J92" t="s">
        <v>199</v>
      </c>
      <c r="K92" t="b">
        <v>1</v>
      </c>
    </row>
    <row r="93" spans="1:11" x14ac:dyDescent="0.35">
      <c r="A93" t="s">
        <v>449</v>
      </c>
      <c r="B93">
        <v>2021</v>
      </c>
      <c r="C93" t="s">
        <v>718</v>
      </c>
      <c r="D93" t="s">
        <v>719</v>
      </c>
      <c r="E93" t="b">
        <v>1</v>
      </c>
      <c r="F93" t="s">
        <v>722</v>
      </c>
      <c r="G93" t="s">
        <v>181</v>
      </c>
      <c r="H93">
        <v>0.9</v>
      </c>
      <c r="I93" t="s">
        <v>112</v>
      </c>
      <c r="J93" t="s">
        <v>199</v>
      </c>
      <c r="K93" t="b">
        <v>1</v>
      </c>
    </row>
    <row r="94" spans="1:11" x14ac:dyDescent="0.35">
      <c r="A94" t="s">
        <v>452</v>
      </c>
      <c r="B94">
        <v>2021</v>
      </c>
      <c r="C94" t="s">
        <v>720</v>
      </c>
      <c r="D94" t="s">
        <v>721</v>
      </c>
      <c r="E94" t="b">
        <v>1</v>
      </c>
      <c r="F94" t="s">
        <v>830</v>
      </c>
      <c r="G94" t="s">
        <v>181</v>
      </c>
      <c r="H94">
        <v>0.9</v>
      </c>
      <c r="I94" t="s">
        <v>112</v>
      </c>
      <c r="J94" t="s">
        <v>199</v>
      </c>
      <c r="K94" t="b">
        <v>1</v>
      </c>
    </row>
    <row r="95" spans="1:11" x14ac:dyDescent="0.35">
      <c r="A95" t="s">
        <v>461</v>
      </c>
      <c r="B95">
        <v>2021</v>
      </c>
      <c r="C95" t="s">
        <v>462</v>
      </c>
      <c r="D95" t="s">
        <v>723</v>
      </c>
      <c r="E95" t="b">
        <v>1</v>
      </c>
      <c r="F95" t="s">
        <v>831</v>
      </c>
      <c r="G95" t="s">
        <v>181</v>
      </c>
      <c r="H95">
        <v>0.9</v>
      </c>
      <c r="I95" t="s">
        <v>112</v>
      </c>
      <c r="J95" t="s">
        <v>199</v>
      </c>
      <c r="K95" t="b">
        <v>1</v>
      </c>
    </row>
    <row r="96" spans="1:11" x14ac:dyDescent="0.35">
      <c r="A96" t="s">
        <v>464</v>
      </c>
      <c r="B96">
        <v>2021</v>
      </c>
      <c r="C96" t="s">
        <v>465</v>
      </c>
      <c r="D96" t="s">
        <v>466</v>
      </c>
      <c r="E96" t="b">
        <v>1</v>
      </c>
      <c r="F96" t="s">
        <v>771</v>
      </c>
      <c r="G96" t="s">
        <v>205</v>
      </c>
      <c r="H96">
        <v>0.6</v>
      </c>
      <c r="I96" t="s">
        <v>112</v>
      </c>
      <c r="J96" t="s">
        <v>199</v>
      </c>
      <c r="K96" t="b">
        <v>1</v>
      </c>
    </row>
    <row r="97" spans="1:11" ht="409.5" x14ac:dyDescent="0.35">
      <c r="A97" t="s">
        <v>467</v>
      </c>
      <c r="B97">
        <v>2021</v>
      </c>
      <c r="C97" t="s">
        <v>468</v>
      </c>
      <c r="D97" s="1" t="s">
        <v>469</v>
      </c>
      <c r="E97" t="b">
        <v>1</v>
      </c>
      <c r="F97" t="s">
        <v>832</v>
      </c>
      <c r="G97" t="s">
        <v>181</v>
      </c>
      <c r="H97">
        <v>0.9</v>
      </c>
      <c r="I97" t="s">
        <v>112</v>
      </c>
      <c r="J97" t="s">
        <v>199</v>
      </c>
      <c r="K97" t="b">
        <v>1</v>
      </c>
    </row>
    <row r="98" spans="1:11" x14ac:dyDescent="0.35">
      <c r="A98" t="s">
        <v>470</v>
      </c>
      <c r="B98">
        <v>2021</v>
      </c>
      <c r="C98" t="s">
        <v>471</v>
      </c>
      <c r="D98" t="s">
        <v>724</v>
      </c>
      <c r="E98" t="b">
        <v>0</v>
      </c>
      <c r="F98" t="s">
        <v>803</v>
      </c>
      <c r="G98" t="s">
        <v>192</v>
      </c>
      <c r="H98">
        <v>1</v>
      </c>
      <c r="I98" t="s">
        <v>173</v>
      </c>
      <c r="J98" t="s">
        <v>192</v>
      </c>
      <c r="K98" t="b">
        <v>0</v>
      </c>
    </row>
    <row r="99" spans="1:11" x14ac:dyDescent="0.35">
      <c r="A99" t="s">
        <v>473</v>
      </c>
      <c r="B99">
        <v>2021</v>
      </c>
      <c r="C99" t="s">
        <v>725</v>
      </c>
      <c r="D99" t="s">
        <v>726</v>
      </c>
      <c r="E99" t="b">
        <v>1</v>
      </c>
      <c r="F99" t="s">
        <v>833</v>
      </c>
      <c r="G99" t="s">
        <v>181</v>
      </c>
      <c r="H99">
        <v>0.9</v>
      </c>
      <c r="I99" t="s">
        <v>112</v>
      </c>
      <c r="J99" t="s">
        <v>199</v>
      </c>
      <c r="K99" t="b">
        <v>1</v>
      </c>
    </row>
    <row r="100" spans="1:11" x14ac:dyDescent="0.35">
      <c r="A100" t="s">
        <v>476</v>
      </c>
      <c r="B100">
        <v>2021</v>
      </c>
      <c r="C100" t="s">
        <v>477</v>
      </c>
      <c r="D100" t="s">
        <v>478</v>
      </c>
      <c r="E100" t="b">
        <v>0</v>
      </c>
      <c r="F100" t="s">
        <v>803</v>
      </c>
      <c r="G100" t="s">
        <v>192</v>
      </c>
      <c r="H100">
        <v>1</v>
      </c>
      <c r="I100" t="s">
        <v>173</v>
      </c>
      <c r="J100" t="s">
        <v>192</v>
      </c>
      <c r="K100" t="b">
        <v>0</v>
      </c>
    </row>
    <row r="101" spans="1:11" x14ac:dyDescent="0.35">
      <c r="A101" t="s">
        <v>479</v>
      </c>
      <c r="B101">
        <v>2021</v>
      </c>
      <c r="C101" t="s">
        <v>727</v>
      </c>
      <c r="D101" t="s">
        <v>728</v>
      </c>
      <c r="E101" t="b">
        <v>0</v>
      </c>
      <c r="F101" t="s">
        <v>834</v>
      </c>
      <c r="G101" t="s">
        <v>190</v>
      </c>
      <c r="H101">
        <v>0.8</v>
      </c>
      <c r="I101" t="s">
        <v>112</v>
      </c>
      <c r="J101" t="s">
        <v>199</v>
      </c>
      <c r="K101" t="b">
        <v>1</v>
      </c>
    </row>
    <row r="102" spans="1:11" x14ac:dyDescent="0.35">
      <c r="A102" t="s">
        <v>482</v>
      </c>
      <c r="B102">
        <v>2021</v>
      </c>
      <c r="C102" t="s">
        <v>483</v>
      </c>
      <c r="D102" t="s">
        <v>729</v>
      </c>
      <c r="E102" t="b">
        <v>0</v>
      </c>
      <c r="F102" t="s">
        <v>835</v>
      </c>
      <c r="G102" t="s">
        <v>192</v>
      </c>
      <c r="H102">
        <v>0.9</v>
      </c>
      <c r="I102" t="s">
        <v>112</v>
      </c>
      <c r="J102" t="s">
        <v>199</v>
      </c>
      <c r="K102" t="b">
        <v>1</v>
      </c>
    </row>
    <row r="103" spans="1:11" x14ac:dyDescent="0.35">
      <c r="A103" t="s">
        <v>485</v>
      </c>
      <c r="B103">
        <v>2021</v>
      </c>
      <c r="C103" t="s">
        <v>486</v>
      </c>
      <c r="D103" t="s">
        <v>487</v>
      </c>
      <c r="E103" t="b">
        <v>1</v>
      </c>
      <c r="F103" t="s">
        <v>836</v>
      </c>
      <c r="G103" t="s">
        <v>181</v>
      </c>
      <c r="H103">
        <v>0.9</v>
      </c>
      <c r="I103" t="s">
        <v>112</v>
      </c>
      <c r="J103" t="s">
        <v>199</v>
      </c>
      <c r="K103" t="b">
        <v>1</v>
      </c>
    </row>
    <row r="104" spans="1:11" x14ac:dyDescent="0.35">
      <c r="A104" t="s">
        <v>488</v>
      </c>
      <c r="B104">
        <v>2021</v>
      </c>
      <c r="C104" t="s">
        <v>489</v>
      </c>
      <c r="D104" t="s">
        <v>730</v>
      </c>
      <c r="E104" t="b">
        <v>1</v>
      </c>
      <c r="F104" t="s">
        <v>837</v>
      </c>
      <c r="G104" t="s">
        <v>205</v>
      </c>
      <c r="H104">
        <v>0.8</v>
      </c>
      <c r="I104" t="s">
        <v>112</v>
      </c>
      <c r="J104" t="s">
        <v>199</v>
      </c>
      <c r="K104" t="b">
        <v>1</v>
      </c>
    </row>
    <row r="105" spans="1:11" x14ac:dyDescent="0.35">
      <c r="A105" t="s">
        <v>491</v>
      </c>
      <c r="B105">
        <v>2021</v>
      </c>
      <c r="C105" t="s">
        <v>492</v>
      </c>
      <c r="D105" t="s">
        <v>493</v>
      </c>
      <c r="E105" t="b">
        <v>1</v>
      </c>
      <c r="F105" t="s">
        <v>838</v>
      </c>
      <c r="G105" t="s">
        <v>181</v>
      </c>
      <c r="H105">
        <v>0.9</v>
      </c>
      <c r="I105" t="s">
        <v>112</v>
      </c>
      <c r="J105" t="s">
        <v>199</v>
      </c>
      <c r="K105" t="b">
        <v>1</v>
      </c>
    </row>
    <row r="106" spans="1:11" x14ac:dyDescent="0.35">
      <c r="A106" t="s">
        <v>494</v>
      </c>
      <c r="B106">
        <v>2021</v>
      </c>
      <c r="C106" t="s">
        <v>495</v>
      </c>
      <c r="D106" t="s">
        <v>731</v>
      </c>
      <c r="E106" t="b">
        <v>0</v>
      </c>
      <c r="F106" t="s">
        <v>803</v>
      </c>
      <c r="G106" t="s">
        <v>192</v>
      </c>
      <c r="H106">
        <v>1</v>
      </c>
      <c r="I106" t="s">
        <v>173</v>
      </c>
      <c r="J106" t="s">
        <v>192</v>
      </c>
      <c r="K106" t="b">
        <v>0</v>
      </c>
    </row>
    <row r="107" spans="1:11" x14ac:dyDescent="0.35">
      <c r="A107" t="s">
        <v>497</v>
      </c>
      <c r="B107">
        <v>2021</v>
      </c>
      <c r="C107" t="s">
        <v>498</v>
      </c>
      <c r="D107" t="s">
        <v>499</v>
      </c>
      <c r="E107" t="b">
        <v>0</v>
      </c>
      <c r="F107" t="s">
        <v>839</v>
      </c>
      <c r="G107" t="s">
        <v>192</v>
      </c>
      <c r="H107">
        <v>1</v>
      </c>
      <c r="I107" t="s">
        <v>173</v>
      </c>
      <c r="J107" t="s">
        <v>192</v>
      </c>
      <c r="K107" t="b">
        <v>0</v>
      </c>
    </row>
    <row r="108" spans="1:11" x14ac:dyDescent="0.35">
      <c r="A108" t="s">
        <v>500</v>
      </c>
      <c r="B108">
        <v>2021</v>
      </c>
      <c r="C108" t="s">
        <v>501</v>
      </c>
      <c r="D108" t="s">
        <v>732</v>
      </c>
      <c r="E108" t="b">
        <v>0</v>
      </c>
      <c r="F108" t="s">
        <v>803</v>
      </c>
      <c r="G108" t="s">
        <v>192</v>
      </c>
      <c r="H108">
        <v>1</v>
      </c>
      <c r="I108" t="s">
        <v>173</v>
      </c>
      <c r="J108" t="s">
        <v>192</v>
      </c>
      <c r="K108" t="b">
        <v>0</v>
      </c>
    </row>
    <row r="109" spans="1:11" x14ac:dyDescent="0.35">
      <c r="A109" t="s">
        <v>506</v>
      </c>
      <c r="B109">
        <v>2021</v>
      </c>
      <c r="C109" t="s">
        <v>507</v>
      </c>
      <c r="D109" t="s">
        <v>733</v>
      </c>
      <c r="E109" t="b">
        <v>1</v>
      </c>
      <c r="F109" t="s">
        <v>840</v>
      </c>
      <c r="G109" t="s">
        <v>181</v>
      </c>
      <c r="H109">
        <v>0.9</v>
      </c>
      <c r="I109" t="s">
        <v>112</v>
      </c>
      <c r="J109" t="s">
        <v>199</v>
      </c>
      <c r="K109" t="b">
        <v>1</v>
      </c>
    </row>
    <row r="110" spans="1:11" x14ac:dyDescent="0.35">
      <c r="A110" t="s">
        <v>509</v>
      </c>
      <c r="B110">
        <v>2021</v>
      </c>
      <c r="C110" t="s">
        <v>510</v>
      </c>
      <c r="D110" t="s">
        <v>734</v>
      </c>
      <c r="E110" t="b">
        <v>1</v>
      </c>
      <c r="F110" t="s">
        <v>771</v>
      </c>
      <c r="G110" t="s">
        <v>205</v>
      </c>
      <c r="H110">
        <v>0.7</v>
      </c>
      <c r="I110" t="s">
        <v>112</v>
      </c>
      <c r="J110" t="s">
        <v>199</v>
      </c>
      <c r="K110" t="b">
        <v>1</v>
      </c>
    </row>
    <row r="111" spans="1:11" x14ac:dyDescent="0.35">
      <c r="A111" t="s">
        <v>512</v>
      </c>
      <c r="B111">
        <v>2021</v>
      </c>
      <c r="C111" t="s">
        <v>735</v>
      </c>
      <c r="D111" t="s">
        <v>736</v>
      </c>
      <c r="E111" t="b">
        <v>1</v>
      </c>
      <c r="F111" t="s">
        <v>705</v>
      </c>
      <c r="G111" t="s">
        <v>181</v>
      </c>
      <c r="H111">
        <v>0.95</v>
      </c>
      <c r="I111" t="s">
        <v>112</v>
      </c>
      <c r="J111" t="s">
        <v>199</v>
      </c>
      <c r="K111" t="b">
        <v>1</v>
      </c>
    </row>
    <row r="112" spans="1:11" x14ac:dyDescent="0.35">
      <c r="A112" t="s">
        <v>515</v>
      </c>
      <c r="B112">
        <v>2021</v>
      </c>
      <c r="C112" t="s">
        <v>516</v>
      </c>
      <c r="D112" t="s">
        <v>517</v>
      </c>
      <c r="E112" t="b">
        <v>1</v>
      </c>
      <c r="F112" t="s">
        <v>678</v>
      </c>
      <c r="G112" t="s">
        <v>181</v>
      </c>
      <c r="H112">
        <v>0.9</v>
      </c>
      <c r="I112" t="s">
        <v>112</v>
      </c>
      <c r="J112" t="s">
        <v>199</v>
      </c>
      <c r="K112" t="b">
        <v>1</v>
      </c>
    </row>
    <row r="113" spans="1:11" x14ac:dyDescent="0.35">
      <c r="A113" t="s">
        <v>518</v>
      </c>
      <c r="B113">
        <v>2021</v>
      </c>
      <c r="C113" t="s">
        <v>519</v>
      </c>
      <c r="D113" t="s">
        <v>499</v>
      </c>
      <c r="E113" t="b">
        <v>1</v>
      </c>
      <c r="F113" t="s">
        <v>771</v>
      </c>
      <c r="G113" t="s">
        <v>205</v>
      </c>
      <c r="H113">
        <v>0.7</v>
      </c>
      <c r="I113" t="s">
        <v>112</v>
      </c>
      <c r="J113" t="s">
        <v>199</v>
      </c>
      <c r="K113" t="b">
        <v>1</v>
      </c>
    </row>
    <row r="114" spans="1:11" x14ac:dyDescent="0.35">
      <c r="A114" t="s">
        <v>520</v>
      </c>
      <c r="B114">
        <v>2021</v>
      </c>
      <c r="C114" t="s">
        <v>521</v>
      </c>
      <c r="D114" t="s">
        <v>737</v>
      </c>
      <c r="E114" t="b">
        <v>1</v>
      </c>
      <c r="F114" t="s">
        <v>841</v>
      </c>
      <c r="G114" t="s">
        <v>181</v>
      </c>
      <c r="H114">
        <v>0.9</v>
      </c>
      <c r="I114" t="s">
        <v>112</v>
      </c>
      <c r="J114" t="s">
        <v>199</v>
      </c>
      <c r="K114" t="b">
        <v>1</v>
      </c>
    </row>
    <row r="115" spans="1:11" x14ac:dyDescent="0.35">
      <c r="A115" t="s">
        <v>523</v>
      </c>
      <c r="B115">
        <v>2021</v>
      </c>
      <c r="C115" t="s">
        <v>524</v>
      </c>
      <c r="D115" t="s">
        <v>738</v>
      </c>
      <c r="E115" t="b">
        <v>0</v>
      </c>
      <c r="F115" t="s">
        <v>842</v>
      </c>
      <c r="G115" t="s">
        <v>192</v>
      </c>
      <c r="H115">
        <v>0.9</v>
      </c>
      <c r="I115" t="s">
        <v>112</v>
      </c>
      <c r="J115" t="s">
        <v>199</v>
      </c>
      <c r="K115" t="b">
        <v>1</v>
      </c>
    </row>
    <row r="116" spans="1:11" x14ac:dyDescent="0.35">
      <c r="A116" t="s">
        <v>526</v>
      </c>
      <c r="B116">
        <v>2021</v>
      </c>
      <c r="C116" t="s">
        <v>527</v>
      </c>
      <c r="D116" t="s">
        <v>739</v>
      </c>
      <c r="E116" t="b">
        <v>1</v>
      </c>
      <c r="F116" t="s">
        <v>843</v>
      </c>
      <c r="G116" t="s">
        <v>181</v>
      </c>
      <c r="H116">
        <v>0.9</v>
      </c>
      <c r="I116" t="s">
        <v>112</v>
      </c>
      <c r="J116" t="s">
        <v>199</v>
      </c>
      <c r="K116" t="b">
        <v>1</v>
      </c>
    </row>
    <row r="117" spans="1:11" x14ac:dyDescent="0.35">
      <c r="A117" t="s">
        <v>529</v>
      </c>
      <c r="B117">
        <v>2021</v>
      </c>
      <c r="C117" t="s">
        <v>530</v>
      </c>
      <c r="D117" t="s">
        <v>740</v>
      </c>
      <c r="E117" t="b">
        <v>1</v>
      </c>
      <c r="F117" t="s">
        <v>799</v>
      </c>
      <c r="G117" t="s">
        <v>181</v>
      </c>
      <c r="H117">
        <v>0.9</v>
      </c>
      <c r="I117" t="s">
        <v>112</v>
      </c>
      <c r="J117" t="s">
        <v>199</v>
      </c>
      <c r="K117" t="b">
        <v>1</v>
      </c>
    </row>
    <row r="118" spans="1:11" x14ac:dyDescent="0.35">
      <c r="A118" t="s">
        <v>532</v>
      </c>
      <c r="B118">
        <v>2021</v>
      </c>
      <c r="C118" t="s">
        <v>533</v>
      </c>
      <c r="D118" t="s">
        <v>534</v>
      </c>
      <c r="E118" t="b">
        <v>1</v>
      </c>
      <c r="F118" t="s">
        <v>771</v>
      </c>
      <c r="G118" t="s">
        <v>205</v>
      </c>
      <c r="H118">
        <v>0.6</v>
      </c>
      <c r="I118" t="s">
        <v>112</v>
      </c>
      <c r="J118" t="s">
        <v>668</v>
      </c>
      <c r="K118" t="b">
        <v>1</v>
      </c>
    </row>
    <row r="119" spans="1:11" x14ac:dyDescent="0.35">
      <c r="A119" t="s">
        <v>535</v>
      </c>
      <c r="B119">
        <v>2021</v>
      </c>
      <c r="C119" t="s">
        <v>536</v>
      </c>
      <c r="D119" t="s">
        <v>537</v>
      </c>
      <c r="E119" t="b">
        <v>1</v>
      </c>
      <c r="F119" t="s">
        <v>741</v>
      </c>
      <c r="G119" t="s">
        <v>181</v>
      </c>
      <c r="H119">
        <v>0.9</v>
      </c>
      <c r="I119" t="s">
        <v>112</v>
      </c>
      <c r="J119" t="s">
        <v>199</v>
      </c>
      <c r="K119" t="b">
        <v>1</v>
      </c>
    </row>
    <row r="120" spans="1:11" x14ac:dyDescent="0.35">
      <c r="A120" t="s">
        <v>538</v>
      </c>
      <c r="B120">
        <v>2021</v>
      </c>
      <c r="C120" t="s">
        <v>742</v>
      </c>
      <c r="D120" t="s">
        <v>743</v>
      </c>
      <c r="E120" t="b">
        <v>1</v>
      </c>
      <c r="F120" t="s">
        <v>844</v>
      </c>
      <c r="G120" t="s">
        <v>181</v>
      </c>
      <c r="H120">
        <v>0.9</v>
      </c>
      <c r="I120" t="s">
        <v>112</v>
      </c>
      <c r="J120" t="s">
        <v>199</v>
      </c>
      <c r="K120" t="b">
        <v>1</v>
      </c>
    </row>
    <row r="121" spans="1:11" x14ac:dyDescent="0.35">
      <c r="A121" t="s">
        <v>541</v>
      </c>
      <c r="B121">
        <v>2021</v>
      </c>
      <c r="C121" t="s">
        <v>744</v>
      </c>
      <c r="D121" t="s">
        <v>745</v>
      </c>
      <c r="E121" t="b">
        <v>1</v>
      </c>
      <c r="F121" t="s">
        <v>845</v>
      </c>
      <c r="G121" t="s">
        <v>181</v>
      </c>
      <c r="H121">
        <v>0.9</v>
      </c>
      <c r="I121" t="s">
        <v>112</v>
      </c>
      <c r="J121" t="s">
        <v>199</v>
      </c>
      <c r="K121" t="b">
        <v>1</v>
      </c>
    </row>
    <row r="122" spans="1:11" x14ac:dyDescent="0.35">
      <c r="A122" t="s">
        <v>544</v>
      </c>
      <c r="B122">
        <v>2021</v>
      </c>
      <c r="C122" t="s">
        <v>545</v>
      </c>
      <c r="D122" t="s">
        <v>746</v>
      </c>
      <c r="E122" t="b">
        <v>1</v>
      </c>
      <c r="F122" t="s">
        <v>846</v>
      </c>
      <c r="G122" t="s">
        <v>181</v>
      </c>
      <c r="H122">
        <v>0.95</v>
      </c>
      <c r="I122" t="s">
        <v>112</v>
      </c>
      <c r="J122" t="s">
        <v>199</v>
      </c>
      <c r="K122" t="b">
        <v>1</v>
      </c>
    </row>
    <row r="123" spans="1:11" ht="409.5" x14ac:dyDescent="0.35">
      <c r="A123" t="s">
        <v>547</v>
      </c>
      <c r="B123">
        <v>2021</v>
      </c>
      <c r="C123" t="s">
        <v>548</v>
      </c>
      <c r="D123" s="1" t="s">
        <v>549</v>
      </c>
      <c r="E123" t="b">
        <v>1</v>
      </c>
      <c r="F123" t="s">
        <v>847</v>
      </c>
      <c r="G123" t="s">
        <v>181</v>
      </c>
      <c r="H123">
        <v>0.95</v>
      </c>
      <c r="I123" t="s">
        <v>112</v>
      </c>
      <c r="J123" t="s">
        <v>199</v>
      </c>
      <c r="K123" t="b">
        <v>1</v>
      </c>
    </row>
    <row r="124" spans="1:11" x14ac:dyDescent="0.35">
      <c r="A124" t="s">
        <v>550</v>
      </c>
      <c r="B124">
        <v>2021</v>
      </c>
      <c r="C124" t="s">
        <v>551</v>
      </c>
      <c r="D124" t="s">
        <v>747</v>
      </c>
      <c r="E124" t="b">
        <v>0</v>
      </c>
      <c r="F124" t="s">
        <v>848</v>
      </c>
      <c r="G124" t="s">
        <v>192</v>
      </c>
      <c r="H124">
        <v>1</v>
      </c>
      <c r="I124" t="s">
        <v>173</v>
      </c>
      <c r="J124" t="s">
        <v>192</v>
      </c>
      <c r="K124" t="b">
        <v>0</v>
      </c>
    </row>
    <row r="125" spans="1:11" x14ac:dyDescent="0.35">
      <c r="A125" t="s">
        <v>553</v>
      </c>
      <c r="B125">
        <v>2021</v>
      </c>
      <c r="C125" t="s">
        <v>554</v>
      </c>
      <c r="D125" t="s">
        <v>748</v>
      </c>
      <c r="E125" t="b">
        <v>1</v>
      </c>
      <c r="F125" t="s">
        <v>800</v>
      </c>
      <c r="G125" t="s">
        <v>181</v>
      </c>
      <c r="H125">
        <v>0.9</v>
      </c>
      <c r="I125" t="s">
        <v>112</v>
      </c>
      <c r="J125" t="s">
        <v>199</v>
      </c>
      <c r="K125" t="b">
        <v>1</v>
      </c>
    </row>
    <row r="126" spans="1:11" x14ac:dyDescent="0.35">
      <c r="A126" t="s">
        <v>556</v>
      </c>
      <c r="B126">
        <v>2021</v>
      </c>
      <c r="C126" t="s">
        <v>557</v>
      </c>
      <c r="D126" t="s">
        <v>558</v>
      </c>
      <c r="E126" t="b">
        <v>1</v>
      </c>
      <c r="F126" t="s">
        <v>849</v>
      </c>
      <c r="G126" t="s">
        <v>181</v>
      </c>
      <c r="H126">
        <v>0.9</v>
      </c>
      <c r="I126" t="s">
        <v>112</v>
      </c>
      <c r="J126" t="s">
        <v>199</v>
      </c>
      <c r="K126" t="b">
        <v>1</v>
      </c>
    </row>
    <row r="127" spans="1:11" x14ac:dyDescent="0.35">
      <c r="A127" t="s">
        <v>559</v>
      </c>
      <c r="B127">
        <v>2021</v>
      </c>
      <c r="C127" t="s">
        <v>749</v>
      </c>
      <c r="D127" t="s">
        <v>750</v>
      </c>
      <c r="E127" t="b">
        <v>1</v>
      </c>
      <c r="F127" t="s">
        <v>771</v>
      </c>
      <c r="G127" t="s">
        <v>205</v>
      </c>
      <c r="H127">
        <v>0.6</v>
      </c>
      <c r="I127" t="s">
        <v>112</v>
      </c>
      <c r="J127" t="s">
        <v>199</v>
      </c>
      <c r="K127" t="b">
        <v>1</v>
      </c>
    </row>
    <row r="128" spans="1:11" x14ac:dyDescent="0.35">
      <c r="A128" t="s">
        <v>562</v>
      </c>
      <c r="B128">
        <v>2021</v>
      </c>
      <c r="C128" t="s">
        <v>563</v>
      </c>
      <c r="D128" t="s">
        <v>564</v>
      </c>
      <c r="E128" t="b">
        <v>1</v>
      </c>
      <c r="F128" t="s">
        <v>751</v>
      </c>
      <c r="G128" t="s">
        <v>674</v>
      </c>
      <c r="H128">
        <v>0.8</v>
      </c>
      <c r="I128" t="s">
        <v>112</v>
      </c>
      <c r="J128" t="s">
        <v>199</v>
      </c>
      <c r="K128" t="b">
        <v>1</v>
      </c>
    </row>
    <row r="129" spans="1:11" x14ac:dyDescent="0.35">
      <c r="A129" t="s">
        <v>565</v>
      </c>
      <c r="B129">
        <v>2021</v>
      </c>
      <c r="C129" t="s">
        <v>566</v>
      </c>
      <c r="D129" t="s">
        <v>752</v>
      </c>
      <c r="E129" t="b">
        <v>1</v>
      </c>
      <c r="F129" t="s">
        <v>771</v>
      </c>
      <c r="G129" t="s">
        <v>205</v>
      </c>
      <c r="H129">
        <v>0.5</v>
      </c>
      <c r="I129" t="s">
        <v>112</v>
      </c>
      <c r="J129" t="s">
        <v>669</v>
      </c>
      <c r="K129" t="b">
        <v>1</v>
      </c>
    </row>
    <row r="130" spans="1:11" x14ac:dyDescent="0.35">
      <c r="A130" t="s">
        <v>568</v>
      </c>
      <c r="B130">
        <v>2021</v>
      </c>
      <c r="C130" t="s">
        <v>569</v>
      </c>
      <c r="D130" t="s">
        <v>753</v>
      </c>
      <c r="E130" t="b">
        <v>1</v>
      </c>
      <c r="F130" t="s">
        <v>789</v>
      </c>
      <c r="G130" t="s">
        <v>181</v>
      </c>
      <c r="H130">
        <v>0.95</v>
      </c>
      <c r="I130" t="s">
        <v>112</v>
      </c>
      <c r="J130" t="s">
        <v>199</v>
      </c>
      <c r="K130" t="b">
        <v>1</v>
      </c>
    </row>
    <row r="131" spans="1:11" ht="409.5" x14ac:dyDescent="0.35">
      <c r="A131" t="s">
        <v>571</v>
      </c>
      <c r="B131">
        <v>2021</v>
      </c>
      <c r="C131" t="s">
        <v>572</v>
      </c>
      <c r="D131" s="1" t="s">
        <v>573</v>
      </c>
      <c r="E131" t="b">
        <v>0</v>
      </c>
      <c r="F131" t="s">
        <v>850</v>
      </c>
      <c r="G131" t="s">
        <v>192</v>
      </c>
      <c r="H131">
        <v>0.9</v>
      </c>
      <c r="I131" t="s">
        <v>112</v>
      </c>
      <c r="J131" t="s">
        <v>199</v>
      </c>
      <c r="K131" t="b">
        <v>1</v>
      </c>
    </row>
    <row r="132" spans="1:11" x14ac:dyDescent="0.35">
      <c r="A132" t="s">
        <v>574</v>
      </c>
      <c r="B132">
        <v>2021</v>
      </c>
      <c r="C132" t="s">
        <v>754</v>
      </c>
      <c r="D132" t="s">
        <v>755</v>
      </c>
      <c r="E132" t="b">
        <v>1</v>
      </c>
      <c r="F132" t="s">
        <v>846</v>
      </c>
      <c r="G132" t="s">
        <v>181</v>
      </c>
      <c r="H132">
        <v>0.9</v>
      </c>
      <c r="I132" t="s">
        <v>112</v>
      </c>
      <c r="J132" t="s">
        <v>199</v>
      </c>
      <c r="K132" t="b">
        <v>1</v>
      </c>
    </row>
    <row r="133" spans="1:11" x14ac:dyDescent="0.35">
      <c r="A133" t="s">
        <v>583</v>
      </c>
      <c r="B133">
        <v>2021</v>
      </c>
      <c r="C133" t="s">
        <v>584</v>
      </c>
      <c r="D133" t="s">
        <v>585</v>
      </c>
      <c r="E133" t="b">
        <v>1</v>
      </c>
      <c r="F133" t="s">
        <v>851</v>
      </c>
      <c r="G133" t="s">
        <v>181</v>
      </c>
      <c r="H133">
        <v>0.9</v>
      </c>
      <c r="I133" t="s">
        <v>112</v>
      </c>
      <c r="J133" t="s">
        <v>670</v>
      </c>
      <c r="K133" t="b">
        <v>1</v>
      </c>
    </row>
    <row r="134" spans="1:11" x14ac:dyDescent="0.35">
      <c r="A134" t="s">
        <v>588</v>
      </c>
      <c r="B134">
        <v>2021</v>
      </c>
      <c r="C134" t="s">
        <v>589</v>
      </c>
      <c r="D134" t="s">
        <v>756</v>
      </c>
      <c r="E134" t="b">
        <v>1</v>
      </c>
      <c r="F134" t="s">
        <v>805</v>
      </c>
      <c r="G134" t="s">
        <v>181</v>
      </c>
      <c r="H134">
        <v>0.9</v>
      </c>
      <c r="I134" t="s">
        <v>112</v>
      </c>
      <c r="J134" t="s">
        <v>199</v>
      </c>
      <c r="K134" t="b">
        <v>1</v>
      </c>
    </row>
    <row r="135" spans="1:11" x14ac:dyDescent="0.35">
      <c r="A135" t="s">
        <v>591</v>
      </c>
      <c r="B135">
        <v>2021</v>
      </c>
      <c r="C135" t="s">
        <v>757</v>
      </c>
      <c r="D135" t="s">
        <v>758</v>
      </c>
      <c r="E135" t="b">
        <v>1</v>
      </c>
      <c r="F135" t="s">
        <v>203</v>
      </c>
      <c r="G135" t="s">
        <v>181</v>
      </c>
      <c r="H135">
        <v>0.9</v>
      </c>
      <c r="I135" t="s">
        <v>112</v>
      </c>
      <c r="J135" t="s">
        <v>199</v>
      </c>
      <c r="K135" t="b">
        <v>1</v>
      </c>
    </row>
    <row r="136" spans="1:11" x14ac:dyDescent="0.35">
      <c r="A136" t="s">
        <v>594</v>
      </c>
      <c r="B136">
        <v>2021</v>
      </c>
      <c r="C136" t="s">
        <v>595</v>
      </c>
      <c r="D136" t="s">
        <v>596</v>
      </c>
      <c r="E136" t="b">
        <v>1</v>
      </c>
      <c r="F136" t="s">
        <v>852</v>
      </c>
      <c r="G136" t="s">
        <v>181</v>
      </c>
      <c r="H136">
        <v>0.9</v>
      </c>
      <c r="I136" t="s">
        <v>112</v>
      </c>
      <c r="J136" t="s">
        <v>199</v>
      </c>
      <c r="K136" t="b">
        <v>1</v>
      </c>
    </row>
    <row r="137" spans="1:11" x14ac:dyDescent="0.35">
      <c r="A137" t="s">
        <v>597</v>
      </c>
      <c r="B137">
        <v>2021</v>
      </c>
      <c r="C137" t="s">
        <v>598</v>
      </c>
      <c r="D137" t="s">
        <v>759</v>
      </c>
      <c r="E137" t="b">
        <v>1</v>
      </c>
      <c r="F137" t="s">
        <v>789</v>
      </c>
      <c r="G137" t="s">
        <v>181</v>
      </c>
      <c r="H137">
        <v>0.9</v>
      </c>
      <c r="I137" t="s">
        <v>112</v>
      </c>
      <c r="J137" t="s">
        <v>199</v>
      </c>
      <c r="K137" t="b">
        <v>1</v>
      </c>
    </row>
    <row r="138" spans="1:11" x14ac:dyDescent="0.35">
      <c r="A138" t="s">
        <v>600</v>
      </c>
      <c r="B138">
        <v>2021</v>
      </c>
      <c r="C138" t="s">
        <v>601</v>
      </c>
      <c r="D138" t="s">
        <v>760</v>
      </c>
      <c r="E138" t="b">
        <v>1</v>
      </c>
      <c r="F138" t="s">
        <v>853</v>
      </c>
      <c r="G138" t="s">
        <v>181</v>
      </c>
      <c r="H138">
        <v>0.9</v>
      </c>
      <c r="I138" t="s">
        <v>112</v>
      </c>
      <c r="J138" t="s">
        <v>199</v>
      </c>
      <c r="K138" t="b">
        <v>1</v>
      </c>
    </row>
    <row r="139" spans="1:11" ht="409.5" x14ac:dyDescent="0.35">
      <c r="A139" t="s">
        <v>603</v>
      </c>
      <c r="B139">
        <v>2021</v>
      </c>
      <c r="C139" t="s">
        <v>601</v>
      </c>
      <c r="D139" s="1" t="s">
        <v>604</v>
      </c>
      <c r="E139" t="b">
        <v>1</v>
      </c>
      <c r="F139" t="s">
        <v>854</v>
      </c>
      <c r="G139" t="s">
        <v>181</v>
      </c>
      <c r="H139">
        <v>0.9</v>
      </c>
      <c r="I139" s="7" t="s">
        <v>112</v>
      </c>
      <c r="J139" s="7"/>
      <c r="K139" t="b">
        <v>1</v>
      </c>
    </row>
    <row r="140" spans="1:11" x14ac:dyDescent="0.35">
      <c r="A140" t="s">
        <v>605</v>
      </c>
      <c r="B140">
        <v>2021</v>
      </c>
      <c r="C140" t="s">
        <v>606</v>
      </c>
      <c r="D140" t="s">
        <v>607</v>
      </c>
      <c r="E140" t="b">
        <v>1</v>
      </c>
      <c r="F140" t="s">
        <v>771</v>
      </c>
      <c r="G140" t="s">
        <v>205</v>
      </c>
      <c r="H140">
        <v>0.6</v>
      </c>
      <c r="I140" t="s">
        <v>112</v>
      </c>
      <c r="J140" t="s">
        <v>199</v>
      </c>
      <c r="K140" t="b">
        <v>1</v>
      </c>
    </row>
    <row r="141" spans="1:11" ht="409.5" x14ac:dyDescent="0.35">
      <c r="A141" t="s">
        <v>608</v>
      </c>
      <c r="B141">
        <v>2025</v>
      </c>
      <c r="C141" t="s">
        <v>609</v>
      </c>
      <c r="D141" s="1" t="s">
        <v>610</v>
      </c>
      <c r="E141" t="b">
        <v>1</v>
      </c>
      <c r="F141" t="s">
        <v>855</v>
      </c>
      <c r="G141" t="s">
        <v>181</v>
      </c>
      <c r="H141">
        <v>0.95</v>
      </c>
      <c r="I141" t="s">
        <v>112</v>
      </c>
      <c r="J141" t="s">
        <v>199</v>
      </c>
      <c r="K141" t="b">
        <v>1</v>
      </c>
    </row>
    <row r="142" spans="1:11" x14ac:dyDescent="0.35">
      <c r="A142" t="s">
        <v>611</v>
      </c>
      <c r="B142">
        <v>2025</v>
      </c>
      <c r="C142" t="s">
        <v>609</v>
      </c>
      <c r="D142" t="s">
        <v>761</v>
      </c>
      <c r="E142" t="b">
        <v>1</v>
      </c>
      <c r="F142" t="s">
        <v>855</v>
      </c>
      <c r="G142" t="s">
        <v>181</v>
      </c>
      <c r="H142">
        <v>0.9</v>
      </c>
      <c r="I142" s="7" t="s">
        <v>112</v>
      </c>
      <c r="J142" s="7"/>
      <c r="K142" t="b">
        <v>1</v>
      </c>
    </row>
    <row r="143" spans="1:11" x14ac:dyDescent="0.35">
      <c r="A143" t="s">
        <v>613</v>
      </c>
      <c r="B143">
        <v>2025</v>
      </c>
      <c r="C143" t="s">
        <v>614</v>
      </c>
      <c r="D143" t="s">
        <v>762</v>
      </c>
      <c r="E143" t="b">
        <v>0</v>
      </c>
      <c r="F143" t="s">
        <v>856</v>
      </c>
      <c r="G143" t="s">
        <v>181</v>
      </c>
      <c r="H143">
        <v>0.9</v>
      </c>
      <c r="I143" t="s">
        <v>112</v>
      </c>
      <c r="J143" t="s">
        <v>199</v>
      </c>
      <c r="K143" t="b">
        <v>1</v>
      </c>
    </row>
    <row r="144" spans="1:11" x14ac:dyDescent="0.35">
      <c r="A144" t="s">
        <v>619</v>
      </c>
      <c r="B144">
        <v>2025</v>
      </c>
      <c r="C144" t="s">
        <v>620</v>
      </c>
      <c r="D144" t="s">
        <v>621</v>
      </c>
      <c r="E144" t="b">
        <v>1</v>
      </c>
      <c r="F144" t="s">
        <v>857</v>
      </c>
      <c r="G144" t="s">
        <v>181</v>
      </c>
      <c r="H144">
        <v>0.9</v>
      </c>
      <c r="I144" t="s">
        <v>112</v>
      </c>
      <c r="J144" t="s">
        <v>199</v>
      </c>
      <c r="K144" t="b">
        <v>1</v>
      </c>
    </row>
    <row r="145" spans="1:11" x14ac:dyDescent="0.35">
      <c r="A145" t="s">
        <v>622</v>
      </c>
      <c r="B145">
        <v>2025</v>
      </c>
      <c r="C145" t="s">
        <v>623</v>
      </c>
      <c r="D145" t="s">
        <v>624</v>
      </c>
      <c r="E145" t="b">
        <v>1</v>
      </c>
      <c r="F145" t="s">
        <v>798</v>
      </c>
      <c r="G145" t="s">
        <v>181</v>
      </c>
      <c r="H145">
        <v>0.9</v>
      </c>
      <c r="I145" t="s">
        <v>112</v>
      </c>
      <c r="J145" t="s">
        <v>199</v>
      </c>
      <c r="K145" t="b">
        <v>1</v>
      </c>
    </row>
    <row r="146" spans="1:11" x14ac:dyDescent="0.35">
      <c r="A146" t="s">
        <v>625</v>
      </c>
      <c r="B146">
        <v>2025</v>
      </c>
      <c r="C146" t="s">
        <v>763</v>
      </c>
      <c r="D146" t="s">
        <v>764</v>
      </c>
      <c r="E146" t="b">
        <v>1</v>
      </c>
      <c r="F146" t="s">
        <v>858</v>
      </c>
      <c r="G146" t="s">
        <v>181</v>
      </c>
      <c r="H146">
        <v>0.9</v>
      </c>
      <c r="I146" t="s">
        <v>112</v>
      </c>
      <c r="J146" t="s">
        <v>199</v>
      </c>
      <c r="K146" t="b">
        <v>1</v>
      </c>
    </row>
    <row r="147" spans="1:11" x14ac:dyDescent="0.35">
      <c r="A147" t="s">
        <v>628</v>
      </c>
      <c r="B147">
        <v>2025</v>
      </c>
      <c r="C147" t="s">
        <v>629</v>
      </c>
      <c r="D147" t="s">
        <v>630</v>
      </c>
      <c r="E147" t="b">
        <v>1</v>
      </c>
      <c r="F147" t="s">
        <v>771</v>
      </c>
      <c r="G147" t="s">
        <v>205</v>
      </c>
      <c r="H147">
        <v>0.7</v>
      </c>
      <c r="I147" t="s">
        <v>112</v>
      </c>
      <c r="J147" t="s">
        <v>199</v>
      </c>
      <c r="K147" t="b">
        <v>1</v>
      </c>
    </row>
    <row r="148" spans="1:11" x14ac:dyDescent="0.35">
      <c r="A148" t="s">
        <v>634</v>
      </c>
      <c r="B148">
        <v>2025</v>
      </c>
      <c r="C148" t="s">
        <v>635</v>
      </c>
      <c r="D148" t="s">
        <v>765</v>
      </c>
      <c r="E148" t="b">
        <v>1</v>
      </c>
      <c r="F148" t="s">
        <v>702</v>
      </c>
      <c r="G148" t="s">
        <v>181</v>
      </c>
      <c r="H148">
        <v>0.9</v>
      </c>
      <c r="I148" t="s">
        <v>112</v>
      </c>
      <c r="J148" t="s">
        <v>199</v>
      </c>
      <c r="K148" t="b">
        <v>1</v>
      </c>
    </row>
    <row r="149" spans="1:11" x14ac:dyDescent="0.35">
      <c r="A149" t="s">
        <v>637</v>
      </c>
      <c r="B149">
        <v>2025</v>
      </c>
      <c r="C149" t="s">
        <v>638</v>
      </c>
      <c r="D149" t="s">
        <v>639</v>
      </c>
      <c r="E149" t="b">
        <v>1</v>
      </c>
      <c r="F149" t="s">
        <v>678</v>
      </c>
      <c r="G149" t="s">
        <v>181</v>
      </c>
      <c r="H149">
        <v>0.9</v>
      </c>
      <c r="I149" t="s">
        <v>112</v>
      </c>
      <c r="J149" t="s">
        <v>199</v>
      </c>
      <c r="K149" t="b">
        <v>1</v>
      </c>
    </row>
    <row r="150" spans="1:11" x14ac:dyDescent="0.35">
      <c r="A150" t="s">
        <v>640</v>
      </c>
      <c r="B150">
        <v>2025</v>
      </c>
      <c r="C150" t="s">
        <v>641</v>
      </c>
      <c r="D150" t="s">
        <v>766</v>
      </c>
      <c r="E150" t="b">
        <v>1</v>
      </c>
      <c r="F150" t="s">
        <v>859</v>
      </c>
      <c r="G150" t="s">
        <v>181</v>
      </c>
      <c r="H150">
        <v>0.9</v>
      </c>
      <c r="I150" t="s">
        <v>112</v>
      </c>
      <c r="J150" t="s">
        <v>199</v>
      </c>
      <c r="K150" t="b">
        <v>1</v>
      </c>
    </row>
    <row r="151" spans="1:11" x14ac:dyDescent="0.35">
      <c r="A151" t="s">
        <v>643</v>
      </c>
      <c r="B151">
        <v>2025</v>
      </c>
      <c r="C151" t="s">
        <v>644</v>
      </c>
      <c r="D151" t="s">
        <v>645</v>
      </c>
      <c r="E151" t="b">
        <v>1</v>
      </c>
      <c r="F151" t="s">
        <v>860</v>
      </c>
      <c r="G151" t="s">
        <v>181</v>
      </c>
      <c r="H151">
        <v>0.9</v>
      </c>
      <c r="I151" t="s">
        <v>112</v>
      </c>
      <c r="J151" t="s">
        <v>199</v>
      </c>
      <c r="K151" t="b">
        <v>1</v>
      </c>
    </row>
    <row r="152" spans="1:11" x14ac:dyDescent="0.35">
      <c r="A152" t="s">
        <v>646</v>
      </c>
      <c r="B152">
        <v>2025</v>
      </c>
      <c r="C152" t="s">
        <v>647</v>
      </c>
      <c r="D152" t="s">
        <v>767</v>
      </c>
      <c r="E152" t="b">
        <v>1</v>
      </c>
      <c r="F152" t="s">
        <v>861</v>
      </c>
      <c r="G152" t="s">
        <v>181</v>
      </c>
      <c r="H152">
        <v>0.9</v>
      </c>
      <c r="I152" t="s">
        <v>112</v>
      </c>
      <c r="J152" t="s">
        <v>199</v>
      </c>
      <c r="K152" t="b">
        <v>1</v>
      </c>
    </row>
    <row r="153" spans="1:11" x14ac:dyDescent="0.35">
      <c r="A153" t="s">
        <v>658</v>
      </c>
      <c r="B153">
        <v>2025</v>
      </c>
      <c r="C153" t="s">
        <v>659</v>
      </c>
      <c r="D153" t="s">
        <v>660</v>
      </c>
      <c r="E153" t="b">
        <v>1</v>
      </c>
      <c r="F153" t="s">
        <v>771</v>
      </c>
      <c r="G153" t="s">
        <v>205</v>
      </c>
      <c r="H153">
        <v>0.7</v>
      </c>
      <c r="I153" t="s">
        <v>112</v>
      </c>
      <c r="J153" t="s">
        <v>199</v>
      </c>
      <c r="K153" t="b">
        <v>1</v>
      </c>
    </row>
    <row r="154" spans="1:11" x14ac:dyDescent="0.35">
      <c r="A154" t="s">
        <v>661</v>
      </c>
      <c r="B154">
        <v>2025</v>
      </c>
      <c r="C154" t="s">
        <v>662</v>
      </c>
      <c r="D154" t="s">
        <v>768</v>
      </c>
      <c r="E154" t="b">
        <v>1</v>
      </c>
      <c r="F154" t="s">
        <v>677</v>
      </c>
      <c r="G154" t="s">
        <v>181</v>
      </c>
      <c r="H154">
        <v>0.9</v>
      </c>
      <c r="I154" t="s">
        <v>112</v>
      </c>
      <c r="J154" t="s">
        <v>199</v>
      </c>
      <c r="K154" t="b">
        <v>1</v>
      </c>
    </row>
    <row r="155" spans="1:11" x14ac:dyDescent="0.35">
      <c r="A155" t="s">
        <v>862</v>
      </c>
      <c r="B155">
        <v>2025</v>
      </c>
      <c r="C155" t="s">
        <v>863</v>
      </c>
      <c r="D155" t="s">
        <v>864</v>
      </c>
      <c r="E155" t="b">
        <v>0</v>
      </c>
      <c r="F155" t="s">
        <v>839</v>
      </c>
      <c r="G155" t="s">
        <v>192</v>
      </c>
      <c r="H155">
        <v>1</v>
      </c>
      <c r="I155" t="s">
        <v>173</v>
      </c>
      <c r="J155" t="s">
        <v>192</v>
      </c>
      <c r="K155" t="b">
        <v>0</v>
      </c>
    </row>
    <row r="156" spans="1:11" ht="409.5" x14ac:dyDescent="0.35">
      <c r="A156" t="s">
        <v>865</v>
      </c>
      <c r="B156">
        <v>2025</v>
      </c>
      <c r="C156" t="s">
        <v>866</v>
      </c>
      <c r="D156" s="1" t="s">
        <v>867</v>
      </c>
      <c r="E156" t="b">
        <v>1</v>
      </c>
      <c r="F156" t="s">
        <v>868</v>
      </c>
      <c r="G156" t="s">
        <v>181</v>
      </c>
      <c r="H156">
        <v>0.9</v>
      </c>
      <c r="I156" t="s">
        <v>112</v>
      </c>
      <c r="J156" t="s">
        <v>199</v>
      </c>
      <c r="K156" t="b">
        <v>1</v>
      </c>
    </row>
    <row r="157" spans="1:11" x14ac:dyDescent="0.35">
      <c r="A157" t="s">
        <v>869</v>
      </c>
      <c r="B157">
        <v>2025</v>
      </c>
      <c r="C157" t="s">
        <v>866</v>
      </c>
      <c r="D157" t="s">
        <v>870</v>
      </c>
      <c r="E157" t="b">
        <v>1</v>
      </c>
      <c r="F157" t="s">
        <v>871</v>
      </c>
      <c r="G157" t="s">
        <v>181</v>
      </c>
      <c r="H157">
        <v>0.9</v>
      </c>
      <c r="I157" s="7" t="s">
        <v>112</v>
      </c>
      <c r="J157" s="7"/>
      <c r="K157" t="b">
        <v>1</v>
      </c>
    </row>
    <row r="158" spans="1:11" x14ac:dyDescent="0.35">
      <c r="A158" t="s">
        <v>872</v>
      </c>
      <c r="B158">
        <v>2025</v>
      </c>
      <c r="C158" t="s">
        <v>873</v>
      </c>
      <c r="D158" t="s">
        <v>874</v>
      </c>
      <c r="E158" t="b">
        <v>1</v>
      </c>
      <c r="F158" t="s">
        <v>789</v>
      </c>
      <c r="G158" t="s">
        <v>181</v>
      </c>
      <c r="H158">
        <v>0.9</v>
      </c>
      <c r="I158" t="s">
        <v>112</v>
      </c>
      <c r="J158" t="s">
        <v>199</v>
      </c>
      <c r="K158" t="b">
        <v>1</v>
      </c>
    </row>
    <row r="159" spans="1:11" ht="409.5" x14ac:dyDescent="0.35">
      <c r="A159" t="s">
        <v>875</v>
      </c>
      <c r="B159">
        <v>2025</v>
      </c>
      <c r="C159" t="s">
        <v>876</v>
      </c>
      <c r="D159" s="1" t="s">
        <v>877</v>
      </c>
      <c r="E159" t="b">
        <v>1</v>
      </c>
      <c r="F159" t="s">
        <v>878</v>
      </c>
      <c r="G159" t="s">
        <v>181</v>
      </c>
      <c r="H159">
        <v>0.9</v>
      </c>
      <c r="I159" t="s">
        <v>112</v>
      </c>
      <c r="J159" t="s">
        <v>199</v>
      </c>
      <c r="K159" t="b">
        <v>1</v>
      </c>
    </row>
    <row r="160" spans="1:11" x14ac:dyDescent="0.35">
      <c r="A160" t="s">
        <v>879</v>
      </c>
      <c r="B160">
        <v>2025</v>
      </c>
      <c r="C160" t="s">
        <v>880</v>
      </c>
      <c r="D160" t="s">
        <v>881</v>
      </c>
      <c r="E160" t="b">
        <v>1</v>
      </c>
      <c r="F160" t="s">
        <v>882</v>
      </c>
      <c r="G160" t="s">
        <v>181</v>
      </c>
      <c r="H160">
        <v>0.9</v>
      </c>
      <c r="I160" t="s">
        <v>112</v>
      </c>
      <c r="J160" t="s">
        <v>199</v>
      </c>
      <c r="K160" t="b">
        <v>1</v>
      </c>
    </row>
    <row r="161" spans="1:11" x14ac:dyDescent="0.35">
      <c r="A161" t="s">
        <v>883</v>
      </c>
      <c r="B161">
        <v>2025</v>
      </c>
      <c r="C161" t="s">
        <v>884</v>
      </c>
      <c r="D161" t="s">
        <v>885</v>
      </c>
      <c r="E161" t="b">
        <v>1</v>
      </c>
      <c r="F161" t="s">
        <v>886</v>
      </c>
      <c r="G161" t="s">
        <v>181</v>
      </c>
      <c r="H161">
        <v>0.9</v>
      </c>
      <c r="I161" t="s">
        <v>112</v>
      </c>
      <c r="J161" t="s">
        <v>199</v>
      </c>
      <c r="K161" t="b">
        <v>1</v>
      </c>
    </row>
    <row r="162" spans="1:11" x14ac:dyDescent="0.35">
      <c r="A162" t="s">
        <v>887</v>
      </c>
      <c r="B162">
        <v>2025</v>
      </c>
      <c r="C162" t="s">
        <v>888</v>
      </c>
      <c r="D162" t="s">
        <v>889</v>
      </c>
      <c r="E162" t="b">
        <v>1</v>
      </c>
      <c r="F162" t="s">
        <v>890</v>
      </c>
      <c r="G162" t="s">
        <v>205</v>
      </c>
      <c r="H162">
        <v>0.8</v>
      </c>
      <c r="I162" t="s">
        <v>112</v>
      </c>
      <c r="J162" t="s">
        <v>199</v>
      </c>
      <c r="K162" t="b">
        <v>1</v>
      </c>
    </row>
    <row r="163" spans="1:11" x14ac:dyDescent="0.35">
      <c r="A163" t="s">
        <v>891</v>
      </c>
      <c r="B163">
        <v>2025</v>
      </c>
      <c r="C163" t="s">
        <v>892</v>
      </c>
      <c r="D163" t="s">
        <v>893</v>
      </c>
      <c r="E163" t="b">
        <v>1</v>
      </c>
      <c r="F163" t="s">
        <v>894</v>
      </c>
      <c r="G163" t="s">
        <v>181</v>
      </c>
      <c r="H163">
        <v>0.9</v>
      </c>
      <c r="I163" t="s">
        <v>112</v>
      </c>
      <c r="J163" t="s">
        <v>199</v>
      </c>
      <c r="K163" t="b">
        <v>1</v>
      </c>
    </row>
    <row r="164" spans="1:11" x14ac:dyDescent="0.35">
      <c r="A164" t="s">
        <v>895</v>
      </c>
      <c r="B164">
        <v>2025</v>
      </c>
      <c r="C164" t="s">
        <v>896</v>
      </c>
      <c r="D164" t="s">
        <v>897</v>
      </c>
      <c r="E164" t="b">
        <v>1</v>
      </c>
      <c r="F164" t="s">
        <v>898</v>
      </c>
      <c r="G164" t="s">
        <v>181</v>
      </c>
      <c r="H164">
        <v>0.9</v>
      </c>
      <c r="I164" t="s">
        <v>112</v>
      </c>
      <c r="J164" t="s">
        <v>199</v>
      </c>
      <c r="K164" t="b">
        <v>1</v>
      </c>
    </row>
    <row r="165" spans="1:11" x14ac:dyDescent="0.35">
      <c r="A165" t="s">
        <v>899</v>
      </c>
      <c r="B165">
        <v>2025</v>
      </c>
      <c r="C165" t="s">
        <v>900</v>
      </c>
      <c r="D165" t="s">
        <v>901</v>
      </c>
      <c r="E165" t="b">
        <v>1</v>
      </c>
      <c r="F165" t="s">
        <v>902</v>
      </c>
      <c r="G165" t="s">
        <v>181</v>
      </c>
      <c r="H165">
        <v>0.9</v>
      </c>
      <c r="I165" t="s">
        <v>112</v>
      </c>
      <c r="J165" t="s">
        <v>199</v>
      </c>
      <c r="K165" t="b">
        <v>1</v>
      </c>
    </row>
    <row r="166" spans="1:11" x14ac:dyDescent="0.35">
      <c r="A166" t="s">
        <v>903</v>
      </c>
      <c r="B166">
        <v>2025</v>
      </c>
      <c r="C166" t="s">
        <v>904</v>
      </c>
      <c r="D166" t="s">
        <v>905</v>
      </c>
      <c r="E166" t="b">
        <v>0</v>
      </c>
      <c r="F166" t="s">
        <v>803</v>
      </c>
      <c r="G166" t="s">
        <v>192</v>
      </c>
      <c r="H166">
        <v>1</v>
      </c>
      <c r="I166" t="s">
        <v>173</v>
      </c>
      <c r="J166" t="s">
        <v>192</v>
      </c>
      <c r="K166" t="b">
        <v>0</v>
      </c>
    </row>
    <row r="167" spans="1:11" x14ac:dyDescent="0.35">
      <c r="A167" t="s">
        <v>906</v>
      </c>
      <c r="B167">
        <v>2025</v>
      </c>
      <c r="C167" t="s">
        <v>907</v>
      </c>
      <c r="D167" t="s">
        <v>908</v>
      </c>
      <c r="E167" t="b">
        <v>0</v>
      </c>
      <c r="F167" t="s">
        <v>803</v>
      </c>
      <c r="G167" t="s">
        <v>192</v>
      </c>
      <c r="H167">
        <v>1</v>
      </c>
      <c r="I167" t="s">
        <v>173</v>
      </c>
      <c r="J167" t="s">
        <v>192</v>
      </c>
      <c r="K167" t="b">
        <v>0</v>
      </c>
    </row>
    <row r="168" spans="1:11" x14ac:dyDescent="0.35">
      <c r="A168" t="s">
        <v>909</v>
      </c>
      <c r="B168">
        <v>2025</v>
      </c>
      <c r="C168" t="s">
        <v>910</v>
      </c>
      <c r="D168" t="s">
        <v>911</v>
      </c>
      <c r="E168" t="b">
        <v>1</v>
      </c>
      <c r="F168" t="s">
        <v>912</v>
      </c>
      <c r="G168" t="s">
        <v>181</v>
      </c>
      <c r="H168">
        <v>0.9</v>
      </c>
      <c r="I168" t="s">
        <v>173</v>
      </c>
      <c r="J168" t="s">
        <v>199</v>
      </c>
      <c r="K168" t="b">
        <v>0</v>
      </c>
    </row>
    <row r="169" spans="1:11" ht="409.5" x14ac:dyDescent="0.35">
      <c r="A169" t="s">
        <v>913</v>
      </c>
      <c r="B169">
        <v>2025</v>
      </c>
      <c r="C169" t="s">
        <v>914</v>
      </c>
      <c r="D169" s="1" t="s">
        <v>915</v>
      </c>
      <c r="E169" t="b">
        <v>1</v>
      </c>
      <c r="F169" t="s">
        <v>678</v>
      </c>
      <c r="G169" t="s">
        <v>181</v>
      </c>
      <c r="H169">
        <v>0.9</v>
      </c>
      <c r="I169" t="s">
        <v>112</v>
      </c>
      <c r="J169" t="s">
        <v>199</v>
      </c>
      <c r="K169" t="b">
        <v>1</v>
      </c>
    </row>
    <row r="170" spans="1:11" ht="409.5" x14ac:dyDescent="0.35">
      <c r="A170" t="s">
        <v>916</v>
      </c>
      <c r="B170">
        <v>2025</v>
      </c>
      <c r="C170" t="s">
        <v>917</v>
      </c>
      <c r="D170" s="1" t="s">
        <v>918</v>
      </c>
      <c r="E170" t="b">
        <v>1</v>
      </c>
      <c r="F170" t="s">
        <v>919</v>
      </c>
      <c r="G170" t="s">
        <v>181</v>
      </c>
      <c r="H170">
        <v>0.9</v>
      </c>
      <c r="I170" t="s">
        <v>112</v>
      </c>
      <c r="J170" t="s">
        <v>199</v>
      </c>
      <c r="K170" t="b">
        <v>1</v>
      </c>
    </row>
    <row r="171" spans="1:11" x14ac:dyDescent="0.35">
      <c r="A171" t="s">
        <v>920</v>
      </c>
      <c r="B171">
        <v>2025</v>
      </c>
      <c r="C171" t="s">
        <v>921</v>
      </c>
      <c r="D171" t="s">
        <v>922</v>
      </c>
      <c r="E171" t="b">
        <v>1</v>
      </c>
      <c r="F171" t="s">
        <v>923</v>
      </c>
      <c r="G171" t="s">
        <v>181</v>
      </c>
      <c r="H171">
        <v>0.9</v>
      </c>
      <c r="I171" t="s">
        <v>112</v>
      </c>
      <c r="J171" t="s">
        <v>199</v>
      </c>
      <c r="K171" t="b">
        <v>1</v>
      </c>
    </row>
    <row r="172" spans="1:11" x14ac:dyDescent="0.35">
      <c r="A172" t="s">
        <v>924</v>
      </c>
      <c r="B172">
        <v>2025</v>
      </c>
      <c r="C172" t="s">
        <v>925</v>
      </c>
      <c r="D172" t="s">
        <v>926</v>
      </c>
      <c r="E172" t="b">
        <v>1</v>
      </c>
      <c r="F172" t="s">
        <v>771</v>
      </c>
      <c r="G172" t="s">
        <v>205</v>
      </c>
      <c r="H172">
        <v>0.6</v>
      </c>
      <c r="I172" t="s">
        <v>112</v>
      </c>
      <c r="J172" t="s">
        <v>199</v>
      </c>
      <c r="K172" t="b">
        <v>1</v>
      </c>
    </row>
    <row r="173" spans="1:11" x14ac:dyDescent="0.35">
      <c r="A173" t="s">
        <v>927</v>
      </c>
      <c r="B173">
        <v>2025</v>
      </c>
      <c r="C173" t="s">
        <v>928</v>
      </c>
      <c r="D173" t="s">
        <v>929</v>
      </c>
      <c r="E173" t="b">
        <v>1</v>
      </c>
      <c r="F173" t="s">
        <v>826</v>
      </c>
      <c r="G173" t="s">
        <v>181</v>
      </c>
      <c r="H173">
        <v>0.9</v>
      </c>
      <c r="I173" t="s">
        <v>112</v>
      </c>
      <c r="J173" t="s">
        <v>199</v>
      </c>
      <c r="K173" t="b">
        <v>1</v>
      </c>
    </row>
    <row r="174" spans="1:11" x14ac:dyDescent="0.35">
      <c r="A174" t="s">
        <v>930</v>
      </c>
      <c r="B174">
        <v>2025</v>
      </c>
      <c r="C174" t="s">
        <v>931</v>
      </c>
      <c r="D174" t="s">
        <v>932</v>
      </c>
      <c r="E174" t="b">
        <v>1</v>
      </c>
      <c r="F174" t="s">
        <v>933</v>
      </c>
      <c r="G174" t="s">
        <v>181</v>
      </c>
      <c r="H174">
        <v>0.9</v>
      </c>
      <c r="I174" t="s">
        <v>112</v>
      </c>
      <c r="J174" t="s">
        <v>199</v>
      </c>
      <c r="K174" t="b">
        <v>1</v>
      </c>
    </row>
    <row r="175" spans="1:11" x14ac:dyDescent="0.35">
      <c r="A175" t="s">
        <v>934</v>
      </c>
      <c r="B175">
        <v>2025</v>
      </c>
      <c r="C175" t="s">
        <v>935</v>
      </c>
      <c r="D175" t="s">
        <v>936</v>
      </c>
      <c r="E175" t="b">
        <v>1</v>
      </c>
      <c r="F175" t="s">
        <v>799</v>
      </c>
      <c r="G175" t="s">
        <v>181</v>
      </c>
      <c r="H175">
        <v>0.9</v>
      </c>
      <c r="I175" t="s">
        <v>112</v>
      </c>
      <c r="J175" t="s">
        <v>199</v>
      </c>
      <c r="K175" t="b">
        <v>1</v>
      </c>
    </row>
    <row r="176" spans="1:11" x14ac:dyDescent="0.35">
      <c r="A176" t="s">
        <v>937</v>
      </c>
      <c r="B176">
        <v>2025</v>
      </c>
      <c r="C176" t="s">
        <v>938</v>
      </c>
      <c r="D176" t="s">
        <v>939</v>
      </c>
      <c r="E176" t="b">
        <v>1</v>
      </c>
      <c r="F176" t="s">
        <v>940</v>
      </c>
      <c r="G176" t="s">
        <v>181</v>
      </c>
      <c r="H176">
        <v>0.9</v>
      </c>
      <c r="I176" t="s">
        <v>112</v>
      </c>
      <c r="J176" t="s">
        <v>199</v>
      </c>
      <c r="K176" t="b">
        <v>1</v>
      </c>
    </row>
    <row r="177" spans="1:11" x14ac:dyDescent="0.35">
      <c r="A177" t="s">
        <v>941</v>
      </c>
      <c r="B177">
        <v>2025</v>
      </c>
      <c r="C177" t="s">
        <v>942</v>
      </c>
      <c r="D177" t="s">
        <v>943</v>
      </c>
      <c r="E177" t="b">
        <v>1</v>
      </c>
      <c r="F177" t="s">
        <v>802</v>
      </c>
      <c r="G177" t="s">
        <v>181</v>
      </c>
      <c r="H177">
        <v>0.9</v>
      </c>
      <c r="I177" t="s">
        <v>112</v>
      </c>
      <c r="J177" t="s">
        <v>199</v>
      </c>
      <c r="K177" t="b">
        <v>1</v>
      </c>
    </row>
    <row r="178" spans="1:11" x14ac:dyDescent="0.35">
      <c r="A178" t="s">
        <v>944</v>
      </c>
      <c r="B178">
        <v>2025</v>
      </c>
      <c r="C178" t="s">
        <v>945</v>
      </c>
      <c r="D178" t="s">
        <v>946</v>
      </c>
      <c r="E178" t="b">
        <v>1</v>
      </c>
      <c r="F178" t="s">
        <v>947</v>
      </c>
      <c r="G178" t="s">
        <v>181</v>
      </c>
      <c r="H178">
        <v>0.9</v>
      </c>
      <c r="I178" t="s">
        <v>112</v>
      </c>
      <c r="J178" t="s">
        <v>199</v>
      </c>
      <c r="K178" t="b">
        <v>1</v>
      </c>
    </row>
    <row r="179" spans="1:11" x14ac:dyDescent="0.35">
      <c r="A179" t="s">
        <v>948</v>
      </c>
      <c r="B179">
        <v>2025</v>
      </c>
      <c r="C179" t="s">
        <v>949</v>
      </c>
      <c r="D179" t="s">
        <v>499</v>
      </c>
      <c r="E179" t="b">
        <v>1</v>
      </c>
      <c r="F179" t="s">
        <v>771</v>
      </c>
      <c r="G179" t="s">
        <v>205</v>
      </c>
      <c r="H179">
        <v>0.7</v>
      </c>
      <c r="I179" t="s">
        <v>112</v>
      </c>
      <c r="J179" t="s">
        <v>199</v>
      </c>
      <c r="K179" t="b">
        <v>1</v>
      </c>
    </row>
    <row r="180" spans="1:11" x14ac:dyDescent="0.35">
      <c r="A180" t="s">
        <v>950</v>
      </c>
      <c r="B180">
        <v>2025</v>
      </c>
      <c r="C180" t="s">
        <v>951</v>
      </c>
      <c r="D180" t="s">
        <v>952</v>
      </c>
      <c r="E180" t="b">
        <v>1</v>
      </c>
      <c r="F180" t="s">
        <v>789</v>
      </c>
      <c r="G180" t="s">
        <v>181</v>
      </c>
      <c r="H180">
        <v>0.9</v>
      </c>
      <c r="I180" t="s">
        <v>112</v>
      </c>
      <c r="J180" t="s">
        <v>199</v>
      </c>
      <c r="K180" t="b">
        <v>1</v>
      </c>
    </row>
    <row r="181" spans="1:11" x14ac:dyDescent="0.35">
      <c r="A181" t="s">
        <v>953</v>
      </c>
      <c r="B181">
        <v>2025</v>
      </c>
      <c r="C181" t="s">
        <v>954</v>
      </c>
      <c r="D181" t="s">
        <v>955</v>
      </c>
      <c r="E181" t="b">
        <v>1</v>
      </c>
      <c r="F181" t="s">
        <v>956</v>
      </c>
      <c r="G181" t="s">
        <v>181</v>
      </c>
      <c r="H181">
        <v>0.9</v>
      </c>
      <c r="I181" t="s">
        <v>112</v>
      </c>
      <c r="J181" t="s">
        <v>199</v>
      </c>
      <c r="K181" t="b">
        <v>1</v>
      </c>
    </row>
    <row r="182" spans="1:11" ht="409.5" x14ac:dyDescent="0.35">
      <c r="A182" t="s">
        <v>957</v>
      </c>
      <c r="B182">
        <v>2025</v>
      </c>
      <c r="C182" t="s">
        <v>958</v>
      </c>
      <c r="D182" s="1" t="s">
        <v>959</v>
      </c>
      <c r="E182" t="b">
        <v>0</v>
      </c>
      <c r="F182" t="s">
        <v>850</v>
      </c>
      <c r="G182" t="s">
        <v>192</v>
      </c>
      <c r="H182">
        <v>1</v>
      </c>
      <c r="I182" t="s">
        <v>173</v>
      </c>
      <c r="J182" t="s">
        <v>192</v>
      </c>
      <c r="K182" t="b">
        <v>0</v>
      </c>
    </row>
    <row r="183" spans="1:11" x14ac:dyDescent="0.35">
      <c r="A183" t="s">
        <v>960</v>
      </c>
      <c r="B183">
        <v>2025</v>
      </c>
      <c r="C183" t="s">
        <v>961</v>
      </c>
      <c r="D183" t="s">
        <v>962</v>
      </c>
      <c r="E183" t="b">
        <v>1</v>
      </c>
      <c r="F183" t="s">
        <v>963</v>
      </c>
      <c r="G183" t="s">
        <v>181</v>
      </c>
      <c r="H183">
        <v>0.9</v>
      </c>
      <c r="I183" t="s">
        <v>112</v>
      </c>
      <c r="J183" t="s">
        <v>199</v>
      </c>
      <c r="K183" t="b">
        <v>1</v>
      </c>
    </row>
    <row r="184" spans="1:11" x14ac:dyDescent="0.35">
      <c r="A184" t="s">
        <v>964</v>
      </c>
      <c r="B184">
        <v>2025</v>
      </c>
      <c r="C184" t="s">
        <v>965</v>
      </c>
      <c r="D184" t="s">
        <v>966</v>
      </c>
      <c r="E184" t="b">
        <v>1</v>
      </c>
      <c r="F184" t="s">
        <v>967</v>
      </c>
      <c r="G184" t="s">
        <v>181</v>
      </c>
      <c r="H184">
        <v>0.9</v>
      </c>
      <c r="I184" t="s">
        <v>112</v>
      </c>
      <c r="J184" t="s">
        <v>199</v>
      </c>
      <c r="K184" t="b">
        <v>1</v>
      </c>
    </row>
    <row r="185" spans="1:11" x14ac:dyDescent="0.35">
      <c r="A185" t="s">
        <v>968</v>
      </c>
      <c r="B185">
        <v>2025</v>
      </c>
      <c r="C185" t="s">
        <v>969</v>
      </c>
      <c r="D185" t="s">
        <v>970</v>
      </c>
      <c r="E185" t="b">
        <v>1</v>
      </c>
      <c r="F185" t="s">
        <v>789</v>
      </c>
      <c r="G185" t="s">
        <v>181</v>
      </c>
      <c r="H185">
        <v>0.9</v>
      </c>
      <c r="I185" t="s">
        <v>112</v>
      </c>
      <c r="J185" t="s">
        <v>199</v>
      </c>
      <c r="K185" t="b">
        <v>1</v>
      </c>
    </row>
    <row r="186" spans="1:11" x14ac:dyDescent="0.35">
      <c r="A186" t="s">
        <v>971</v>
      </c>
      <c r="B186">
        <v>2025</v>
      </c>
      <c r="C186" t="s">
        <v>972</v>
      </c>
      <c r="D186" t="s">
        <v>973</v>
      </c>
      <c r="E186" t="b">
        <v>1</v>
      </c>
      <c r="F186" t="s">
        <v>831</v>
      </c>
      <c r="G186" t="s">
        <v>181</v>
      </c>
      <c r="H186">
        <v>0.9</v>
      </c>
      <c r="I186" t="s">
        <v>112</v>
      </c>
      <c r="J186" t="s">
        <v>199</v>
      </c>
      <c r="K186" t="b">
        <v>1</v>
      </c>
    </row>
    <row r="187" spans="1:11" x14ac:dyDescent="0.35">
      <c r="A187" t="s">
        <v>974</v>
      </c>
      <c r="B187">
        <v>2025</v>
      </c>
      <c r="C187" t="s">
        <v>975</v>
      </c>
      <c r="D187" t="s">
        <v>976</v>
      </c>
      <c r="E187" t="b">
        <v>1</v>
      </c>
      <c r="F187" t="s">
        <v>977</v>
      </c>
      <c r="G187" t="s">
        <v>181</v>
      </c>
      <c r="H187">
        <v>0.9</v>
      </c>
      <c r="I187" t="s">
        <v>112</v>
      </c>
      <c r="J187" t="s">
        <v>199</v>
      </c>
      <c r="K187" t="b">
        <v>1</v>
      </c>
    </row>
    <row r="188" spans="1:11" x14ac:dyDescent="0.35">
      <c r="A188" t="s">
        <v>978</v>
      </c>
      <c r="B188">
        <v>2025</v>
      </c>
      <c r="C188" t="s">
        <v>979</v>
      </c>
      <c r="D188" t="s">
        <v>980</v>
      </c>
      <c r="E188" t="b">
        <v>1</v>
      </c>
      <c r="F188" t="s">
        <v>981</v>
      </c>
      <c r="G188" t="s">
        <v>181</v>
      </c>
      <c r="H188">
        <v>0.9</v>
      </c>
      <c r="I188" t="s">
        <v>112</v>
      </c>
      <c r="J188" t="s">
        <v>199</v>
      </c>
      <c r="K188" t="b">
        <v>1</v>
      </c>
    </row>
    <row r="189" spans="1:11" x14ac:dyDescent="0.35">
      <c r="A189" t="s">
        <v>982</v>
      </c>
      <c r="B189">
        <v>2025</v>
      </c>
      <c r="C189" t="s">
        <v>983</v>
      </c>
      <c r="D189" t="s">
        <v>984</v>
      </c>
      <c r="E189" t="b">
        <v>1</v>
      </c>
      <c r="F189" t="s">
        <v>705</v>
      </c>
      <c r="G189" t="s">
        <v>181</v>
      </c>
      <c r="H189">
        <v>0.9</v>
      </c>
      <c r="I189" t="s">
        <v>112</v>
      </c>
      <c r="J189" t="s">
        <v>199</v>
      </c>
      <c r="K189" t="b">
        <v>1</v>
      </c>
    </row>
    <row r="190" spans="1:11" x14ac:dyDescent="0.35">
      <c r="A190" t="s">
        <v>985</v>
      </c>
      <c r="B190">
        <v>2025</v>
      </c>
      <c r="C190" t="s">
        <v>986</v>
      </c>
      <c r="D190" t="s">
        <v>987</v>
      </c>
      <c r="E190" t="b">
        <v>1</v>
      </c>
      <c r="F190" t="s">
        <v>771</v>
      </c>
      <c r="G190" t="s">
        <v>205</v>
      </c>
      <c r="H190">
        <v>0.7</v>
      </c>
      <c r="I190" t="s">
        <v>112</v>
      </c>
      <c r="J190" t="s">
        <v>199</v>
      </c>
      <c r="K190" t="b">
        <v>1</v>
      </c>
    </row>
    <row r="191" spans="1:11" x14ac:dyDescent="0.35">
      <c r="A191" t="s">
        <v>988</v>
      </c>
      <c r="B191">
        <v>2025</v>
      </c>
      <c r="C191" t="s">
        <v>989</v>
      </c>
      <c r="D191" t="s">
        <v>990</v>
      </c>
      <c r="E191" t="b">
        <v>1</v>
      </c>
      <c r="F191" t="s">
        <v>991</v>
      </c>
      <c r="G191" t="s">
        <v>181</v>
      </c>
      <c r="H191">
        <v>0.9</v>
      </c>
      <c r="I191" t="s">
        <v>112</v>
      </c>
      <c r="J191" t="s">
        <v>199</v>
      </c>
      <c r="K191" t="b">
        <v>1</v>
      </c>
    </row>
    <row r="192" spans="1:11" x14ac:dyDescent="0.35">
      <c r="A192" t="s">
        <v>992</v>
      </c>
      <c r="B192">
        <v>2025</v>
      </c>
      <c r="C192" t="s">
        <v>993</v>
      </c>
      <c r="D192" t="s">
        <v>994</v>
      </c>
      <c r="E192" t="b">
        <v>1</v>
      </c>
      <c r="F192" t="s">
        <v>912</v>
      </c>
      <c r="G192" t="s">
        <v>181</v>
      </c>
      <c r="H192">
        <v>0.9</v>
      </c>
      <c r="I192" t="s">
        <v>112</v>
      </c>
      <c r="J192" t="s">
        <v>199</v>
      </c>
      <c r="K192" t="b">
        <v>1</v>
      </c>
    </row>
    <row r="193" spans="1:11" x14ac:dyDescent="0.35">
      <c r="A193" t="s">
        <v>995</v>
      </c>
      <c r="B193">
        <v>2025</v>
      </c>
      <c r="C193" t="s">
        <v>996</v>
      </c>
      <c r="D193" t="s">
        <v>997</v>
      </c>
      <c r="E193" t="b">
        <v>1</v>
      </c>
      <c r="F193" t="s">
        <v>771</v>
      </c>
      <c r="G193" t="s">
        <v>205</v>
      </c>
      <c r="H193">
        <v>0.7</v>
      </c>
      <c r="I193" t="s">
        <v>112</v>
      </c>
      <c r="J193" t="s">
        <v>199</v>
      </c>
      <c r="K193" t="b">
        <v>1</v>
      </c>
    </row>
    <row r="194" spans="1:11" x14ac:dyDescent="0.35">
      <c r="A194" t="s">
        <v>998</v>
      </c>
      <c r="B194">
        <v>2025</v>
      </c>
      <c r="C194" t="s">
        <v>999</v>
      </c>
      <c r="D194" t="s">
        <v>1000</v>
      </c>
      <c r="E194" t="b">
        <v>1</v>
      </c>
      <c r="F194" t="s">
        <v>1001</v>
      </c>
      <c r="G194" t="s">
        <v>181</v>
      </c>
      <c r="H194">
        <v>0.9</v>
      </c>
      <c r="I194" t="s">
        <v>112</v>
      </c>
      <c r="J194" t="s">
        <v>199</v>
      </c>
      <c r="K194" t="b">
        <v>1</v>
      </c>
    </row>
    <row r="195" spans="1:11" x14ac:dyDescent="0.35">
      <c r="A195" t="s">
        <v>1002</v>
      </c>
      <c r="B195">
        <v>2025</v>
      </c>
      <c r="C195" t="s">
        <v>1003</v>
      </c>
      <c r="D195" t="s">
        <v>1004</v>
      </c>
      <c r="E195" t="b">
        <v>1</v>
      </c>
      <c r="F195" t="s">
        <v>1005</v>
      </c>
      <c r="G195" t="s">
        <v>181</v>
      </c>
      <c r="H195">
        <v>0.9</v>
      </c>
      <c r="I195" t="s">
        <v>112</v>
      </c>
      <c r="J195" t="s">
        <v>199</v>
      </c>
      <c r="K195" t="b">
        <v>1</v>
      </c>
    </row>
    <row r="196" spans="1:11" x14ac:dyDescent="0.35">
      <c r="A196" t="s">
        <v>1006</v>
      </c>
      <c r="B196">
        <v>2025</v>
      </c>
      <c r="C196" t="s">
        <v>1007</v>
      </c>
      <c r="D196" t="s">
        <v>1008</v>
      </c>
      <c r="E196" t="b">
        <v>1</v>
      </c>
      <c r="F196" t="s">
        <v>1009</v>
      </c>
      <c r="G196" t="s">
        <v>181</v>
      </c>
      <c r="H196">
        <v>0.9</v>
      </c>
      <c r="I196" t="s">
        <v>112</v>
      </c>
      <c r="J196" t="s">
        <v>199</v>
      </c>
      <c r="K196" t="b">
        <v>1</v>
      </c>
    </row>
    <row r="197" spans="1:11" x14ac:dyDescent="0.35">
      <c r="A197" t="s">
        <v>1010</v>
      </c>
      <c r="B197">
        <v>2025</v>
      </c>
      <c r="C197" t="s">
        <v>1011</v>
      </c>
      <c r="D197" t="s">
        <v>1012</v>
      </c>
      <c r="E197" t="b">
        <v>1</v>
      </c>
      <c r="F197" t="s">
        <v>771</v>
      </c>
      <c r="G197" t="s">
        <v>205</v>
      </c>
      <c r="H197">
        <v>0.6</v>
      </c>
      <c r="I197" t="s">
        <v>112</v>
      </c>
      <c r="J197" t="s">
        <v>199</v>
      </c>
      <c r="K197" t="b">
        <v>1</v>
      </c>
    </row>
    <row r="198" spans="1:11" x14ac:dyDescent="0.35">
      <c r="A198" t="s">
        <v>1013</v>
      </c>
      <c r="B198">
        <v>2025</v>
      </c>
      <c r="C198" t="s">
        <v>1014</v>
      </c>
      <c r="D198" t="s">
        <v>1015</v>
      </c>
      <c r="E198" t="b">
        <v>1</v>
      </c>
      <c r="F198" t="s">
        <v>677</v>
      </c>
      <c r="G198" t="s">
        <v>181</v>
      </c>
      <c r="H198">
        <v>0.9</v>
      </c>
      <c r="I198" t="s">
        <v>112</v>
      </c>
      <c r="J198" t="s">
        <v>199</v>
      </c>
      <c r="K198" t="b">
        <v>1</v>
      </c>
    </row>
    <row r="199" spans="1:11" ht="409.5" x14ac:dyDescent="0.35">
      <c r="A199" t="s">
        <v>1016</v>
      </c>
      <c r="B199">
        <v>2025</v>
      </c>
      <c r="C199" t="s">
        <v>1017</v>
      </c>
      <c r="D199" s="1" t="s">
        <v>1018</v>
      </c>
      <c r="E199" t="b">
        <v>1</v>
      </c>
      <c r="F199" t="s">
        <v>1019</v>
      </c>
      <c r="G199" t="s">
        <v>181</v>
      </c>
      <c r="H199">
        <v>0.9</v>
      </c>
      <c r="I199" t="s">
        <v>112</v>
      </c>
      <c r="J199" t="s">
        <v>199</v>
      </c>
      <c r="K199" t="b">
        <v>1</v>
      </c>
    </row>
    <row r="200" spans="1:11" x14ac:dyDescent="0.35">
      <c r="A200" t="s">
        <v>1020</v>
      </c>
      <c r="B200">
        <v>2025</v>
      </c>
      <c r="C200" t="s">
        <v>1021</v>
      </c>
      <c r="D200" t="s">
        <v>1022</v>
      </c>
      <c r="E200" t="b">
        <v>1</v>
      </c>
      <c r="F200" t="s">
        <v>1023</v>
      </c>
      <c r="G200" t="s">
        <v>181</v>
      </c>
      <c r="H200">
        <v>0.9</v>
      </c>
      <c r="I200" t="s">
        <v>112</v>
      </c>
      <c r="J200" t="s">
        <v>199</v>
      </c>
      <c r="K200" t="b">
        <v>1</v>
      </c>
    </row>
    <row r="201" spans="1:11" x14ac:dyDescent="0.35">
      <c r="A201" t="s">
        <v>1024</v>
      </c>
      <c r="B201">
        <v>2025</v>
      </c>
      <c r="C201" t="s">
        <v>1025</v>
      </c>
      <c r="D201" t="s">
        <v>1026</v>
      </c>
      <c r="E201" t="b">
        <v>1</v>
      </c>
      <c r="F201" t="s">
        <v>912</v>
      </c>
      <c r="G201" t="s">
        <v>181</v>
      </c>
      <c r="H201">
        <v>0.9</v>
      </c>
      <c r="I201" t="s">
        <v>112</v>
      </c>
      <c r="J201" t="s">
        <v>199</v>
      </c>
      <c r="K201" t="b">
        <v>1</v>
      </c>
    </row>
    <row r="202" spans="1:11" x14ac:dyDescent="0.35">
      <c r="A202" t="s">
        <v>1027</v>
      </c>
      <c r="B202">
        <v>2025</v>
      </c>
      <c r="C202" t="s">
        <v>1028</v>
      </c>
      <c r="D202" t="s">
        <v>1029</v>
      </c>
      <c r="E202" t="b">
        <v>1</v>
      </c>
      <c r="F202" t="s">
        <v>769</v>
      </c>
      <c r="G202" t="s">
        <v>181</v>
      </c>
      <c r="H202">
        <v>0.9</v>
      </c>
      <c r="I202" t="s">
        <v>112</v>
      </c>
      <c r="J202" t="s">
        <v>199</v>
      </c>
      <c r="K202" t="b">
        <v>1</v>
      </c>
    </row>
    <row r="203" spans="1:11" ht="409.5" x14ac:dyDescent="0.35">
      <c r="A203" t="s">
        <v>1030</v>
      </c>
      <c r="B203">
        <v>2025</v>
      </c>
      <c r="C203" t="s">
        <v>1031</v>
      </c>
      <c r="D203" s="1" t="s">
        <v>1032</v>
      </c>
      <c r="E203" t="b">
        <v>1</v>
      </c>
      <c r="F203" t="s">
        <v>1033</v>
      </c>
      <c r="G203" t="s">
        <v>181</v>
      </c>
      <c r="H203">
        <v>0.9</v>
      </c>
      <c r="I203" t="s">
        <v>112</v>
      </c>
      <c r="J203" t="s">
        <v>199</v>
      </c>
      <c r="K203" t="b">
        <v>1</v>
      </c>
    </row>
    <row r="204" spans="1:11" ht="409.5" x14ac:dyDescent="0.35">
      <c r="A204" t="s">
        <v>1034</v>
      </c>
      <c r="B204">
        <v>2025</v>
      </c>
      <c r="C204" t="s">
        <v>1035</v>
      </c>
      <c r="D204" s="1" t="s">
        <v>1036</v>
      </c>
      <c r="E204" t="b">
        <v>1</v>
      </c>
      <c r="F204" t="s">
        <v>1037</v>
      </c>
      <c r="G204" t="s">
        <v>181</v>
      </c>
      <c r="H204">
        <v>0.9</v>
      </c>
      <c r="I204" t="s">
        <v>112</v>
      </c>
      <c r="J204" t="s">
        <v>199</v>
      </c>
      <c r="K204" t="b">
        <v>1</v>
      </c>
    </row>
    <row r="205" spans="1:11" x14ac:dyDescent="0.35">
      <c r="A205" t="s">
        <v>1038</v>
      </c>
      <c r="B205">
        <v>2025</v>
      </c>
      <c r="C205" t="s">
        <v>1039</v>
      </c>
      <c r="D205" t="s">
        <v>1040</v>
      </c>
      <c r="E205" t="b">
        <v>1</v>
      </c>
      <c r="F205" t="s">
        <v>1041</v>
      </c>
      <c r="G205" t="s">
        <v>181</v>
      </c>
      <c r="H205">
        <v>0.9</v>
      </c>
      <c r="I205" t="s">
        <v>112</v>
      </c>
      <c r="J205" t="s">
        <v>199</v>
      </c>
      <c r="K205" t="b">
        <v>1</v>
      </c>
    </row>
    <row r="206" spans="1:11" x14ac:dyDescent="0.35">
      <c r="A206" t="s">
        <v>1042</v>
      </c>
      <c r="B206">
        <v>2025</v>
      </c>
      <c r="C206" t="s">
        <v>1043</v>
      </c>
      <c r="D206" t="s">
        <v>1044</v>
      </c>
      <c r="E206" t="b">
        <v>1</v>
      </c>
      <c r="F206" t="s">
        <v>1045</v>
      </c>
      <c r="G206" t="s">
        <v>181</v>
      </c>
      <c r="H206">
        <v>0.9</v>
      </c>
      <c r="I206" t="s">
        <v>112</v>
      </c>
      <c r="J206" t="s">
        <v>199</v>
      </c>
      <c r="K206" t="b">
        <v>1</v>
      </c>
    </row>
    <row r="207" spans="1:11" x14ac:dyDescent="0.35">
      <c r="A207" t="s">
        <v>1046</v>
      </c>
      <c r="B207">
        <v>2025</v>
      </c>
      <c r="C207" t="s">
        <v>1047</v>
      </c>
      <c r="D207" t="s">
        <v>1048</v>
      </c>
      <c r="E207" t="b">
        <v>1</v>
      </c>
      <c r="F207" t="s">
        <v>1049</v>
      </c>
      <c r="G207" t="s">
        <v>181</v>
      </c>
      <c r="H207">
        <v>0.9</v>
      </c>
      <c r="I207" t="s">
        <v>112</v>
      </c>
      <c r="J207" t="s">
        <v>199</v>
      </c>
      <c r="K207" t="b">
        <v>1</v>
      </c>
    </row>
    <row r="208" spans="1:11" x14ac:dyDescent="0.35">
      <c r="A208" t="s">
        <v>1050</v>
      </c>
      <c r="B208">
        <v>2025</v>
      </c>
      <c r="C208" t="s">
        <v>1051</v>
      </c>
      <c r="D208" t="s">
        <v>1052</v>
      </c>
      <c r="E208" t="b">
        <v>1</v>
      </c>
      <c r="F208" t="s">
        <v>776</v>
      </c>
      <c r="G208" t="s">
        <v>181</v>
      </c>
      <c r="H208">
        <v>0.9</v>
      </c>
      <c r="I208" t="s">
        <v>112</v>
      </c>
      <c r="J208" t="s">
        <v>199</v>
      </c>
      <c r="K208" t="b">
        <v>1</v>
      </c>
    </row>
    <row r="209" spans="1:11" x14ac:dyDescent="0.35">
      <c r="A209" t="s">
        <v>1053</v>
      </c>
      <c r="B209">
        <v>2025</v>
      </c>
      <c r="C209" t="s">
        <v>1054</v>
      </c>
      <c r="D209" t="s">
        <v>1055</v>
      </c>
      <c r="E209" t="b">
        <v>1</v>
      </c>
      <c r="F209" t="s">
        <v>1056</v>
      </c>
      <c r="G209" t="s">
        <v>181</v>
      </c>
      <c r="H209">
        <v>0.9</v>
      </c>
      <c r="I209" t="s">
        <v>112</v>
      </c>
      <c r="J209" t="s">
        <v>199</v>
      </c>
      <c r="K209" t="b">
        <v>1</v>
      </c>
    </row>
    <row r="210" spans="1:11" x14ac:dyDescent="0.35">
      <c r="A210" t="s">
        <v>1057</v>
      </c>
      <c r="B210">
        <v>2025</v>
      </c>
      <c r="C210" t="s">
        <v>1058</v>
      </c>
      <c r="D210" t="s">
        <v>1059</v>
      </c>
      <c r="E210" t="b">
        <v>1</v>
      </c>
      <c r="F210" t="s">
        <v>771</v>
      </c>
      <c r="G210" t="s">
        <v>205</v>
      </c>
      <c r="H210">
        <v>0.7</v>
      </c>
      <c r="I210" t="s">
        <v>112</v>
      </c>
      <c r="J210" t="s">
        <v>199</v>
      </c>
      <c r="K210" t="b">
        <v>1</v>
      </c>
    </row>
    <row r="211" spans="1:11" x14ac:dyDescent="0.35">
      <c r="A211" t="s">
        <v>1060</v>
      </c>
      <c r="B211">
        <v>2025</v>
      </c>
      <c r="C211" t="s">
        <v>1061</v>
      </c>
      <c r="D211" t="s">
        <v>1062</v>
      </c>
      <c r="E211" t="b">
        <v>1</v>
      </c>
      <c r="F211" t="s">
        <v>1063</v>
      </c>
      <c r="G211" t="s">
        <v>181</v>
      </c>
      <c r="H211">
        <v>0.9</v>
      </c>
      <c r="I211" t="s">
        <v>112</v>
      </c>
      <c r="J211" t="s">
        <v>199</v>
      </c>
      <c r="K211" t="b">
        <v>1</v>
      </c>
    </row>
    <row r="212" spans="1:11" x14ac:dyDescent="0.35">
      <c r="A212" t="s">
        <v>1064</v>
      </c>
      <c r="B212">
        <v>2025</v>
      </c>
      <c r="C212" t="s">
        <v>1065</v>
      </c>
      <c r="D212" t="s">
        <v>1066</v>
      </c>
      <c r="E212" t="b">
        <v>1</v>
      </c>
      <c r="F212" t="s">
        <v>1067</v>
      </c>
      <c r="G212" t="s">
        <v>181</v>
      </c>
      <c r="H212">
        <v>0.9</v>
      </c>
      <c r="I212" t="s">
        <v>112</v>
      </c>
      <c r="J212" t="s">
        <v>199</v>
      </c>
      <c r="K212" t="b">
        <v>1</v>
      </c>
    </row>
    <row r="213" spans="1:11" x14ac:dyDescent="0.35">
      <c r="A213" t="s">
        <v>1068</v>
      </c>
      <c r="B213">
        <v>2025</v>
      </c>
      <c r="C213" t="s">
        <v>1065</v>
      </c>
      <c r="D213" t="s">
        <v>1069</v>
      </c>
      <c r="E213" t="b">
        <v>1</v>
      </c>
      <c r="F213" t="s">
        <v>678</v>
      </c>
      <c r="G213" t="s">
        <v>181</v>
      </c>
      <c r="H213">
        <v>0.9</v>
      </c>
      <c r="I213" s="7" t="s">
        <v>112</v>
      </c>
      <c r="J213" s="7"/>
      <c r="K213" t="b">
        <v>1</v>
      </c>
    </row>
    <row r="214" spans="1:11" x14ac:dyDescent="0.35">
      <c r="A214" t="s">
        <v>1070</v>
      </c>
      <c r="B214">
        <v>2025</v>
      </c>
      <c r="C214" t="s">
        <v>1071</v>
      </c>
      <c r="D214" t="s">
        <v>1072</v>
      </c>
      <c r="E214" t="b">
        <v>1</v>
      </c>
      <c r="F214" t="s">
        <v>1073</v>
      </c>
      <c r="G214" t="s">
        <v>674</v>
      </c>
      <c r="H214">
        <v>0.9</v>
      </c>
      <c r="I214" t="s">
        <v>112</v>
      </c>
      <c r="J214" t="s">
        <v>199</v>
      </c>
      <c r="K214" t="b">
        <v>1</v>
      </c>
    </row>
    <row r="215" spans="1:11" x14ac:dyDescent="0.35">
      <c r="A215" t="s">
        <v>1074</v>
      </c>
      <c r="B215">
        <v>2025</v>
      </c>
      <c r="C215" t="s">
        <v>1075</v>
      </c>
      <c r="D215" t="s">
        <v>1076</v>
      </c>
      <c r="E215" t="b">
        <v>1</v>
      </c>
      <c r="F215" t="s">
        <v>1077</v>
      </c>
      <c r="G215" t="s">
        <v>181</v>
      </c>
      <c r="H215">
        <v>0.9</v>
      </c>
      <c r="I215" t="s">
        <v>112</v>
      </c>
      <c r="J215" t="s">
        <v>199</v>
      </c>
      <c r="K215" t="b">
        <v>1</v>
      </c>
    </row>
    <row r="216" spans="1:11" x14ac:dyDescent="0.35">
      <c r="A216" t="s">
        <v>1078</v>
      </c>
      <c r="B216">
        <v>2020</v>
      </c>
      <c r="C216" t="s">
        <v>1079</v>
      </c>
      <c r="D216" t="s">
        <v>1080</v>
      </c>
      <c r="E216" t="b">
        <v>1</v>
      </c>
      <c r="F216" t="s">
        <v>771</v>
      </c>
      <c r="G216" t="s">
        <v>205</v>
      </c>
      <c r="H216">
        <v>0.6</v>
      </c>
      <c r="I216" t="s">
        <v>112</v>
      </c>
      <c r="J216" t="s">
        <v>199</v>
      </c>
      <c r="K216" t="b">
        <v>1</v>
      </c>
    </row>
    <row r="217" spans="1:11" x14ac:dyDescent="0.35">
      <c r="A217" t="s">
        <v>1081</v>
      </c>
      <c r="B217">
        <v>2020</v>
      </c>
      <c r="C217" t="s">
        <v>1082</v>
      </c>
      <c r="D217" t="s">
        <v>1083</v>
      </c>
      <c r="E217" t="b">
        <v>1</v>
      </c>
      <c r="F217" t="s">
        <v>1084</v>
      </c>
      <c r="G217" t="s">
        <v>181</v>
      </c>
      <c r="H217">
        <v>0.9</v>
      </c>
      <c r="I217" t="s">
        <v>112</v>
      </c>
      <c r="J217" t="s">
        <v>199</v>
      </c>
      <c r="K217" t="b">
        <v>1</v>
      </c>
    </row>
    <row r="218" spans="1:11" x14ac:dyDescent="0.35">
      <c r="A218" t="s">
        <v>1085</v>
      </c>
      <c r="B218">
        <v>2020</v>
      </c>
      <c r="C218" t="s">
        <v>1086</v>
      </c>
      <c r="D218" t="s">
        <v>1087</v>
      </c>
      <c r="E218" t="b">
        <v>0</v>
      </c>
      <c r="F218" t="s">
        <v>815</v>
      </c>
      <c r="G218" t="s">
        <v>190</v>
      </c>
      <c r="H218">
        <v>0.9</v>
      </c>
      <c r="I218" t="s">
        <v>112</v>
      </c>
      <c r="J218" t="s">
        <v>199</v>
      </c>
      <c r="K218" t="b">
        <v>1</v>
      </c>
    </row>
    <row r="219" spans="1:11" x14ac:dyDescent="0.35">
      <c r="A219" t="s">
        <v>1088</v>
      </c>
      <c r="B219">
        <v>2020</v>
      </c>
      <c r="C219" t="s">
        <v>1089</v>
      </c>
      <c r="D219" t="s">
        <v>1090</v>
      </c>
      <c r="E219" t="b">
        <v>1</v>
      </c>
      <c r="F219" t="s">
        <v>1091</v>
      </c>
      <c r="G219" t="s">
        <v>181</v>
      </c>
      <c r="H219">
        <v>0.9</v>
      </c>
      <c r="I219" t="s">
        <v>112</v>
      </c>
      <c r="J219" t="s">
        <v>199</v>
      </c>
      <c r="K219" t="b">
        <v>1</v>
      </c>
    </row>
    <row r="220" spans="1:11" x14ac:dyDescent="0.35">
      <c r="A220" t="s">
        <v>1092</v>
      </c>
      <c r="B220">
        <v>2020</v>
      </c>
      <c r="C220" t="s">
        <v>1093</v>
      </c>
      <c r="D220" t="s">
        <v>1094</v>
      </c>
      <c r="E220" t="b">
        <v>1</v>
      </c>
      <c r="F220" t="s">
        <v>1095</v>
      </c>
      <c r="G220" t="s">
        <v>181</v>
      </c>
      <c r="H220">
        <v>0.9</v>
      </c>
      <c r="I220" t="s">
        <v>112</v>
      </c>
      <c r="J220" t="s">
        <v>199</v>
      </c>
      <c r="K220" t="b">
        <v>1</v>
      </c>
    </row>
    <row r="221" spans="1:11" x14ac:dyDescent="0.35">
      <c r="A221" t="s">
        <v>1096</v>
      </c>
      <c r="B221">
        <v>2020</v>
      </c>
      <c r="C221" t="s">
        <v>1097</v>
      </c>
      <c r="D221" t="s">
        <v>1098</v>
      </c>
      <c r="E221" t="b">
        <v>1</v>
      </c>
      <c r="F221" t="s">
        <v>1099</v>
      </c>
      <c r="G221" t="s">
        <v>181</v>
      </c>
      <c r="H221">
        <v>0.9</v>
      </c>
      <c r="I221" t="s">
        <v>112</v>
      </c>
      <c r="J221" t="s">
        <v>199</v>
      </c>
      <c r="K221" t="b">
        <v>1</v>
      </c>
    </row>
    <row r="222" spans="1:11" x14ac:dyDescent="0.35">
      <c r="A222" t="s">
        <v>1100</v>
      </c>
      <c r="B222">
        <v>2020</v>
      </c>
      <c r="C222" t="s">
        <v>1101</v>
      </c>
      <c r="D222" t="s">
        <v>499</v>
      </c>
      <c r="E222" t="b">
        <v>1</v>
      </c>
      <c r="F222" t="s">
        <v>1102</v>
      </c>
      <c r="G222" t="s">
        <v>181</v>
      </c>
      <c r="H222">
        <v>0.9</v>
      </c>
      <c r="I222" t="s">
        <v>112</v>
      </c>
      <c r="J222" t="s">
        <v>199</v>
      </c>
      <c r="K222" t="b">
        <v>1</v>
      </c>
    </row>
    <row r="223" spans="1:11" x14ac:dyDescent="0.35">
      <c r="A223" t="s">
        <v>1103</v>
      </c>
      <c r="B223">
        <v>2020</v>
      </c>
      <c r="C223" t="s">
        <v>1104</v>
      </c>
      <c r="D223" t="s">
        <v>1105</v>
      </c>
      <c r="E223" t="b">
        <v>1</v>
      </c>
      <c r="F223" t="s">
        <v>1106</v>
      </c>
      <c r="G223" t="s">
        <v>181</v>
      </c>
      <c r="H223">
        <v>0.9</v>
      </c>
      <c r="I223" t="s">
        <v>112</v>
      </c>
      <c r="J223" t="s">
        <v>199</v>
      </c>
      <c r="K223" t="b">
        <v>1</v>
      </c>
    </row>
    <row r="224" spans="1:11" x14ac:dyDescent="0.35">
      <c r="A224" t="s">
        <v>1107</v>
      </c>
      <c r="B224">
        <v>2020</v>
      </c>
      <c r="C224" t="s">
        <v>1108</v>
      </c>
      <c r="D224" t="s">
        <v>1109</v>
      </c>
      <c r="E224" t="b">
        <v>0</v>
      </c>
      <c r="F224" t="s">
        <v>803</v>
      </c>
      <c r="G224" t="s">
        <v>192</v>
      </c>
      <c r="H224">
        <v>1</v>
      </c>
      <c r="I224" t="s">
        <v>173</v>
      </c>
      <c r="J224" t="s">
        <v>192</v>
      </c>
      <c r="K224" t="b">
        <v>0</v>
      </c>
    </row>
    <row r="225" spans="1:11" x14ac:dyDescent="0.35">
      <c r="A225" t="s">
        <v>1110</v>
      </c>
      <c r="B225">
        <v>2020</v>
      </c>
      <c r="C225" t="s">
        <v>1111</v>
      </c>
      <c r="D225" t="s">
        <v>1112</v>
      </c>
      <c r="E225" t="b">
        <v>1</v>
      </c>
      <c r="F225" t="s">
        <v>1113</v>
      </c>
      <c r="G225" t="s">
        <v>181</v>
      </c>
      <c r="H225">
        <v>0.9</v>
      </c>
      <c r="I225" t="s">
        <v>112</v>
      </c>
      <c r="J225" t="s">
        <v>199</v>
      </c>
      <c r="K225" t="b">
        <v>1</v>
      </c>
    </row>
    <row r="226" spans="1:11" x14ac:dyDescent="0.35">
      <c r="A226" t="s">
        <v>1114</v>
      </c>
      <c r="B226">
        <v>2020</v>
      </c>
      <c r="C226" t="s">
        <v>1115</v>
      </c>
      <c r="D226" t="s">
        <v>1116</v>
      </c>
      <c r="E226" t="b">
        <v>1</v>
      </c>
      <c r="F226" t="s">
        <v>1117</v>
      </c>
      <c r="G226" t="s">
        <v>181</v>
      </c>
      <c r="H226">
        <v>0.9</v>
      </c>
      <c r="I226" t="s">
        <v>112</v>
      </c>
      <c r="J226" t="s">
        <v>199</v>
      </c>
      <c r="K226" t="b">
        <v>1</v>
      </c>
    </row>
    <row r="227" spans="1:11" x14ac:dyDescent="0.35">
      <c r="A227" t="s">
        <v>1118</v>
      </c>
      <c r="B227">
        <v>2020</v>
      </c>
      <c r="C227" t="s">
        <v>1119</v>
      </c>
      <c r="D227" t="s">
        <v>1120</v>
      </c>
      <c r="E227" t="b">
        <v>0</v>
      </c>
      <c r="F227" t="s">
        <v>1121</v>
      </c>
      <c r="G227" t="s">
        <v>190</v>
      </c>
      <c r="H227">
        <v>0.9</v>
      </c>
      <c r="I227" t="s">
        <v>112</v>
      </c>
      <c r="J227" t="s">
        <v>199</v>
      </c>
      <c r="K227" t="b">
        <v>1</v>
      </c>
    </row>
    <row r="228" spans="1:11" x14ac:dyDescent="0.35">
      <c r="A228" t="s">
        <v>1122</v>
      </c>
      <c r="B228">
        <v>2020</v>
      </c>
      <c r="C228" t="s">
        <v>1123</v>
      </c>
      <c r="D228" t="s">
        <v>1124</v>
      </c>
      <c r="E228" t="b">
        <v>1</v>
      </c>
      <c r="F228" t="s">
        <v>831</v>
      </c>
      <c r="G228" t="s">
        <v>181</v>
      </c>
      <c r="H228">
        <v>0.9</v>
      </c>
      <c r="I228" t="s">
        <v>112</v>
      </c>
      <c r="J228" t="s">
        <v>199</v>
      </c>
      <c r="K228" t="b">
        <v>1</v>
      </c>
    </row>
    <row r="229" spans="1:11" x14ac:dyDescent="0.35">
      <c r="A229" t="s">
        <v>1125</v>
      </c>
      <c r="B229">
        <v>2020</v>
      </c>
      <c r="C229" t="s">
        <v>1126</v>
      </c>
      <c r="D229" t="s">
        <v>1127</v>
      </c>
      <c r="E229" t="b">
        <v>1</v>
      </c>
      <c r="F229" t="s">
        <v>826</v>
      </c>
      <c r="G229" t="s">
        <v>181</v>
      </c>
      <c r="H229">
        <v>0.9</v>
      </c>
      <c r="I229" t="s">
        <v>112</v>
      </c>
      <c r="J229" t="s">
        <v>199</v>
      </c>
      <c r="K229" t="b">
        <v>1</v>
      </c>
    </row>
    <row r="230" spans="1:11" x14ac:dyDescent="0.35">
      <c r="A230" t="s">
        <v>1128</v>
      </c>
      <c r="B230">
        <v>2020</v>
      </c>
      <c r="C230" t="s">
        <v>1129</v>
      </c>
      <c r="D230" t="s">
        <v>1130</v>
      </c>
      <c r="E230" t="b">
        <v>1</v>
      </c>
      <c r="F230" t="s">
        <v>771</v>
      </c>
      <c r="G230" t="s">
        <v>205</v>
      </c>
      <c r="H230">
        <v>0.7</v>
      </c>
      <c r="I230" t="s">
        <v>112</v>
      </c>
      <c r="J230" t="s">
        <v>199</v>
      </c>
      <c r="K230" t="b">
        <v>1</v>
      </c>
    </row>
    <row r="231" spans="1:11" ht="409.5" x14ac:dyDescent="0.35">
      <c r="A231" t="s">
        <v>1131</v>
      </c>
      <c r="B231">
        <v>2020</v>
      </c>
      <c r="C231" t="s">
        <v>1132</v>
      </c>
      <c r="D231" s="1" t="s">
        <v>1133</v>
      </c>
      <c r="E231" t="b">
        <v>1</v>
      </c>
      <c r="F231" t="s">
        <v>1134</v>
      </c>
      <c r="G231" t="s">
        <v>181</v>
      </c>
      <c r="H231">
        <v>0.9</v>
      </c>
      <c r="I231" t="s">
        <v>112</v>
      </c>
      <c r="J231" t="s">
        <v>199</v>
      </c>
      <c r="K231" t="b">
        <v>1</v>
      </c>
    </row>
    <row r="232" spans="1:11" x14ac:dyDescent="0.35">
      <c r="A232" t="s">
        <v>1135</v>
      </c>
      <c r="B232">
        <v>2020</v>
      </c>
      <c r="C232" t="s">
        <v>1136</v>
      </c>
      <c r="D232" t="s">
        <v>1137</v>
      </c>
      <c r="E232" t="b">
        <v>1</v>
      </c>
      <c r="F232" t="s">
        <v>1138</v>
      </c>
      <c r="G232" t="s">
        <v>181</v>
      </c>
      <c r="H232">
        <v>0.9</v>
      </c>
      <c r="I232" s="7" t="s">
        <v>112</v>
      </c>
      <c r="J232" s="7"/>
      <c r="K232" t="b">
        <v>1</v>
      </c>
    </row>
    <row r="233" spans="1:11" x14ac:dyDescent="0.35">
      <c r="A233" t="s">
        <v>1139</v>
      </c>
      <c r="B233">
        <v>2020</v>
      </c>
      <c r="C233" t="s">
        <v>1140</v>
      </c>
      <c r="D233" t="s">
        <v>1141</v>
      </c>
      <c r="E233" t="b">
        <v>1</v>
      </c>
      <c r="F233" t="s">
        <v>1142</v>
      </c>
      <c r="G233" t="s">
        <v>181</v>
      </c>
      <c r="H233">
        <v>0.9</v>
      </c>
      <c r="I233" t="s">
        <v>112</v>
      </c>
      <c r="J233" t="s">
        <v>199</v>
      </c>
      <c r="K233" t="b">
        <v>1</v>
      </c>
    </row>
    <row r="234" spans="1:11" ht="409.5" x14ac:dyDescent="0.35">
      <c r="A234" t="s">
        <v>1143</v>
      </c>
      <c r="B234">
        <v>2022</v>
      </c>
      <c r="C234" t="s">
        <v>1144</v>
      </c>
      <c r="D234" s="1" t="s">
        <v>1145</v>
      </c>
      <c r="E234" t="b">
        <v>1</v>
      </c>
      <c r="F234" t="s">
        <v>1091</v>
      </c>
      <c r="G234" t="s">
        <v>181</v>
      </c>
      <c r="H234">
        <v>0.9</v>
      </c>
      <c r="I234" t="s">
        <v>112</v>
      </c>
      <c r="J234" t="s">
        <v>199</v>
      </c>
      <c r="K234" t="b">
        <v>1</v>
      </c>
    </row>
    <row r="235" spans="1:11" x14ac:dyDescent="0.35">
      <c r="A235" t="s">
        <v>1146</v>
      </c>
      <c r="B235">
        <v>2022</v>
      </c>
      <c r="C235" t="s">
        <v>1144</v>
      </c>
      <c r="D235" t="s">
        <v>1137</v>
      </c>
      <c r="E235" t="b">
        <v>1</v>
      </c>
      <c r="F235" t="s">
        <v>1147</v>
      </c>
      <c r="G235" t="s">
        <v>181</v>
      </c>
      <c r="H235">
        <v>0.9</v>
      </c>
      <c r="I235" s="7" t="s">
        <v>112</v>
      </c>
      <c r="J235" s="7"/>
      <c r="K235" t="b">
        <v>1</v>
      </c>
    </row>
    <row r="236" spans="1:11" ht="409.5" x14ac:dyDescent="0.35">
      <c r="A236" t="s">
        <v>1148</v>
      </c>
      <c r="B236">
        <v>2022</v>
      </c>
      <c r="C236" t="s">
        <v>1149</v>
      </c>
      <c r="D236" s="1" t="s">
        <v>1150</v>
      </c>
      <c r="E236" t="b">
        <v>1</v>
      </c>
      <c r="F236" t="s">
        <v>831</v>
      </c>
      <c r="G236" t="s">
        <v>181</v>
      </c>
      <c r="H236">
        <v>0.9</v>
      </c>
      <c r="I236" t="s">
        <v>112</v>
      </c>
      <c r="J236" t="s">
        <v>199</v>
      </c>
      <c r="K236" t="b">
        <v>1</v>
      </c>
    </row>
    <row r="237" spans="1:11" x14ac:dyDescent="0.35">
      <c r="A237" t="s">
        <v>1151</v>
      </c>
      <c r="B237">
        <v>2022</v>
      </c>
      <c r="C237" t="s">
        <v>1152</v>
      </c>
      <c r="D237" t="s">
        <v>1153</v>
      </c>
      <c r="E237" t="b">
        <v>1</v>
      </c>
      <c r="F237" t="s">
        <v>789</v>
      </c>
      <c r="G237" t="s">
        <v>181</v>
      </c>
      <c r="H237">
        <v>0.9</v>
      </c>
      <c r="I237" t="s">
        <v>112</v>
      </c>
      <c r="J237" t="s">
        <v>199</v>
      </c>
      <c r="K237" t="b">
        <v>1</v>
      </c>
    </row>
    <row r="238" spans="1:11" x14ac:dyDescent="0.35">
      <c r="A238" t="s">
        <v>1154</v>
      </c>
      <c r="B238">
        <v>2022</v>
      </c>
      <c r="C238" t="s">
        <v>1155</v>
      </c>
      <c r="D238" t="s">
        <v>1156</v>
      </c>
      <c r="E238" t="b">
        <v>1</v>
      </c>
      <c r="F238" t="s">
        <v>847</v>
      </c>
      <c r="G238" t="s">
        <v>181</v>
      </c>
      <c r="H238">
        <v>0.95</v>
      </c>
      <c r="I238" t="s">
        <v>112</v>
      </c>
      <c r="J238" t="s">
        <v>199</v>
      </c>
      <c r="K238" t="b">
        <v>1</v>
      </c>
    </row>
    <row r="239" spans="1:11" x14ac:dyDescent="0.35">
      <c r="A239" t="s">
        <v>1157</v>
      </c>
      <c r="B239">
        <v>2022</v>
      </c>
      <c r="C239" t="s">
        <v>1158</v>
      </c>
      <c r="D239" t="s">
        <v>1137</v>
      </c>
      <c r="E239" t="b">
        <v>1</v>
      </c>
      <c r="F239" t="s">
        <v>1159</v>
      </c>
      <c r="G239" t="s">
        <v>181</v>
      </c>
      <c r="H239">
        <v>0.9</v>
      </c>
      <c r="I239" t="s">
        <v>112</v>
      </c>
      <c r="J239" t="s">
        <v>199</v>
      </c>
      <c r="K239" t="b">
        <v>1</v>
      </c>
    </row>
    <row r="240" spans="1:11" x14ac:dyDescent="0.35">
      <c r="A240" t="s">
        <v>1160</v>
      </c>
      <c r="B240">
        <v>2022</v>
      </c>
      <c r="C240" t="s">
        <v>1161</v>
      </c>
      <c r="D240" t="s">
        <v>1162</v>
      </c>
      <c r="E240" t="b">
        <v>1</v>
      </c>
      <c r="F240" t="s">
        <v>1163</v>
      </c>
      <c r="G240" t="s">
        <v>181</v>
      </c>
      <c r="H240">
        <v>0.9</v>
      </c>
      <c r="I240" t="s">
        <v>112</v>
      </c>
      <c r="J240" t="s">
        <v>199</v>
      </c>
      <c r="K240" t="b">
        <v>1</v>
      </c>
    </row>
    <row r="241" spans="1:11" x14ac:dyDescent="0.35">
      <c r="A241" t="s">
        <v>1164</v>
      </c>
      <c r="B241">
        <v>2022</v>
      </c>
      <c r="C241" t="s">
        <v>1165</v>
      </c>
      <c r="D241" t="s">
        <v>1166</v>
      </c>
      <c r="E241" t="b">
        <v>1</v>
      </c>
      <c r="F241" t="s">
        <v>677</v>
      </c>
      <c r="G241" t="s">
        <v>181</v>
      </c>
      <c r="H241">
        <v>0.9</v>
      </c>
      <c r="I241" t="s">
        <v>112</v>
      </c>
      <c r="J241" t="s">
        <v>199</v>
      </c>
      <c r="K241" t="b">
        <v>1</v>
      </c>
    </row>
    <row r="242" spans="1:11" x14ac:dyDescent="0.35">
      <c r="A242" t="s">
        <v>1167</v>
      </c>
      <c r="B242">
        <v>2022</v>
      </c>
      <c r="C242" t="s">
        <v>1168</v>
      </c>
      <c r="D242" t="s">
        <v>1169</v>
      </c>
      <c r="E242" t="b">
        <v>1</v>
      </c>
      <c r="F242" t="s">
        <v>1170</v>
      </c>
      <c r="G242" t="s">
        <v>181</v>
      </c>
      <c r="H242">
        <v>0.9</v>
      </c>
      <c r="I242" t="s">
        <v>112</v>
      </c>
      <c r="J242" t="s">
        <v>199</v>
      </c>
      <c r="K242" t="b">
        <v>1</v>
      </c>
    </row>
    <row r="243" spans="1:11" x14ac:dyDescent="0.35">
      <c r="A243" t="s">
        <v>1171</v>
      </c>
      <c r="B243">
        <v>2022</v>
      </c>
      <c r="C243" t="s">
        <v>1172</v>
      </c>
      <c r="D243" t="s">
        <v>1173</v>
      </c>
      <c r="E243" t="b">
        <v>0</v>
      </c>
      <c r="F243" t="s">
        <v>803</v>
      </c>
      <c r="G243" t="s">
        <v>192</v>
      </c>
      <c r="H243">
        <v>1</v>
      </c>
      <c r="I243" t="s">
        <v>173</v>
      </c>
      <c r="J243" t="s">
        <v>192</v>
      </c>
      <c r="K243" t="b">
        <v>0</v>
      </c>
    </row>
    <row r="244" spans="1:11" x14ac:dyDescent="0.35">
      <c r="A244" t="s">
        <v>1174</v>
      </c>
      <c r="B244">
        <v>2022</v>
      </c>
      <c r="C244" t="s">
        <v>1175</v>
      </c>
      <c r="D244" t="s">
        <v>1176</v>
      </c>
      <c r="E244" t="b">
        <v>0</v>
      </c>
      <c r="F244" t="s">
        <v>803</v>
      </c>
      <c r="G244" t="s">
        <v>192</v>
      </c>
      <c r="H244">
        <v>1</v>
      </c>
      <c r="I244" t="s">
        <v>173</v>
      </c>
      <c r="J244" t="s">
        <v>1482</v>
      </c>
      <c r="K244" t="b">
        <v>0</v>
      </c>
    </row>
    <row r="245" spans="1:11" x14ac:dyDescent="0.35">
      <c r="A245" t="s">
        <v>1177</v>
      </c>
      <c r="B245">
        <v>2022</v>
      </c>
      <c r="C245" t="s">
        <v>1178</v>
      </c>
      <c r="D245" t="s">
        <v>1179</v>
      </c>
      <c r="E245" t="b">
        <v>1</v>
      </c>
      <c r="F245" t="s">
        <v>771</v>
      </c>
      <c r="G245" t="s">
        <v>205</v>
      </c>
      <c r="H245">
        <v>0.7</v>
      </c>
      <c r="I245" t="s">
        <v>112</v>
      </c>
      <c r="J245" t="s">
        <v>199</v>
      </c>
      <c r="K245" t="b">
        <v>1</v>
      </c>
    </row>
    <row r="246" spans="1:11" x14ac:dyDescent="0.35">
      <c r="A246" t="s">
        <v>1180</v>
      </c>
      <c r="B246">
        <v>2022</v>
      </c>
      <c r="C246" t="s">
        <v>1181</v>
      </c>
      <c r="D246" t="s">
        <v>1182</v>
      </c>
      <c r="E246" t="b">
        <v>1</v>
      </c>
      <c r="F246" t="s">
        <v>1183</v>
      </c>
      <c r="G246" t="s">
        <v>181</v>
      </c>
      <c r="H246">
        <v>0.9</v>
      </c>
      <c r="I246" t="s">
        <v>112</v>
      </c>
      <c r="J246" t="s">
        <v>199</v>
      </c>
      <c r="K246" t="b">
        <v>1</v>
      </c>
    </row>
    <row r="247" spans="1:11" x14ac:dyDescent="0.35">
      <c r="A247" t="s">
        <v>1184</v>
      </c>
      <c r="B247">
        <v>2022</v>
      </c>
      <c r="C247" t="s">
        <v>1185</v>
      </c>
      <c r="D247" t="s">
        <v>1186</v>
      </c>
      <c r="E247" t="b">
        <v>0</v>
      </c>
      <c r="F247" t="s">
        <v>803</v>
      </c>
      <c r="G247" t="s">
        <v>192</v>
      </c>
      <c r="H247">
        <v>1</v>
      </c>
      <c r="I247" t="s">
        <v>173</v>
      </c>
      <c r="J247" t="s">
        <v>192</v>
      </c>
      <c r="K247" t="b">
        <v>0</v>
      </c>
    </row>
    <row r="248" spans="1:11" x14ac:dyDescent="0.35">
      <c r="A248" t="s">
        <v>1187</v>
      </c>
      <c r="B248">
        <v>2022</v>
      </c>
      <c r="C248" t="s">
        <v>1188</v>
      </c>
      <c r="D248" t="s">
        <v>1189</v>
      </c>
      <c r="E248" t="b">
        <v>1</v>
      </c>
      <c r="F248" t="s">
        <v>819</v>
      </c>
      <c r="G248" t="s">
        <v>181</v>
      </c>
      <c r="H248">
        <v>0.9</v>
      </c>
      <c r="I248" t="s">
        <v>112</v>
      </c>
      <c r="J248" t="s">
        <v>199</v>
      </c>
      <c r="K248" t="b">
        <v>1</v>
      </c>
    </row>
    <row r="249" spans="1:11" x14ac:dyDescent="0.35">
      <c r="A249" t="s">
        <v>1190</v>
      </c>
      <c r="B249">
        <v>2022</v>
      </c>
      <c r="C249" t="s">
        <v>1191</v>
      </c>
      <c r="D249" t="s">
        <v>1192</v>
      </c>
      <c r="E249" t="b">
        <v>1</v>
      </c>
      <c r="F249" t="s">
        <v>771</v>
      </c>
      <c r="G249" t="s">
        <v>205</v>
      </c>
      <c r="H249">
        <v>0.7</v>
      </c>
      <c r="I249" t="s">
        <v>112</v>
      </c>
      <c r="J249" t="s">
        <v>199</v>
      </c>
      <c r="K249" t="b">
        <v>1</v>
      </c>
    </row>
    <row r="250" spans="1:11" ht="409.5" x14ac:dyDescent="0.35">
      <c r="A250" t="s">
        <v>1193</v>
      </c>
      <c r="B250">
        <v>2022</v>
      </c>
      <c r="C250" t="s">
        <v>1194</v>
      </c>
      <c r="D250" s="1" t="s">
        <v>1195</v>
      </c>
      <c r="E250" t="b">
        <v>0</v>
      </c>
      <c r="F250" t="s">
        <v>1196</v>
      </c>
      <c r="G250" t="s">
        <v>192</v>
      </c>
      <c r="H250">
        <v>0.9</v>
      </c>
      <c r="I250" t="s">
        <v>112</v>
      </c>
      <c r="J250" t="s">
        <v>199</v>
      </c>
      <c r="K250" t="b">
        <v>1</v>
      </c>
    </row>
    <row r="251" spans="1:11" x14ac:dyDescent="0.35">
      <c r="A251" t="s">
        <v>1197</v>
      </c>
      <c r="B251">
        <v>2022</v>
      </c>
      <c r="C251" t="s">
        <v>1194</v>
      </c>
      <c r="D251" t="s">
        <v>499</v>
      </c>
      <c r="E251" t="b">
        <v>0</v>
      </c>
      <c r="F251" t="s">
        <v>1198</v>
      </c>
      <c r="G251" t="s">
        <v>192</v>
      </c>
      <c r="H251">
        <v>0.9</v>
      </c>
      <c r="I251" s="7" t="s">
        <v>112</v>
      </c>
      <c r="J251" s="7"/>
      <c r="K251" t="b">
        <v>1</v>
      </c>
    </row>
    <row r="252" spans="1:11" x14ac:dyDescent="0.35">
      <c r="A252" t="s">
        <v>1199</v>
      </c>
      <c r="B252">
        <v>2022</v>
      </c>
      <c r="C252" t="s">
        <v>1200</v>
      </c>
      <c r="D252" t="s">
        <v>1201</v>
      </c>
      <c r="E252" t="b">
        <v>1</v>
      </c>
      <c r="F252" t="s">
        <v>799</v>
      </c>
      <c r="G252" t="s">
        <v>181</v>
      </c>
      <c r="H252">
        <v>0.9</v>
      </c>
      <c r="I252" t="s">
        <v>112</v>
      </c>
      <c r="J252" t="s">
        <v>199</v>
      </c>
      <c r="K252" t="b">
        <v>1</v>
      </c>
    </row>
    <row r="253" spans="1:11" ht="409.5" x14ac:dyDescent="0.35">
      <c r="A253" t="s">
        <v>1202</v>
      </c>
      <c r="B253">
        <v>2022</v>
      </c>
      <c r="C253" t="s">
        <v>1203</v>
      </c>
      <c r="D253" s="1" t="s">
        <v>1204</v>
      </c>
      <c r="E253" t="b">
        <v>1</v>
      </c>
      <c r="F253" t="s">
        <v>1205</v>
      </c>
      <c r="G253" t="s">
        <v>181</v>
      </c>
      <c r="H253">
        <v>0.9</v>
      </c>
      <c r="I253" t="s">
        <v>112</v>
      </c>
      <c r="J253" t="s">
        <v>199</v>
      </c>
      <c r="K253" t="b">
        <v>1</v>
      </c>
    </row>
    <row r="254" spans="1:11" x14ac:dyDescent="0.35">
      <c r="A254" t="s">
        <v>1206</v>
      </c>
      <c r="B254">
        <v>2022</v>
      </c>
      <c r="C254" t="s">
        <v>1207</v>
      </c>
      <c r="D254" t="s">
        <v>1208</v>
      </c>
      <c r="E254" t="b">
        <v>1</v>
      </c>
      <c r="F254" t="s">
        <v>771</v>
      </c>
      <c r="G254" t="s">
        <v>205</v>
      </c>
      <c r="H254">
        <v>0.7</v>
      </c>
      <c r="I254" t="s">
        <v>112</v>
      </c>
      <c r="J254" t="s">
        <v>199</v>
      </c>
      <c r="K254" t="b">
        <v>1</v>
      </c>
    </row>
    <row r="255" spans="1:11" x14ac:dyDescent="0.35">
      <c r="A255" t="s">
        <v>1209</v>
      </c>
      <c r="B255">
        <v>2022</v>
      </c>
      <c r="C255" t="s">
        <v>1210</v>
      </c>
      <c r="D255" t="s">
        <v>1211</v>
      </c>
      <c r="E255" t="b">
        <v>1</v>
      </c>
      <c r="F255" t="s">
        <v>678</v>
      </c>
      <c r="G255" t="s">
        <v>181</v>
      </c>
      <c r="H255">
        <v>0.9</v>
      </c>
      <c r="I255" t="s">
        <v>112</v>
      </c>
      <c r="J255" t="s">
        <v>199</v>
      </c>
      <c r="K255" t="b">
        <v>1</v>
      </c>
    </row>
    <row r="256" spans="1:11" x14ac:dyDescent="0.35">
      <c r="A256" t="s">
        <v>1212</v>
      </c>
      <c r="B256">
        <v>2022</v>
      </c>
      <c r="C256" t="s">
        <v>1213</v>
      </c>
      <c r="D256" t="s">
        <v>1214</v>
      </c>
      <c r="E256" t="b">
        <v>1</v>
      </c>
      <c r="F256" t="s">
        <v>1215</v>
      </c>
      <c r="G256" t="s">
        <v>181</v>
      </c>
      <c r="H256">
        <v>0.9</v>
      </c>
      <c r="I256" t="s">
        <v>112</v>
      </c>
      <c r="J256" t="s">
        <v>199</v>
      </c>
      <c r="K256" t="b">
        <v>1</v>
      </c>
    </row>
    <row r="257" spans="1:11" x14ac:dyDescent="0.35">
      <c r="A257" t="s">
        <v>1216</v>
      </c>
      <c r="B257">
        <v>2022</v>
      </c>
      <c r="C257" t="s">
        <v>1217</v>
      </c>
      <c r="D257" t="s">
        <v>1218</v>
      </c>
      <c r="E257" t="b">
        <v>1</v>
      </c>
      <c r="F257" t="s">
        <v>1219</v>
      </c>
      <c r="G257" t="s">
        <v>181</v>
      </c>
      <c r="H257">
        <v>0.9</v>
      </c>
      <c r="I257" t="s">
        <v>112</v>
      </c>
      <c r="J257" t="s">
        <v>199</v>
      </c>
      <c r="K257" t="b">
        <v>1</v>
      </c>
    </row>
    <row r="258" spans="1:11" x14ac:dyDescent="0.35">
      <c r="A258" t="s">
        <v>1220</v>
      </c>
      <c r="B258">
        <v>2022</v>
      </c>
      <c r="C258" t="s">
        <v>1221</v>
      </c>
      <c r="D258" t="s">
        <v>1222</v>
      </c>
      <c r="E258" t="b">
        <v>1</v>
      </c>
      <c r="F258" t="s">
        <v>771</v>
      </c>
      <c r="G258" t="s">
        <v>205</v>
      </c>
      <c r="H258">
        <v>0.7</v>
      </c>
      <c r="I258" t="s">
        <v>112</v>
      </c>
      <c r="J258" t="s">
        <v>199</v>
      </c>
      <c r="K258" t="b">
        <v>1</v>
      </c>
    </row>
    <row r="259" spans="1:11" x14ac:dyDescent="0.35">
      <c r="A259" t="s">
        <v>1223</v>
      </c>
      <c r="B259">
        <v>2022</v>
      </c>
      <c r="C259" t="s">
        <v>1224</v>
      </c>
      <c r="D259" t="s">
        <v>1225</v>
      </c>
      <c r="E259" t="b">
        <v>1</v>
      </c>
      <c r="F259" t="s">
        <v>1226</v>
      </c>
      <c r="G259" t="s">
        <v>181</v>
      </c>
      <c r="H259">
        <v>0.9</v>
      </c>
      <c r="I259" t="s">
        <v>112</v>
      </c>
      <c r="J259" t="s">
        <v>199</v>
      </c>
      <c r="K259" t="b">
        <v>1</v>
      </c>
    </row>
    <row r="260" spans="1:11" x14ac:dyDescent="0.35">
      <c r="A260" t="s">
        <v>1227</v>
      </c>
      <c r="B260">
        <v>2022</v>
      </c>
      <c r="C260" t="s">
        <v>1228</v>
      </c>
      <c r="D260" t="s">
        <v>1229</v>
      </c>
      <c r="E260" t="b">
        <v>1</v>
      </c>
      <c r="F260" t="s">
        <v>771</v>
      </c>
      <c r="G260" t="s">
        <v>205</v>
      </c>
      <c r="H260">
        <v>0.6</v>
      </c>
      <c r="I260" t="s">
        <v>112</v>
      </c>
      <c r="J260" t="s">
        <v>199</v>
      </c>
      <c r="K260" t="b">
        <v>1</v>
      </c>
    </row>
    <row r="261" spans="1:11" x14ac:dyDescent="0.35">
      <c r="A261" t="s">
        <v>1230</v>
      </c>
      <c r="B261">
        <v>2022</v>
      </c>
      <c r="C261" t="s">
        <v>1231</v>
      </c>
      <c r="D261" t="s">
        <v>1232</v>
      </c>
      <c r="E261" t="b">
        <v>1</v>
      </c>
      <c r="F261" t="s">
        <v>1233</v>
      </c>
      <c r="G261" t="s">
        <v>181</v>
      </c>
      <c r="H261">
        <v>0.9</v>
      </c>
      <c r="I261" t="s">
        <v>112</v>
      </c>
      <c r="J261" t="s">
        <v>199</v>
      </c>
      <c r="K261" t="b">
        <v>1</v>
      </c>
    </row>
    <row r="262" spans="1:11" x14ac:dyDescent="0.35">
      <c r="A262" t="s">
        <v>1234</v>
      </c>
      <c r="B262">
        <v>2022</v>
      </c>
      <c r="C262" t="s">
        <v>1235</v>
      </c>
      <c r="D262" t="s">
        <v>1236</v>
      </c>
      <c r="E262" t="b">
        <v>0</v>
      </c>
      <c r="F262" t="s">
        <v>803</v>
      </c>
      <c r="G262" t="s">
        <v>192</v>
      </c>
      <c r="H262">
        <v>1</v>
      </c>
      <c r="I262" t="s">
        <v>173</v>
      </c>
      <c r="J262" t="s">
        <v>192</v>
      </c>
      <c r="K262" t="b">
        <v>0</v>
      </c>
    </row>
    <row r="263" spans="1:11" x14ac:dyDescent="0.35">
      <c r="A263" t="s">
        <v>1237</v>
      </c>
      <c r="B263">
        <v>2022</v>
      </c>
      <c r="C263" t="s">
        <v>1238</v>
      </c>
      <c r="D263" t="s">
        <v>499</v>
      </c>
      <c r="E263" t="b">
        <v>0</v>
      </c>
      <c r="F263" t="s">
        <v>839</v>
      </c>
      <c r="G263" t="s">
        <v>192</v>
      </c>
      <c r="H263">
        <v>1</v>
      </c>
      <c r="I263" t="s">
        <v>173</v>
      </c>
      <c r="J263" t="s">
        <v>192</v>
      </c>
      <c r="K263" t="b">
        <v>0</v>
      </c>
    </row>
    <row r="264" spans="1:11" x14ac:dyDescent="0.35">
      <c r="A264" t="s">
        <v>1239</v>
      </c>
      <c r="B264">
        <v>2022</v>
      </c>
      <c r="C264" t="s">
        <v>1240</v>
      </c>
      <c r="D264" t="s">
        <v>1241</v>
      </c>
      <c r="E264" t="b">
        <v>1</v>
      </c>
      <c r="F264" t="s">
        <v>1242</v>
      </c>
      <c r="G264" t="s">
        <v>181</v>
      </c>
      <c r="H264">
        <v>0.9</v>
      </c>
      <c r="I264" t="s">
        <v>112</v>
      </c>
      <c r="J264" t="s">
        <v>199</v>
      </c>
      <c r="K264" t="b">
        <v>1</v>
      </c>
    </row>
    <row r="265" spans="1:11" x14ac:dyDescent="0.35">
      <c r="A265" t="s">
        <v>1243</v>
      </c>
      <c r="B265">
        <v>2022</v>
      </c>
      <c r="C265" t="s">
        <v>1244</v>
      </c>
      <c r="D265" t="s">
        <v>1245</v>
      </c>
      <c r="E265" t="b">
        <v>1</v>
      </c>
      <c r="F265" t="s">
        <v>1246</v>
      </c>
      <c r="G265" t="s">
        <v>181</v>
      </c>
      <c r="H265">
        <v>0.9</v>
      </c>
      <c r="I265" t="s">
        <v>112</v>
      </c>
      <c r="J265" t="s">
        <v>199</v>
      </c>
      <c r="K265" t="b">
        <v>1</v>
      </c>
    </row>
    <row r="266" spans="1:11" x14ac:dyDescent="0.35">
      <c r="A266" t="s">
        <v>1247</v>
      </c>
      <c r="B266">
        <v>2022</v>
      </c>
      <c r="C266" t="s">
        <v>1248</v>
      </c>
      <c r="D266" t="s">
        <v>1249</v>
      </c>
      <c r="E266" t="b">
        <v>1</v>
      </c>
      <c r="F266" t="s">
        <v>1250</v>
      </c>
      <c r="G266" t="s">
        <v>181</v>
      </c>
      <c r="H266">
        <v>0.9</v>
      </c>
      <c r="I266" t="s">
        <v>112</v>
      </c>
      <c r="J266" t="s">
        <v>199</v>
      </c>
      <c r="K266" t="b">
        <v>1</v>
      </c>
    </row>
    <row r="267" spans="1:11" x14ac:dyDescent="0.35">
      <c r="A267" t="s">
        <v>1251</v>
      </c>
      <c r="B267">
        <v>2022</v>
      </c>
      <c r="C267" t="s">
        <v>1252</v>
      </c>
      <c r="E267" t="b">
        <v>1</v>
      </c>
      <c r="F267" t="s">
        <v>771</v>
      </c>
      <c r="G267" t="s">
        <v>205</v>
      </c>
      <c r="H267">
        <v>0.5</v>
      </c>
      <c r="I267" s="7" t="s">
        <v>112</v>
      </c>
      <c r="J267" s="7"/>
      <c r="K267" t="b">
        <v>1</v>
      </c>
    </row>
    <row r="268" spans="1:11" x14ac:dyDescent="0.35">
      <c r="A268" t="s">
        <v>1253</v>
      </c>
      <c r="B268">
        <v>2022</v>
      </c>
      <c r="C268" t="s">
        <v>1254</v>
      </c>
      <c r="D268" t="s">
        <v>1255</v>
      </c>
      <c r="E268" t="b">
        <v>1</v>
      </c>
      <c r="F268" t="s">
        <v>1256</v>
      </c>
      <c r="G268" t="s">
        <v>181</v>
      </c>
      <c r="H268">
        <v>0.9</v>
      </c>
      <c r="I268" t="s">
        <v>112</v>
      </c>
      <c r="J268" t="s">
        <v>199</v>
      </c>
      <c r="K268" t="b">
        <v>1</v>
      </c>
    </row>
    <row r="269" spans="1:11" x14ac:dyDescent="0.35">
      <c r="A269" t="s">
        <v>1257</v>
      </c>
      <c r="B269">
        <v>2022</v>
      </c>
      <c r="C269" t="s">
        <v>1254</v>
      </c>
      <c r="D269" t="s">
        <v>1255</v>
      </c>
      <c r="E269" t="b">
        <v>1</v>
      </c>
      <c r="F269" t="s">
        <v>1258</v>
      </c>
      <c r="G269" t="s">
        <v>181</v>
      </c>
      <c r="H269">
        <v>0.9</v>
      </c>
      <c r="I269" s="7" t="s">
        <v>112</v>
      </c>
      <c r="J269" s="7"/>
      <c r="K269" t="b">
        <v>1</v>
      </c>
    </row>
    <row r="270" spans="1:11" x14ac:dyDescent="0.35">
      <c r="A270" t="s">
        <v>1259</v>
      </c>
      <c r="B270">
        <v>2022</v>
      </c>
      <c r="C270" t="s">
        <v>1260</v>
      </c>
      <c r="D270" t="s">
        <v>1261</v>
      </c>
      <c r="E270" t="b">
        <v>1</v>
      </c>
      <c r="F270" t="s">
        <v>1033</v>
      </c>
      <c r="G270" t="s">
        <v>181</v>
      </c>
      <c r="H270">
        <v>0.9</v>
      </c>
      <c r="I270" t="s">
        <v>112</v>
      </c>
      <c r="J270" t="s">
        <v>199</v>
      </c>
      <c r="K270" t="b">
        <v>1</v>
      </c>
    </row>
    <row r="271" spans="1:11" x14ac:dyDescent="0.35">
      <c r="A271" t="s">
        <v>1262</v>
      </c>
      <c r="B271">
        <v>2022</v>
      </c>
      <c r="C271" t="s">
        <v>1263</v>
      </c>
      <c r="D271" t="s">
        <v>1264</v>
      </c>
      <c r="E271" t="b">
        <v>1</v>
      </c>
      <c r="F271" t="s">
        <v>1265</v>
      </c>
      <c r="G271" t="s">
        <v>181</v>
      </c>
      <c r="H271">
        <v>0.9</v>
      </c>
      <c r="I271" t="s">
        <v>112</v>
      </c>
      <c r="J271" s="12" t="s">
        <v>199</v>
      </c>
      <c r="K271" t="b">
        <v>1</v>
      </c>
    </row>
  </sheetData>
  <conditionalFormatting sqref="J268 J270 J252:J266 J236:J250 J233:J234 J214:J231 J158:J212 J140:J141 J143:J156 J89:J138 J36:J87 I1:I271">
    <cfRule type="containsText" dxfId="1" priority="2" operator="containsText" text="Include">
      <formula>NOT(ISERROR(SEARCH("Include",I1)))</formula>
    </cfRule>
  </conditionalFormatting>
  <conditionalFormatting sqref="J268 J270 J252:J266 J236:J250 J233:J234 J214:J231 J158:J212 J140:J141 J143:J156 J89:J138 J36:J87 I1:I271">
    <cfRule type="containsText" dxfId="0" priority="1" operator="containsText" text="Exclude">
      <formula>NOT(ISERROR(SEARCH("Exclude",I1)))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J22"/>
  <sheetViews>
    <sheetView tabSelected="1" workbookViewId="0"/>
  </sheetViews>
  <sheetFormatPr defaultRowHeight="14.5" x14ac:dyDescent="0.35"/>
  <cols>
    <col min="1" max="1" width="14.453125" bestFit="1" customWidth="1"/>
  </cols>
  <sheetData>
    <row r="1" spans="1:10" x14ac:dyDescent="0.35">
      <c r="A1" t="s">
        <v>165</v>
      </c>
    </row>
    <row r="2" spans="1:10" x14ac:dyDescent="0.35">
      <c r="B2" t="s">
        <v>163</v>
      </c>
      <c r="C2" t="s">
        <v>164</v>
      </c>
    </row>
    <row r="3" spans="1:10" x14ac:dyDescent="0.35">
      <c r="A3" t="s">
        <v>161</v>
      </c>
      <c r="B3">
        <f>COUNTIFS('Merged results table'!$E:$E,TRUE,'Merged results table'!$K:$K,TRUE)</f>
        <v>235</v>
      </c>
      <c r="C3">
        <f>COUNTIFS('Merged results table'!$E:$E,TRUE,'Merged results table'!$K:$K,FALSE)</f>
        <v>1</v>
      </c>
    </row>
    <row r="4" spans="1:10" x14ac:dyDescent="0.35">
      <c r="A4" t="s">
        <v>162</v>
      </c>
      <c r="B4">
        <f>COUNTIFS('Merged results table'!$E:$E,FALSE,'Merged results table'!$K:$K,TRUE)</f>
        <v>11</v>
      </c>
      <c r="C4">
        <f>COUNTIFS('Merged results table'!$E:$E,FALSE,'Merged results table'!$K:$K,FALSE)</f>
        <v>23</v>
      </c>
    </row>
    <row r="6" spans="1:10" x14ac:dyDescent="0.35">
      <c r="A6" t="s">
        <v>168</v>
      </c>
      <c r="B6">
        <f>B3</f>
        <v>235</v>
      </c>
    </row>
    <row r="7" spans="1:10" x14ac:dyDescent="0.35">
      <c r="A7" t="s">
        <v>169</v>
      </c>
      <c r="B7">
        <f>C4</f>
        <v>23</v>
      </c>
    </row>
    <row r="8" spans="1:10" x14ac:dyDescent="0.35">
      <c r="A8" t="s">
        <v>170</v>
      </c>
      <c r="B8">
        <f>C3</f>
        <v>1</v>
      </c>
    </row>
    <row r="9" spans="1:10" x14ac:dyDescent="0.35">
      <c r="A9" t="s">
        <v>171</v>
      </c>
      <c r="B9">
        <f>B4</f>
        <v>11</v>
      </c>
    </row>
    <row r="11" spans="1:10" x14ac:dyDescent="0.35">
      <c r="A11" t="s">
        <v>166</v>
      </c>
      <c r="B11">
        <f>(B3+C4)/(B3+B4+C3+C4)</f>
        <v>0.9555555555555556</v>
      </c>
    </row>
    <row r="12" spans="1:10" x14ac:dyDescent="0.35">
      <c r="A12" t="s">
        <v>167</v>
      </c>
      <c r="B12">
        <f>B3/(B3+B4)</f>
        <v>0.95528455284552849</v>
      </c>
    </row>
    <row r="14" spans="1:10" x14ac:dyDescent="0.35">
      <c r="A14" t="s">
        <v>172</v>
      </c>
    </row>
    <row r="16" spans="1:10" ht="15" thickBot="1" x14ac:dyDescent="0.4">
      <c r="I16" s="3"/>
      <c r="J16" s="4"/>
    </row>
    <row r="22" spans="4:4" x14ac:dyDescent="0.35">
      <c r="D22" s="1"/>
    </row>
  </sheetData>
  <conditionalFormatting sqref="I16:I17">
    <cfRule type="containsText" dxfId="7" priority="3" operator="containsText" text="Exclude">
      <formula>NOT(ISERROR(SEARCH("Exclude",I16)))</formula>
    </cfRule>
    <cfRule type="containsText" dxfId="6" priority="4" operator="containsText" text="Include">
      <formula>NOT(ISERROR(SEARCH("Include",I16)))</formula>
    </cfRule>
  </conditionalFormatting>
  <conditionalFormatting sqref="I18:J47">
    <cfRule type="containsText" dxfId="5" priority="1" operator="containsText" text="Exclude">
      <formula>NOT(ISERROR(SEARCH("Exclude",I18)))</formula>
    </cfRule>
    <cfRule type="containsText" dxfId="4" priority="2" operator="containsText" text="Include">
      <formula>NOT(ISERROR(SEARCH("Include",I18)))</formula>
    </cfRule>
  </conditionalFormatting>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Stage_4_API_full</vt:lpstr>
      <vt:lpstr>ID_Lookup</vt:lpstr>
      <vt:lpstr>Stage_4_FF_full</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cp:lastPrinted>2025-09-08T10:46:52Z</cp:lastPrinted>
  <dcterms:created xsi:type="dcterms:W3CDTF">2025-09-03T10:40:47Z</dcterms:created>
  <dcterms:modified xsi:type="dcterms:W3CDTF">2025-09-10T13:35:48Z</dcterms:modified>
</cp:coreProperties>
</file>