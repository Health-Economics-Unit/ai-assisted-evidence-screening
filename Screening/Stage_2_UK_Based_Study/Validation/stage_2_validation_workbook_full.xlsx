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2_UK_Based_Study/validation_data/"/>
    </mc:Choice>
  </mc:AlternateContent>
  <xr:revisionPtr revIDLastSave="0" documentId="8_{3F9C4EF8-5157-4420-AD6B-AA5BFA7B45B2}" xr6:coauthVersionLast="47" xr6:coauthVersionMax="47" xr10:uidLastSave="{00000000-0000-0000-0000-000000000000}"/>
  <bookViews>
    <workbookView xWindow="-110" yWindow="-110" windowWidth="19420" windowHeight="10300" activeTab="2" xr2:uid="{66513E08-89B8-4D61-A86D-819C01466699}"/>
  </bookViews>
  <sheets>
    <sheet name="Stage_2_API" sheetId="1" r:id="rId1"/>
    <sheet name="ID_Lookup" sheetId="5" r:id="rId2"/>
    <sheet name="Stage_2_FF" sheetId="2" r:id="rId3"/>
    <sheet name="Merged results table" sheetId="3" r:id="rId4"/>
    <sheet name="Evaluating Results" sheetId="4" r:id="rId5"/>
  </sheets>
  <definedNames>
    <definedName name="_xlnm._FilterDatabase" localSheetId="3" hidden="1">'Merged results table'!$A$1:$K$359</definedName>
    <definedName name="_xlnm._FilterDatabase" localSheetId="2" hidden="1">Stage_2_FF!$A$1:$H$362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B4" i="4"/>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C4" i="4"/>
  <c r="H2" i="2"/>
  <c r="G2" i="2"/>
  <c r="B3" i="4" l="1"/>
  <c r="B8" i="4"/>
  <c r="B7" i="4"/>
  <c r="B9" i="4"/>
  <c r="B12" i="4" l="1"/>
  <c r="B6" i="4"/>
  <c r="B11" i="4"/>
</calcChain>
</file>

<file path=xl/sharedStrings.xml><?xml version="1.0" encoding="utf-8"?>
<sst xmlns="http://schemas.openxmlformats.org/spreadsheetml/2006/main" count="6471" uniqueCount="1653">
  <si>
    <t>id</t>
  </si>
  <si>
    <t>Year</t>
  </si>
  <si>
    <t>Title</t>
  </si>
  <si>
    <t>Abstract</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</si>
  <si>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</si>
  <si>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</si>
  <si>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</si>
  <si>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</si>
  <si>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</si>
  <si>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</si>
  <si>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</si>
  <si>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</si>
  <si>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</si>
  <si>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</si>
  <si>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</si>
  <si>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</si>
  <si>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</si>
  <si>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</si>
  <si>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</si>
  <si>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</si>
  <si>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</si>
  <si>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</si>
  <si>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</si>
  <si>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</si>
  <si>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</si>
  <si>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</si>
  <si>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</si>
  <si>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</si>
  <si>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</si>
  <si>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</si>
  <si>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</si>
  <si>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</si>
  <si>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</si>
  <si>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</si>
  <si>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</si>
  <si>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</si>
  <si>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</si>
  <si>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</si>
  <si>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</si>
  <si>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</si>
  <si>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</si>
  <si>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</si>
  <si>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</si>
  <si>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</si>
  <si>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</si>
  <si>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</si>
  <si>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</si>
  <si>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</si>
  <si>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</si>
  <si>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</si>
  <si>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</si>
  <si>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</si>
  <si>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</si>
  <si>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</si>
  <si>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</si>
  <si>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</si>
  <si>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</si>
  <si>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</si>
  <si>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</si>
  <si>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</si>
  <si>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</si>
  <si>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</si>
  <si>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</si>
  <si>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</si>
  <si>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</si>
  <si>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</si>
  <si>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</si>
  <si>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</si>
  <si>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</si>
  <si>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</si>
  <si>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</si>
  <si>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</si>
  <si>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</si>
  <si>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</si>
  <si>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</si>
  <si>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</si>
  <si>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</si>
  <si>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</si>
  <si>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</si>
  <si>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</si>
  <si>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</si>
  <si>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</si>
  <si>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</si>
  <si>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</si>
  <si>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</si>
  <si>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</si>
  <si>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</si>
  <si>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</si>
  <si>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</si>
  <si>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</si>
  <si>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</si>
  <si>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</si>
  <si>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</si>
  <si>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</si>
  <si>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</si>
  <si>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</si>
  <si>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</si>
  <si>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</si>
  <si>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</si>
  <si>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</si>
  <si>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</si>
  <si>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</si>
  <si>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</si>
  <si>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</si>
  <si>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</si>
  <si>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</si>
  <si>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</si>
  <si>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</si>
  <si>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</si>
  <si>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</si>
  <si>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</si>
  <si>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</si>
  <si>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</si>
  <si>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</si>
  <si>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</si>
  <si>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</si>
  <si>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</si>
  <si>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</si>
  <si>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</si>
  <si>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</si>
  <si>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</si>
  <si>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</si>
  <si>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</si>
  <si>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</si>
  <si>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</si>
  <si>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</si>
  <si>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</si>
  <si>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</si>
  <si>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</si>
  <si>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</si>
  <si>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</si>
  <si>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</si>
  <si>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</si>
  <si>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</si>
  <si>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</si>
  <si>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</si>
  <si>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</si>
  <si>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</si>
  <si>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</si>
  <si>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</si>
  <si>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</si>
  <si>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</si>
  <si>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</si>
  <si>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</si>
  <si>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</si>
  <si>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</si>
  <si>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</si>
  <si>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</si>
  <si>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</si>
  <si>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</si>
  <si>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</si>
  <si>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</si>
  <si>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</si>
  <si>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</si>
  <si>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</si>
  <si>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</si>
  <si>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</si>
  <si>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</si>
  <si>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</si>
  <si>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</si>
  <si>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</si>
  <si>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</si>
  <si>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</si>
  <si>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</si>
  <si>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</si>
  <si>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</si>
  <si>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</si>
  <si>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</si>
  <si>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</si>
  <si>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</si>
  <si>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</si>
  <si>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</si>
  <si>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</si>
  <si>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</si>
  <si>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</si>
  <si>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</si>
  <si>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</si>
  <si>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</si>
  <si>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</si>
  <si>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</si>
  <si>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</si>
  <si>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</si>
  <si>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</si>
  <si>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</si>
  <si>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</si>
  <si>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</si>
  <si>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</si>
  <si>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</si>
  <si>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</si>
  <si>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</si>
  <si>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</si>
  <si>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</si>
  <si>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</si>
  <si>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</si>
  <si>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</si>
  <si>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</si>
  <si>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</si>
  <si>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</si>
  <si>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</si>
  <si>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</si>
  <si>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</si>
  <si>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</si>
  <si>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</si>
  <si>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</si>
  <si>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</si>
  <si>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</si>
  <si>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</si>
  <si>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</si>
  <si>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</si>
  <si>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</si>
  <si>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</si>
  <si>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</si>
  <si>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</si>
  <si>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</si>
  <si>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</si>
  <si>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</si>
  <si>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</si>
  <si>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</si>
  <si>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</si>
  <si>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</si>
  <si>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</si>
  <si>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</si>
  <si>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Not UK</t>
  </si>
  <si>
    <t>UK</t>
  </si>
  <si>
    <t>includes UK</t>
  </si>
  <si>
    <t>doesn't include UK</t>
  </si>
  <si>
    <t>England</t>
  </si>
  <si>
    <t>unclear from abstract if it includes UK studies</t>
  </si>
  <si>
    <t>England and Wales</t>
  </si>
  <si>
    <t>not UK</t>
  </si>
  <si>
    <t>Scotland</t>
  </si>
  <si>
    <t>No UK studies</t>
  </si>
  <si>
    <t>No studies identified</t>
  </si>
  <si>
    <t>unclear from abstract if it has UK studies</t>
  </si>
  <si>
    <t>include_stage2</t>
  </si>
  <si>
    <t>reason_stage2</t>
  </si>
  <si>
    <t>detected_setting</t>
  </si>
  <si>
    <t>confidence_stage2</t>
  </si>
  <si>
    <t>Unknown</t>
  </si>
  <si>
    <t>Study conducted in England using NHS data.</t>
  </si>
  <si>
    <t>One trial conducted in the UK.</t>
  </si>
  <si>
    <t>Study conducted in British Columbia, not UK</t>
  </si>
  <si>
    <t>Study includes the UK as a site.</t>
  </si>
  <si>
    <t>Study references NHS and UK initiatives.</t>
  </si>
  <si>
    <t>Study conducted in the West of Scotland with UK NHS perspective.</t>
  </si>
  <si>
    <t>Id_flag</t>
  </si>
  <si>
    <t>FF_include_stage2</t>
  </si>
  <si>
    <t>Study conducted in Canada, not UK-based</t>
  </si>
  <si>
    <t>Study conducted in Germany, no UK setting mentioned</t>
  </si>
  <si>
    <t>Study conducted from UK NHS perspective</t>
  </si>
  <si>
    <t>Unclear setting, flagged for review</t>
  </si>
  <si>
    <t>Study includes UK setting</t>
  </si>
  <si>
    <t>Study conducted from NHS perspective, UK setting</t>
  </si>
  <si>
    <t>Study conducted in the UK</t>
  </si>
  <si>
    <t>Study conducted in a UK setting</t>
  </si>
  <si>
    <t>Study conducted in the UK, references NHS and UK setting.</t>
  </si>
  <si>
    <t>Study conducted in low- or middle-income countries, not UK-based.</t>
  </si>
  <si>
    <t>Study applied to UK NHS setting.</t>
  </si>
  <si>
    <t>Study conducted in England and references NHS and NICE.</t>
  </si>
  <si>
    <t>Study conducted in NHS services in England and Wales</t>
  </si>
  <si>
    <t>Study uses data from a British cohort</t>
  </si>
  <si>
    <t>Study conducted in Ghana, not UK-based</t>
  </si>
  <si>
    <t>Study involves NHS England, indicating a UK setting.</t>
  </si>
  <si>
    <t>Study uses UK NHS AAA screening programme parameters.</t>
  </si>
  <si>
    <t>Study references NHS and funded by UK NIHR.</t>
  </si>
  <si>
    <t>Study conducted in the UK with NHS involvement.</t>
  </si>
  <si>
    <t>Study conducted in England, references NHS</t>
  </si>
  <si>
    <t>Study conducted in England, references NHS and UK policies.</t>
  </si>
  <si>
    <t>Study conducted in the UK with NHS reference.</t>
  </si>
  <si>
    <t>Study conducted in a single English program with NHS cost analysis.</t>
  </si>
  <si>
    <t>Study conducted in UK setting, references NHS England and Sheffield.</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</si>
  <si>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</si>
  <si>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</si>
  <si>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</si>
  <si>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</si>
  <si>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</si>
  <si>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</si>
  <si>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</si>
  <si>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</si>
  <si>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</si>
  <si>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</si>
  <si>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</si>
  <si>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</si>
  <si>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</si>
  <si>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</si>
  <si>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</si>
  <si>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</si>
  <si>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</si>
  <si>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</si>
  <si>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</si>
  <si>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</si>
  <si>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</si>
  <si>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</si>
  <si>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</si>
  <si>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</si>
  <si>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</si>
  <si>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</si>
  <si>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</si>
  <si>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</si>
  <si>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</si>
  <si>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</si>
  <si>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</si>
  <si>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</si>
  <si>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</si>
  <si>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</si>
  <si>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</si>
  <si>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</si>
  <si>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</si>
  <si>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</si>
  <si>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</si>
  <si>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</si>
  <si>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</si>
  <si>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</si>
  <si>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</si>
  <si>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</si>
  <si>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</si>
  <si>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</si>
  <si>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</si>
  <si>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</si>
  <si>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</si>
  <si>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</si>
  <si>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</si>
  <si>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</si>
  <si>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</si>
  <si>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</si>
  <si>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</si>
  <si>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</si>
  <si>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</si>
  <si>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</si>
  <si>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</si>
  <si>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</si>
  <si>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</si>
  <si>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</si>
  <si>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</si>
  <si>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</si>
  <si>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</si>
  <si>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</si>
  <si>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</si>
  <si>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</si>
  <si>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</si>
  <si>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</si>
  <si>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</si>
  <si>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</si>
  <si>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</si>
  <si>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</si>
  <si>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</si>
  <si>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</si>
  <si>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</si>
  <si>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</si>
  <si>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</si>
  <si>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</si>
  <si>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</si>
  <si>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</si>
  <si>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</si>
  <si>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</si>
  <si>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</si>
  <si>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</si>
  <si>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</si>
  <si>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</si>
  <si>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</si>
  <si>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</si>
  <si>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</si>
  <si>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</si>
  <si>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</si>
  <si>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</si>
  <si>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</si>
  <si>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</si>
  <si>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</si>
  <si>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</si>
  <si>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</si>
  <si>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</si>
  <si>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</si>
  <si>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</si>
  <si>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</si>
  <si>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</si>
  <si>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</si>
  <si>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</si>
  <si>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</si>
  <si>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</si>
  <si>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</si>
  <si>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</si>
  <si>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</si>
  <si>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</si>
  <si>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</si>
  <si>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</si>
  <si>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</si>
  <si>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</si>
  <si>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</si>
  <si>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</si>
  <si>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</si>
  <si>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</si>
  <si>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</si>
  <si>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</si>
  <si>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</si>
  <si>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</si>
  <si>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</si>
  <si>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</si>
  <si>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</si>
  <si>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</si>
  <si>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</si>
  <si>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</si>
  <si>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</si>
  <si>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</si>
  <si>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</si>
  <si>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</si>
  <si>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</si>
  <si>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</si>
  <si>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</si>
  <si>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</si>
  <si>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</si>
  <si>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</si>
  <si>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</si>
  <si>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</si>
  <si>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</si>
  <si>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</si>
  <si>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</si>
  <si>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</si>
  <si>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</si>
  <si>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</si>
  <si>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</si>
  <si>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</si>
  <si>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</si>
  <si>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</si>
  <si>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</si>
  <si>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</si>
  <si>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</si>
  <si>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</si>
  <si>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J2833</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</si>
  <si>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</si>
  <si>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</si>
  <si>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</si>
  <si>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</si>
  <si>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</si>
  <si>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</si>
  <si>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</si>
  <si>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</si>
  <si>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</si>
  <si>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</si>
  <si>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</si>
  <si>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</si>
  <si>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</si>
  <si>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</si>
  <si>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</si>
  <si>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</si>
  <si>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</si>
  <si>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</si>
  <si>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</si>
  <si>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</si>
  <si>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</si>
  <si>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</si>
  <si>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</si>
  <si>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</si>
  <si>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</si>
  <si>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</si>
  <si>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</si>
  <si>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</si>
  <si>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</si>
  <si>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</si>
  <si>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</si>
  <si>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</si>
  <si>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</si>
  <si>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</si>
  <si>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</si>
  <si>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</si>
  <si>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</si>
  <si>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</si>
  <si>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</si>
  <si>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</si>
  <si>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</si>
  <si>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</si>
  <si>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</si>
  <si>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</si>
  <si>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</si>
  <si>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</si>
  <si>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</si>
  <si>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</si>
  <si>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</si>
  <si>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</si>
  <si>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</si>
  <si>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</si>
  <si>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</si>
  <si>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</si>
  <si>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</si>
  <si>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</si>
  <si>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</si>
  <si>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</si>
  <si>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</si>
  <si>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</si>
  <si>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</si>
  <si>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</si>
  <si>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</si>
  <si>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</si>
  <si>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</si>
  <si>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</si>
  <si>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</si>
  <si>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</si>
  <si>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</si>
  <si>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</si>
  <si>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</si>
  <si>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</si>
  <si>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</si>
  <si>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</si>
  <si>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J2858</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</si>
  <si>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</si>
  <si>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</si>
  <si>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</si>
  <si>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</si>
  <si>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</si>
  <si>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</si>
  <si>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</si>
  <si>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</si>
  <si>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</si>
  <si>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</si>
  <si>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</si>
  <si>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</si>
  <si>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</si>
  <si>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</si>
  <si>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</si>
  <si>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</si>
  <si>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</si>
  <si>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</si>
  <si>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</si>
  <si>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</si>
  <si>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</si>
  <si>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</si>
  <si>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</si>
  <si>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</si>
  <si>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</si>
  <si>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</si>
  <si>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</si>
  <si>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</si>
  <si>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</si>
  <si>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</si>
  <si>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</si>
  <si>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</si>
  <si>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</si>
  <si>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</si>
  <si>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</si>
  <si>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</si>
  <si>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</si>
  <si>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</si>
  <si>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</si>
  <si>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</si>
  <si>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</si>
  <si>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</si>
  <si>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</si>
  <si>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</si>
  <si>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</si>
  <si>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</si>
  <si>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</si>
  <si>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</si>
  <si>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</si>
  <si>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</si>
  <si>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</si>
  <si>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</si>
  <si>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</si>
  <si>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</si>
  <si>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</si>
  <si>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</si>
  <si>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</si>
  <si>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</si>
  <si>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</si>
  <si>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</si>
  <si>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</si>
  <si>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</si>
  <si>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</si>
  <si>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</si>
  <si>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</si>
  <si>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</si>
  <si>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</si>
  <si>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</si>
  <si>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</si>
  <si>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</si>
  <si>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</si>
  <si>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</si>
  <si>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</si>
  <si>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</si>
  <si>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</si>
  <si>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</si>
  <si>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</si>
  <si>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</si>
  <si>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</si>
  <si>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</si>
  <si>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</si>
  <si>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</si>
  <si>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</si>
  <si>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</si>
  <si>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</si>
  <si>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</si>
  <si>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</si>
  <si>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</si>
  <si>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</si>
  <si>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</si>
  <si>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</si>
  <si>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</si>
  <si>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</si>
  <si>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</si>
  <si>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</si>
  <si>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</si>
  <si>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</si>
  <si>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</si>
  <si>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</si>
  <si>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</si>
  <si>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</si>
  <si>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</si>
  <si>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</si>
  <si>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</si>
  <si>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</si>
  <si>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</si>
  <si>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</si>
  <si>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</si>
  <si>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</si>
  <si>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</si>
  <si>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</si>
  <si>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</si>
  <si>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</si>
  <si>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</si>
  <si>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</si>
  <si>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</si>
  <si>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</si>
  <si>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</si>
  <si>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</si>
  <si>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</si>
  <si>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</si>
  <si>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</si>
  <si>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</si>
  <si>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</si>
  <si>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</si>
  <si>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</si>
  <si>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</si>
  <si>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</si>
  <si>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</si>
  <si>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</si>
  <si>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</si>
  <si>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</si>
  <si>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</si>
  <si>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</si>
  <si>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</si>
  <si>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</si>
  <si>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</si>
  <si>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</si>
  <si>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</si>
  <si>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</si>
  <si>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</si>
  <si>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</si>
  <si>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</si>
  <si>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</si>
  <si>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</si>
  <si>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</si>
  <si>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</si>
  <si>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</si>
  <si>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</si>
  <si>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</si>
  <si>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</si>
  <si>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</si>
  <si>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</si>
  <si>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</si>
  <si>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</si>
  <si>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</si>
  <si>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</si>
  <si>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</si>
  <si>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</si>
  <si>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</si>
  <si>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</si>
  <si>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</si>
  <si>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</si>
  <si>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</si>
  <si>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</si>
  <si>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</si>
  <si>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</si>
  <si>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</si>
  <si>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</si>
  <si>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</si>
  <si>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</si>
  <si>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</si>
  <si>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</si>
  <si>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</si>
  <si>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</si>
  <si>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</si>
  <si>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</si>
  <si>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</si>
  <si>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</si>
  <si>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</si>
  <si>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</si>
  <si>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</si>
  <si>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</si>
  <si>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</si>
  <si>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</si>
  <si>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</si>
  <si>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</si>
  <si>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</si>
  <si>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</si>
  <si>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</si>
  <si>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</si>
  <si>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</si>
  <si>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</si>
  <si>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</si>
  <si>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</si>
  <si>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</si>
  <si>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</si>
  <si>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</si>
  <si>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</si>
  <si>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</si>
  <si>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</si>
  <si>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</si>
  <si>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</si>
  <si>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</si>
  <si>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</si>
  <si>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</si>
  <si>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</si>
  <si>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</si>
  <si>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</si>
  <si>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</si>
  <si>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</si>
  <si>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includes ongoing UK studies</t>
  </si>
  <si>
    <t>Canada</t>
  </si>
  <si>
    <t>China</t>
  </si>
  <si>
    <t>UK and Ireland</t>
  </si>
  <si>
    <t>portugal</t>
  </si>
  <si>
    <t>unclear from abstract if any of the studies are UK</t>
  </si>
  <si>
    <t>England, NHS</t>
  </si>
  <si>
    <t>UK, NHS</t>
  </si>
  <si>
    <t>US</t>
  </si>
  <si>
    <t>Korea?</t>
  </si>
  <si>
    <t>UK?</t>
  </si>
  <si>
    <t>NHS</t>
  </si>
  <si>
    <t>Aus</t>
  </si>
  <si>
    <t>includes England</t>
  </si>
  <si>
    <t>unclear if any studies are UK</t>
  </si>
  <si>
    <t>England and Wales, NHS</t>
  </si>
  <si>
    <t>1 ongoing UK study included</t>
  </si>
  <si>
    <t>Northern Ireland</t>
  </si>
  <si>
    <t>includes UK and Ireland</t>
  </si>
  <si>
    <t>NHS Fife</t>
  </si>
  <si>
    <t>unclear from abstract if UK is one of the 15</t>
  </si>
  <si>
    <t>Wales, NHS</t>
  </si>
  <si>
    <t>Scotland, NHS</t>
  </si>
  <si>
    <t>unclear, but looks like 1 study might includes UK</t>
  </si>
  <si>
    <t>USA</t>
  </si>
  <si>
    <t>Study conducted from a Scottish payer perspective and NHS Scotland.</t>
  </si>
  <si>
    <t>Pharmacyâ€based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</si>
  <si>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pharmacistâ€based interventions is not yet well understood. The degree to which a pharmacyâ€based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(selfâ€)monitoring of medication adherence offered by a healthcare professional outside the pharmacy team) at improving depression outcomes in adults. Search methods We searched the Cochrane Common Mental Disorders Controlled Trials Register (CCMDâ€CTR)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clusterâ€RCTs where a pharmacyâ€based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metaâ€analyses, we synthesised results narratively. Main results Twelve studies (2215 participants) met the inclusion criteria and compared pharmacyâ€based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pharmacyâ€based management and the other better acceptability of the active control. One study reported that participants in the pharmacyâ€based management group had better medication adherence than the control participants. One study reported adverse events with no difference between groups. The studies reported no other outcomes. Metaâ€analyses comparing pharmacyâ€based management with treatment as usual showed no evidence of a difference in the effect of the intervention on depression symptom change (dichotomous data; improvement in symptoms yes/no: risk ratio (RR), 0.95, 95% confidence interval (CI) 0.86 to 1.05; 4 RCTs, 475 participants; moderateâ€quality evidence; continuous data: standard mean difference (SMD) â€0.04, 95%</t>
  </si>
  <si>
    <t>- Background Prevention of childhood obesity is an international public health priority given the significant impact of obesity on acute and chronic diseases, general health, development and wellâ€being.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reâ€ran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(0â€17 years) that reported outcomes at a minimum of 12 weeks from baseline. Data collection and analysis Two authors independently extracted data, assessed riskâ€ofâ€bias and evaluated overall certainty of the evidence using GRADE. We extracted data on adiposity outcomes, sociodemographic characteristics, adverse events, intervention process and costs. We metaâ€analysed data as guided by the Cochrane Handbook for Systematic Reviews of Interventions and presented separate metaâ€analyses by age group for child 0 to 5 years, 6 to 12 years, and 13 to 18 years for zBMI and BMI. Main results We included 153 RCTs, mostly from the USA or Europe. Thirteen studies were based in upperâ€middleâ€income countries (UMIC: Brazil, Ecuador, Lebanon, Mexico, Thailand, Turkey, USâ€Mexico border), and one was based in a lower middleâ€income country (LMIC: Egypt). The majority (85) targeted children aged 6 to 12 years.â€¨â€¨Children aged 0â€5 years: There is moderateâ€certainty evidence from 16 RCTs (n = 6261) that diet combined with physical activity interventions, compared with control, reduced BMI (mean difference (MD) âˆ’0.07 kg/m 2 , 95% confidence interval (CI) âˆ’0.14 to âˆ’0.01), and had a similar effect (11 RCTs, n = 5536) on zBMI (MD âˆ’0.11, 95% CI âˆ’0.21 to 0.01). Neither diet (moderateâ€certainty evidence) nor physical activity interventions alone (highâ€certainty evidence) compared with control reduced BMI (physical activity alone: MD âˆ’0.22 kg/m 2 , 95% CI âˆ’0.44 to 0.01) or zBMI (diet alone: MD âˆ’0.14, 95% CI âˆ’0.32 to 0.04; physical activity alone: MD 0.01, 95% CI âˆ’0.10 to 0.13) in children aged 0â€5 years.â€¨â€¨Children aged 6 to 12 years: There is moderateâ€certainty evidence from 14 RCTs (n = 16,410) that physical activity interventions, compared with control, reduced BMI (MD âˆ’0.10 kg/m 2 , 95% CI âˆ’0.14 to âˆ’0.05). However, there is moderateâ€certainty evidence that they had little or no effect on zBMI (MD âˆ’0.02, 95% CI âˆ’0.06 to 0.02). There is lowâ€certainty evidence from 20 RCTs (n = 24,043) that diet combined with physical activity interventions, compared with control, reduced zBMI (MD âˆ’0.05 kg/m2, 95% CI âˆ’0.10 to âˆ’0.01). There is highâ€certainty evidence that diet interventions, compared with control, had little impact on zBMI (MD âˆ’0.03, 95% CI âˆ’0.06 to 0.01) or BMI (âˆ’0.02 kg/m2, 95% CI âˆ’0.11 to 0.06). Children aged 13 to 18 years: There is very lowâ€certainty evidence that physical activity interventions, compared with control reduced BMI (MD âˆ’1.53 kg/m2, 95% CI âˆ’2.67 to âˆ’0.39; 4 RCTs; n = 720); and lowâ€certainty evidence for a reduction in zBMI (MD â€0.2, 95% CI âˆ’0.3 to â€0.1; 1 RCT; n = 100). There is lowâ€certainty evidence from eight RCTs (n = 16,583) that diet combined with physical activity interventions, compared with control, had no effect on BMI (MD âˆ’0.02 kg/m2, 95% CI âˆ’0.10 to 0.05); or zBMI (MD 0.01, 95% CI âˆ’0.05 to 0.07; 6 RCTs; n = 16,543). Evidence from two RCTs (lowâ€certainty evidence; n = 294) found no effect of diet interventions on BMI.â€¨Direct comparisons of interventions: Two RCTs reported data directly comparing die with either physical activity or diet combined with physical activity interventions for children aged 6 to 12 years and reported no differences.â€¨Heterogeneity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Reâ€running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â€˜randomised controlled trialsâ€™ or RCTs. What we found We found 153 RCTs. The studies were based mainly in highâ€income countries such as the USA and European countries although 12% were in middleâ€income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â€˜moderateâ€™ for children aged 0 to 5 for zBMI, â€˜lowâ€™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</si>
  <si>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No mention of UK or UK setting</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</si>
  <si>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Â© 2019 Rila Publications Ltd."</t>
  </si>
  <si>
    <t>Study conducted in the UK.</t>
  </si>
  <si>
    <t>Study conducted in the UK, references NHS and UK-specific data.</t>
  </si>
  <si>
    <t>Study applied to a UK setting, references NHS and UK-specific pathways.</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</si>
  <si>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Â© 2019</t>
  </si>
  <si>
    <t>Study focuses on NHS England prescription drug budget.</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</si>
  <si>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childâ€™s wellâ€being,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quasiâ€randomised, multiâ€arm studies, crossâ€over studies and clusterâ€randomised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metaâ€analysis was possible, we applied randomâ€effects metaâ€analysis using the Mantelâ€Haenszel method for dichotomous outcomes. Main results The review included 27 RCTs involving 1803 children. Of these, six were multiâ€arm and one was also a crossâ€over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lowâ€certainty evidence). Voiding education with uroflowmetry feedback and urotherapy versus urotherapy alone. Slightly more children receiving voiding education with uroflow feedback and urotherapy may achieve continence (RR 1.13, 95% CI 0.87 to 1.45; 3 studies; n = 151; lowâ€certainty evidence). Urotherapy with timer watch versus urotherapy alone. We are uncertain whether urotherapy plus timer watch increases the number of children achieving continence compared to urotherapy alone (RR 1.42, 95% CI 1.12 to 1.80; 1 study; n = 58; very lowâ€certainty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lowâ€certainty evidence). Individual conservative interventions versus nonâ€conservative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lowâ€certainty evidence). TENS versus anticholinergics. We are uncertain whether there was any evidence of a difference between treatment groups in the proportions of children achieving continence (RR 0.81, 95% CI 0.05 to 12.50; 2 studies; n = 72; very lowâ€certainty evidence). Combined conservative interventions versus nonâ€conservative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lowâ€certainty evidence). Authors' conclusions The review found little reliable evidence that can help affected children, their carers and the clinicians working with them to make evidenceâ€based treatment decisions. In this scenario, the clinical experience of individual clinicians and the support of carers may be the most valuable resources. More wellâ€designed research, with wellâ€defined interventions and consistent outcome measurement, is needed. Plain language summary Conservative (nonâ€pharmaceutical and nonâ€surgical)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upâ€toâ€date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â€ and sometimes carers 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goodâ€quality research evidence that can help children, their carers and doctors and nurses to make decisions about treatments. More wellâ€designed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</si>
  <si>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Study conducted at Nottingham City Hospital, UK setting.</t>
  </si>
  <si>
    <t>- Background Radical cystectomy (RC) is the primary surgical treatment for muscleâ€invasive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parallelâ€group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90â€day outcome data were not available, we reported 30â€day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lowâ€quality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lowâ€quality evidence). 2. Immunoâ€enhancing nutrition versus standard nutrition: based on one study including 29 participants, immunoâ€enhancing nutrition may reduce 90â€day postoperative complications (RR 0.31, 95% CI 0.08 to 1.23; lowâ€quality evidence). These findings correspond to 322 fewer complications per 1000 participants (95% CI 429 fewer to 107 more). Length of hospital stay may be similar (MD 0.20 days, 95% CI 1.69 lower to 2.09 higher; lowâ€quality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lowâ€quality evidence) but we are very uncertain of this finding. We downgraded the quality of evidence for serious study limitations (unclear risk of selection and performance bias) and very serious imprecision. Length of hospital stay may be similar (MD 0.95 days less, CI not reported; lowâ€quality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lowâ€quality evidence). We are also very uncertain whether length of hospital stay is similar (very lowâ€quality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lowâ€quality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(lowâ€quality evidence). These findings correspond to 135 fewer occurrences per 1000 participants (95% CI 256 fewer to 65 more). Length of hospital stay may be similar (lowâ€quality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highâ€quality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Immunoâ€enhancing nutrition versus standard supplements: immunoâ€enhancing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</si>
  <si>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Study conducted in USA and Europe, not UK-specific.</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</si>
  <si>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fullâ€text articles, extracted data, and assessed risk of bias. For analysis, we used a randomâ€effects statistical model for all metaâ€analyses,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lowâ€certainty evidence). For secondary malignancies, dietary interventions versus control trials reported little or no difference (risk ratio (RR) 0.99, 95% CI 0.84 to 1.15; 1 study; 3107 participants; lowâ€certainty evidence). Coâ€morbidities were not measured in any included trials. Subsequent outcomes reported after 12 months found that dietary interventions versus control probably make little or no difference in energy intake at 12 months (mean difference (MD) â€59.13 kcal, 95% CI â€159.05 to 37.79; 5 studies; 3283 participants; moderateâ€certainty evidence). Dietary interventions versus control probably led to slight increases in fruit and vegetable servings (MD 0.41 servings, 95% CI 0.10 to 0.71; 5 studies; 834 participants; moderateâ€certainty evidence); mixed results for fibre intake overall (MD 5.12 g, 95% CI 0.66 to 10.9; 2 studies; 3127 participants; very lowâ€certainty evidence); and likely improvement in Diet Quality Index (MD 3.46, 95% CI 1.54 to 5.38; 747 participants; moderateâ€certainty evidence). For anthropometry, dietary intervention versus control probably led to a slightly decreased body mass index (BMI) (MD â€0.79 kg/mÂ², 95% CI â€1.50 to â€0.07; 4 studies; 777 participants; moderateâ€certainty evidence). Dietary interventions versus control probably had little or no effect on waistâ€toâ€hip ratio (MD â€0.01, 95% CI â€0.04 to 0.02; 2 studies; 106 participants; lowâ€certainty evidence). For QoL, there were mixed results; several different quality assessment tools were used and evidence was of low to very lowâ€certainty.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waistâ€toâ€hip ratio. For QoL, results were highly varied. Additional highâ€quality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â€¨ This review evaluates evidence on dietary interventions for people after cancer. Quality of evidence â€¨ The quality of evidence is generally low to very low. Most studies did not evaluate dietary interventions for key review outcomes, particularly mortality and morbidity. However, a few study outcomes with moderateâ€certainty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(moderateâ€certainty evidence ) . Evidence on dietary fibre was mixed for different advice on weight reducing or healthy eating. Dietary interventions compared to control probably improved the Diet Quality Index (moderateâ€certainty evidence ) . For physical measurements, we found a probable reduction in body mass index (BMI) with dietary interventions compared to controls (moderateâ€certainty evidence) but little evidence showing any change in waistâ€toâ€hip ratio (lowâ€certainty evidence ) . For quality of life (QoL), results were mixed due to the wide variety of tools used. No adverse events were reported. Conclusion 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</si>
  <si>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Â© 2019 Author(s) (or their employer(s)). Re-use permitted under CC BY-NC.</t>
  </si>
  <si>
    <t>Study conducted in England, UK setting confirmed.</t>
  </si>
  <si>
    <t>Study conducted in London, England, UK setting.</t>
  </si>
  <si>
    <t>- Background Ambient air pollution is associated with a large burden of disease in both highâ€income countries (HICs) and lowâ€ and middleâ€income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nonâ€randomized study designs, including controlled interrupted timeâ€series studies (cITSâ€EPOC), interrupted timeâ€series studies adhering to EPOC standards (ITSâ€EPOC), interrupted timeâ€series studies not adhering to EPOC standards (ITS), controlled beforeâ€after studies adhering to EPOC standards (CBAâ€EPOC), and controlled beforeâ€after studies not adhering to EPOC standards (CBA); these were classified as main studies. Additionally, we included uncontrolled beforeâ€after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nonâ€randomized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decisionâ€makers should prioritize the development and implementation of interventions in these settings. In the future, as new policies are introduced, decisionâ€makers should consider a builtâ€in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â€“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lowâ€ and middleâ€income countries, where air quality may still be worsening, as well as in highâ€income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highâ€income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reviewâ€™s findings it is important to remember that just because a study did not detect an improvement does not mean that there really was no improvement. Further evaluations of measures to reduce outdoor air pollution in different countries, in particular in lowâ€ and middleâ€income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</si>
  <si>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Study conducted in an English hospital</t>
  </si>
  <si>
    <t>- Background Although delirium is typically an acute reversible cognitive impairment, its presence is associated with devastating impact on both shortâ€term and longâ€term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deliriumâ€free and comaâ€free days; days with coma; delirium relapse; duration of mechanical ventilation; intensive care unit (ICU) and hospital length of stay; mortality; and longâ€term outcomes (e.g. cognitive; discharge disposition; healthâ€related quality of life); and 2. the safety of such treatments for critically ill adult patients. Search methods We searched the following databases from their inception date to 21 March 2019: Ovid MEDLINEÂ®, Ovid MEDLINEÂ® Inâ€Process &amp; Other Nonâ€Indexed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quasiâ€RCTs, of any pharmacological (drug) for treatment of delirium in critically ill adults. The drug intervention was to be compared to another active drug treatment, placebo, or a nonâ€pharmacological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highâ€dependency unit. Data collection and analysis Two review authors independently identified studies from the search results; four review authors (in pairs) performed data extraction and assessed risk of bias independently. We performed data synthesis through pairwise metaâ€analysis and network metaâ€analysis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moderateâ€quality evidence). In order of descending SUCRA values (best to worst), the next best interventions were atypical antipsychotics (RoM 0.80, 95% CrI 0.50 to 1.11; SUCRA 0.738; moderateâ€quality evidence), opioids (RoM 0.88, 95% CrI 0.37 to 2.01; SUCRA 0.578; veryâ€low quality evidence), and typical antipsychotics (RoM 0.96, 95% CrI 0.64 to1.36; SUCRA 0.468; highâ€quality evidence). The NMAs of multiple secondary outcomes revealed that only the alpha 2 agonist dexmedetomidine was associated with a shorter duration of mechanical ventilation (RoM 0.55, 95% CrI 0.34 to 0.89; moderateâ€quality evidence), and the CHE inhibitor rivastigmine was associated with a longer ICU stay (RoM 2.19, 95% CrI 1.47 to 3.27; moderateâ€quality evidence). Adverse events often were not reported in these trials or, when reported, were rare; pairâ€wise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deliriumâ€free and comaâ€free days, days with coma, physical restraint use, length of stay, longâ€term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newâ€onset, generally shortâ€term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â€ an inactive medicine also known as a sugar pill; four studies compared different drugs. Eleven studies with 1153 participants reported on the main outcome of this review 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metaâ€analysis to compare the six different drug classes. Dexmedetomidine was ranked most effective in reducing delirium duration, followed by atypical antipsychotics. However, network metaâ€analysis of delirium duration failed to rule out the possibility of no difference for all six drug classes compared to placebo. Using this method, we did not find that any drug improved the duration of coma, length of stay, longâ€term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</si>
  <si>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nurseâ€staffing models and patientâ€ and staffâ€related outcomes</t>
  </si>
  <si>
    <t>- Background Nurses comprise the largest component of the health workforce worldwide and numerous models of workforce allocation and profile have been implemented. These include changes in skill mix, grade mix or qualification mix, staffÃ¢â‚¬Âallocation models, staffing levels, nursing shifts, or nursesÃ¢â‚¬â„¢ work patterns. This is the first update of our review published in 2011. Objectives The purpose of this review was to explore the effect of hospital nurseÃ¢â‚¬Âstaffing models on patient and staffÃ¢â‚¬Ârelated outcomes in the hospital setting, specifically to identify which staffing model(s) are associated with: 1) better outcomes for patients, 2) better staffÃ¢â‚¬Ârelated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nonÃ¢â‚¬Ârandomised trials, controlled beforeÃ¢â‚¬Âafter studies and interruptedÃ¢â‚¬ÂtimeÃ¢â‚¬Âseries or repeatedÃ¢â‚¬Âmeasures studies of interventions relating to hospital nurseÃ¢â‚¬Âstaffing models. Participants were patients and nursing staff working in hospital settings. We included any objective reported measure of patientÃ¢â‚¬Â, staffÃ¢â‚¬Ârelated, or economic outcome. The most important outcomes included in this review were: nursingÃ¢â‚¬Âstaff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nurseÃ¢â‚¬Âstaffing models: Ã¢â‚¬Â introduction of advanced or specialist nurses to the nursing workforce; Ã¢â‚¬Â introduction of nursing assistive personnel to the hospital workforce; Ã¢â‚¬Â primary nursing; and Ã¢â‚¬Â staffing models. The studies were conducted in the USA, the Netherlands, UK, Australia, and Canada and included patients with cancer, asthma, diabetes and chronic illness, on medical, acute care, intensive care and longÃ¢â‚¬Âstay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nursingÃ¢â‚¬Âstaff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nurseÃ¢â‚¬Âstaffing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lessÃ¢â‚¬Âqualified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nursingÃ¢â‚¬Âstaff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nursingÃ¢â‚¬Âstaff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nurseÃ¢â‚¬Âstaffing models. One nurseÃ¢â‚¬Âstaffing model study tested hospital units scheduling their own nursing shifts (selfÃ¢â‚¬Âstaffing), and the other study compared different ways to schedule nursing shifts. We cannot be sure about the impact of primary nursing or nurseÃ¢â‚¬Âstaffing models on nurse resignations or costs because the research is very limited. How upÃ¢ ÂtoÃ¢â‚¬Âdate is this review? The review authors searched for studies that had been published up to March 2018.</t>
  </si>
  <si>
    <t>Includes studies conducted in the UK.</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</si>
  <si>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Â© 2019 The Society of Obstetricians and Gynaecologists of Canada/La Societe des obstetriciens et gynecologues du Canada."</t>
  </si>
  <si>
    <t>Study setting is Canada, not UK</t>
  </si>
  <si>
    <t>Study focused on healthcare in China, not UK-based or UK setting.</t>
  </si>
  <si>
    <t>Interventions for involving older patients with multiâ€morbidity in decisionâ€making during primary care consultations</t>
  </si>
  <si>
    <t>- Background Older patients with multiple health problems (multiâ€morbidity) value being involved in decisionâ€making about their health care. However, they are less frequently involved than younger patients. To maximise quality of life, dayâ€toâ€day function, and patient safety, older patients require support to identify unmet healthcare needs and to prioritise treatment options. Objectives To assess the effects of interventions for older patients with multiâ€morbidity aiming to involve them in decisionâ€making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clusterâ€RCTs, and quasiâ€RCTs of interventions to involve patients in decisionâ€making about their health care versus usual care/control/another intervention, for patients aged 65 years and older with multiâ€morbidity in primary care. Data collection and analysis We used standard Cochrane methodological procedures. Metaâ€analysis was not possible; therefore we prepared a narrative synthesis. Main results We included three studies involving 1879 participants: two RCTs and one clusterâ€RCT. Interventions consisted of: Â· patient workshop and individual coaching using behaviour change techniques; Â· individual patient coaching utilising cognitiveâ€behavioural therapy and motivational interviewing; and Â· holistic patient review, multiâ€disciplinary practitioner training, and organisational change. No studies reported the primary outcome â€˜patient involvement in decisionâ€makingâ€™ or the primary adverse outcome â€˜less patient involvement as a result of the interventionâ€™. Comparing interventions (patient workshop and individual coaching, holistic patient review plus practitioner training, and organisational change) to usual care: we are uncertain whether interventions had any effect on patient reports of high selfâ€rated health (risk ratio (RR) 1.40, 95% confidence interval (CI) 0.36 to 5.49; very lowâ€certainty evidence) or on patient enablement (mean difference (MD) 0.60, 95% CI â€9.23 to 10.43; very lowâ€certainty evidence) compared with usual care. Interventions probably had no effect on healthâ€related quality of life (adjusted difference in means 0.00, 95% CI â€0.02 to 0.02; moderateâ€certainty evidence) or on medication adherence (MD 0.06, 95% CI â€0.05 to 0.17; moderateâ€certainty evidence) but probably improved the number of patients discussing their priorities (adjusted odds ratio 1.85, 95% CI 1.44 to 2.38; moderateâ€certainty evidence) and probably increased the number of nurse consultations (incident rate ratio from adjusted multiâ€level Poisson model 1.37, 95% CI 1.17 to 1.61; moderateâ€certainty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attentionâ€control conditions: we are uncertain whether interventions affect patientâ€reported high selfâ€rated health (RR 0.38, 95% CI 0.15 to 1.00, favouring attention control, with very lowâ€certainty evidence; RR 2.17, 95% CI 0.85 to 5.52, favouring the intervention, with very lowâ€certain y evidence). We are uncertain whether interventions affect patient enablement and engagement by increasing either patient activation (MD 1.20, 95% CI â€8.21 to 10.61; very lowâ€certainty evidence) or selfâ€efficacy (MD 0.29, 95% CI â€0.21 to 0.79; very lowâ€certainty evidence); or whether interventions affect the number of general practice visits (MD 0.51, 95% CI â€0.34 to 1.36; very lowâ€certainty evidence), compared to attentionâ€control conditions. The intervention may however lead to more patientâ€reported changes in management of their health conditions (RR 1.82, 95% CI 1.35 to 2.44; lowâ€certainty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longâ€term health problem in decisionâ€making during primary care consultations Background The number of older people with more than one longâ€term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longâ€term health problem in decisionâ€making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longâ€term health problems on average. Interventions investigated included: Â· patient workshops and individual patient coaching; Â· patient coaching including cognitiveâ€behavioural therapy; and Â· wholeâ€person patient review, practitioner training, and organisational changes. All studies were funded by national research bodies. Key results None of the studies reported the main outcome â€˜patient involvement in decisionâ€making about their health careâ€™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longâ€term health problem in decisionâ€making about their health care can improve their selfâ€rated health or healthcare engagement, or make any difference in selfâ€efficacy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</si>
  <si>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Study conducted in the UK and references NHS.</t>
  </si>
  <si>
    <t>Study conducted in Portugal, not UK-based or applied to UK setting</t>
  </si>
  <si>
    <t>Study conducted in England with NHS context</t>
  </si>
  <si>
    <t>Study conducted in England and uses NHS data.</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</si>
  <si>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Â© 2019 Callender et al. This is an open access article distributed under the terms of the Creative Commons Attribution License, which permits unrestricted use, distribution, and reproduction in any medium, provided the original author and source are credited.</t>
  </si>
  <si>
    <t>Study conducted in England, a UK setting</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</si>
  <si>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Â© Author(s) (or their employer(s)) 2019. Re-use permitted under CC BY. Published by BMJ.</t>
  </si>
  <si>
    <t>Study conducted in UK regions: London, Lothian, Tayside</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</si>
  <si>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Â© 2018 National Kidney Foundation, Inc.</t>
  </si>
  <si>
    <t>Study conducted in Canada, not UK-based or applied to UK setting</t>
  </si>
  <si>
    <t>Study focuses on military settings, primarily USA, no UK context mentioned</t>
  </si>
  <si>
    <t>Study conducted in Canada, no UK setting mentioned</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</si>
  <si>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Â© 2019 European Association for the Study of the Liver</t>
  </si>
  <si>
    <t>Study explicitly conducted in the UK.</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</si>
  <si>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metaâ€analysis using a Mantelâ€Haenszel randomâ€effects model to generate risk ratios (RRs) and 95% confidence intervals (CIs). Main results We identified seven studies including 1774 participants. We judged three studies to be at high risk of bias and four to be at unclear risk. Each study provided faceâ€toâ€face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oneâ€off advice on how to quit. Participants in both intervention and control arms received equivalent smoking cessation pharmacotherapy in all but one study. All studies took place in highâ€income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followâ€up (RR 2.30, 95% CI 1.33 to 3.97; I 2 = 54%; lowâ€certainty evidence). Authors' conclusions Community pharmacists can provide effective behavioural support to people trying to stop smoking. However, this conclusion is based on lowâ€certainty evidence, limited by risk of bias and imprecision. Further research could change this conclusion. Plain language summary Does quitâ€smoking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faceâ€toâ€face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</si>
  <si>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Three studies conducted in the UK.</t>
  </si>
  <si>
    <t>- Background Folate is a Bâ€vitamin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Medicusâ€AFRO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nonâ€RCTs and prospective observational studies with a control group; these studies were not included in metaâ€analyses,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nonâ€RCTs (1181 participants, 8037 live births); two studies were interrupted time series (ITS) studies (1 study population of 2,242,438, 1 study unreported). Six studies were conducted in upperâ€middleâ€income countries (China, Mexico, South Africa), one study was conducted in a lowerâ€middleâ€income country (Bangladesh), and three studies were conducted in a highâ€income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nonâ€RCT,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lowâ€certainty evidence). Folate status : pregnant women who received folic acidâ€fortified maize porridge had significantly higher erythrocyte folate concentrations (mean difference (MD) 238.90 nmol/L, 95% CI 149.40 to 328.40); 1 study, 38 participants; very lowâ€certainty evidence) and higher plasma folate (MD 14.98 nmol/L, 95% CI 9.63 to 20.33; 1 study, 38 participants; very lowâ€certainty evidence), compared to no intervention. Women of reproductive age consuming maize flour fortified with folic acid and other micronutrients did no have higher erythrocyte folate (MD â€61.80 nmol/L, 95% CI â€152.98 to 29.38; 1 study, 35 participants; very lowâ€certainty evidence) or plasma folate (MD 0.00 nmol/L, 95% CI â€0.00 to 0.00; 1 study, 35 participants; very lowâ€certainty evidence) concentrations, compared to women consuming unfortified maize flour. Adults consuming folic acidâ€fortified wheat flour bread rolls had higher erythrocyte folate (MD 0.66 nmol/L, 95% CI 0.13 to 1.19; 1 study, 30 participants; very lowâ€certainty evidence) and plasma folate (MD 27.00 nmol/L, 95% CI 15.63 to 38.37; 1 study, 30 participants; very lowâ€certainty evidence), versus unfortified flour. In two nonâ€RCTs, serum folate concentrations were significantly higher among women who consumed flour fortified with folic acid and other micronutrients compared to women who consumed unfortified flour (MD 2.92 nmol/L, 95% CI 1.99 to 3.85; 2 studies, 657 participants; very lowâ€certainty evidence). Haemoglobin or anaemia : in a clusterâ€randomised trial among children, there were no significant effects of fortified wheat flour flatbread on haemoglobin concentrations (MD 0.00 nmol/L, 95% CI â€2.08 to 2.08; 1 study, 334 participants; lowâ€certainty evidence) or anaemia (RR 1.07, 95% CI 0.74 to 1.55; 1 study, 334 participants; lowâ€certainty evidence), compared to unfortified wheat flour flatbread. Authors' conclusions Fortification of wheat flour with folic acid may reduce the risk of neural tube defects; however, this outcome was only reported in one nonâ€RCT. Fortification of wheat or maize flour with folic acid (i.e. alone or with other micronutrients) may increase erythrocyte and serum/plasma folate concentrations. Evidence is limited for the effects of folic acidâ€fortified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lowâ€certainty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acidâ€fortified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metaâ€analyses. Six studies were conducted in upperâ€middleâ€income countries (China, Mexico, South Africa), one study was conducted in a lowerâ€middleâ€income country (Bangladesh), and three studies were conducted in a highâ€income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acidâ€fortified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lowâ€certainty of evidence due to how included studies were designed and reported.</t>
  </si>
  <si>
    <t>No UK setting or references detected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</si>
  <si>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quasiâ€RCTs examining the medical treatment of any of the four major types of botulism (infant intestinal botulism, foodâ€borne botulism, wound botulism, and adult intestinal toxemia). Potential medical treatments included equine serum trivalent botulism antitoxin, humanâ€derived botulinum immune globulin intravenous (BIGâ€IV), plasma exchange, 3,4â€diaminopyridine, and guanidine. Data collection and analysis We followed standard Cochrane methodology. Our primary outcome was inâ€hospital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intentionâ€toâ€treat principles, and possibly some betweenâ€treatment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(BIGâ€IV: 2.60 weeks, 95% confidence interval (CI) 1.95 to 3.25; control: 5.70 weeks, 95% CI 4.40 to 7.00; mean difference (MD) â€3.10 weeks, 95% CI â€4.52 to â€1.68; moderateâ€certainty evidence); mechanical ventilation (BIGâ€IV: 1.80 weeks, 95% CI 1.20 to 2.40; control: 4.40 weeks, 95% CI 3.00 to 5.80; MD â€2.60 weeks, 95% CI â€4.06 to â€1.14; lowâ€certainty evidence); and tube or parenteral feeding (BIGâ€IV: 3.60 weeks, 95% CI 1.70 to 5.50; control: 10.00 weeks, 95% CI 6.85 to 13.15; MD â€6.40 weeks, 95% CI â€10.00 to â€2.80; moderateâ€certainty evidence), but not on proportion of participants with adverse events or complications (BIGâ€IV: 63.08%; control: 68.75%; risk ratio 0.92, 95% CI 0.72 to 1.18; absolute risk reduction 0.06, 95% CI 0.22 to â€0.11; moderateâ€certainty evidence). Authors' conclusions We found lowâ€ and moderateâ€certainty evidence supporting the use of BIGâ€IV in infant intestinal botulism. A single RCT demonstrated that BIGâ€IV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(humanâ€derived botulinum immune globulin intravenous, or BIGâ€IV). Fiftyâ€nine infants received BIGâ€IV,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BIGâ€IV spent, on average, about three weeks less time in hospital (i.e. 3.1 weeks versus 5.7 weeks) than infants who received the inactive treatment, and spent about three weeks less on a ventilator (1.8 weeks versus 4.4 weeks). The average duration of tube feeding in the BIGâ€IV group was more than six weeks less than in the placebo group (i.e. 3.6 versus 10 weeks). The risk of harmful effects of the treatment was probably no greater with BIGâ€IV than with the inactive treatment. The evidence was mostly of moderate certainty (low certainty for time spent on a ventilator). The review shows that BIGâ€IV probably shortens hospitalization; may shorten time spent on a ventilator; and probably reduces the duration of tube feeding compared to placebo. On the other hand, we found no evidence for or against botulism antitoxin or other treatments for botulism. The evidence is upâ€toâ€date to January 2018, when we updated the searches and found no new trials.</t>
  </si>
  <si>
    <t>Study is applied to NHS England setting.</t>
  </si>
  <si>
    <t>Introduction</t>
  </si>
  <si>
    <t>Study is focused on the U.S. healthcare system.</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</si>
  <si>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Â© 2019 Author(s).</t>
  </si>
  <si>
    <t>Study applied to NHS in England.</t>
  </si>
  <si>
    <t>Includes UK healthcare thought leaders.</t>
  </si>
  <si>
    <t>Study focuses on UK's NICE and NHS.</t>
  </si>
  <si>
    <t>Mentions British guidelines and conducted in a UK hospital.</t>
  </si>
  <si>
    <t>Study uses UK perspective and references NHS and NICE.</t>
  </si>
  <si>
    <t>- Background Peer support provides the opportunity for peers with experiential knowledge of a mental illness to give emotional, appraisal and informational assistance to current service users, and is becoming an important recoveryâ€oriented approach in healthcare for people with mental illness. Objectives To assess the effects of peerâ€support interventions for people with schizophrenia or other serious mental disorders, compared to standard care or other supportive or psychosocial interventions not from peers. Search methods We searched the Cochrane Schizophrenia Group's Studyâ€Based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lowâ€quality evidence) or allâ€cause death in the long term (RR 1.52, 95% CI 0.43 to 5.31; participants = 555; studies = 1, very lowâ€quality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highâ€quality evidence from relevant randomised clinical trials (studies where people are randomly put into one of two or more treatment groups) so we could assess the effects of peerâ€support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clinicianâ€led support (where a health professional provided support). However, there were no useable data for this comparison reported for the main outcomes. Conclusions We have little confidence in the above findings. Currently, there is no highâ€quality evidence available to either support or refute the effectiveness of peerâ€support interventions for people with schizophrenia or other serious mental illnesses.</t>
  </si>
  <si>
    <t>Study conducted in South Korea, not UK</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</si>
  <si>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clusterâ€randomized controlled trials (cRCTs), interrupted time series (ITS), randomized crossâ€over studies, nonâ€randomized crossâ€over studies, and controlled beforeâ€andâ€after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nonâ€randomized crossâ€over design) met the inclusion criteria. All used ground application of larvicides (people handâ€delivering larvicides); one evaluated chemical and three evaluated microbial agents. Studies were carried out in The Gambia, Tanzania, Kenya, and Sri Lanka. Three studies were conducted in areas where mosquito aquatic habitats were less extensive (&lt; 1 kmÂ²), and one where habitats were more extensive (&gt; 1 kmÂ²; a crossâ€over study from The Gambia). For aquatic habitats of less than 1 kmÂ²,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lowâ€certainty evidence) and parasite prevalence (risk ratio (RR) 0.26, 5897 participants, lowâ€certainty evidence) compared to no larviciding. The two CBA studies reported lower malaria prevalence during the intervention period (parasite prevalence RR 0.79, 95% confidence interval (CI) 0.71 to 0.89; 70,902 participants; lowâ€certainty evidence). The Kenyan study also reported a reduction in the incidence of new malaria cases (RR 0.62, 95% CI 0.38 to 1.01; 720 participants; very lowâ€certainty evidence). For aquatic habitats of more than 1 kmÂ², the nonâ€randomized crossâ€over trial using microbial larvicides did not detect an effect for malaria incidence (RR 1.58, 95% CI 0.94 to 2.65; 4226 participants), or parasite prevalence (RR 1.15, 95% CI 0.41 to 3.20; 3547 participants); both were very lowâ€certainty evidence. The Gambia trial also reported the mean haemoglobin level, and there was no difference across the four comparisons (mean difference â€“0.13, 95% CI â€“0.40 to 0.13; 3586 participants). We were unable to summarize or pool entomological outcomes due to unreported and missing data. Authors' conclusions Most controlled studies on larviciding have been performed with microbial agents. Ground larviciding for nonâ€extensive larval habitats may have an effect on malaria transmission, and we do not know if there is an effect in largeâ€scale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(lowâ€certainty evidence). We do not know if larviciding in large water bodies shows an impact on malaria based on results from one study in The Gambia (very lowâ€certainty evidence). How up to date is the review? We searched for relevant trials up to 6 June 2019.</t>
  </si>
  <si>
    <t>Study conducted in The Gambia, Tanzania, Kenya, and Sri Lanka</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</si>
  <si>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Â© 2019 Diabetes UK</t>
  </si>
  <si>
    <t>Study is applied to a UK setting, mentions NHS and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</si>
  <si>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participantâ€ and investigatorâ€rated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followâ€up period. Clinical heterogeneity in treatments and outcome measures was evident. Few studies performed headâ€toâ€head comparisons of different interventions. Risk of bias varied considerably, with only five studies at low risk in all domains. Twentyâ€two studies were industryâ€funded.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participantâ€rated control of symptoms compared to vehicle (risk ratio (RR) 2.32, 95% confidence interval (CI) 1.38 to 3.91; number needed to treat for an additional beneficial outcome (NNTB) 3, 95% CI 2 to 8; 1 study, 125 participants); the effect of clobetasol compared to vehicle for investigatorâ€rated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investigatorâ€rated symptom control compared to twice weekly (RR 1.23, 95% CI 0.94 to 1.61; 1 study, 72 participants) after remission is reached. Participantâ€rated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investigatorâ€rated symptom control when compared to local narrowâ€band UVB after 12 weeks of treatment (RR 0.50, 95% CI 0.22 to 1.16; 1 study, 60 participants). However, the 95% CI indicates that PUVA might make little or no difference. Participantâ€rated symptoms were not measured. Adverse events (mainly erythema) were reported by 9/30 participants in the narrowâ€band UVB group versus none in the PUVA group. This evidence was rated as moderate certainty. Topical calcineurin inhibitors: tacrolimus 0.1% over two weeks probably improves investigatorâ€rated symptom control measured after three weeks compared to vehicle (14/14 tacrolimus versus 0/14 vehicle; 1 study). Participantâ€rated symptoms were not measured. Four of 14 people in the tacroli us group versus zero in the vehicle group had wellâ€tolerated application site burning/itching. A withinâ€participant study in 16 participants compared 0.1% tacrolimus to 0.1% mometasone furoate but did not measure investigatorâ€ or participantâ€rated symptoms. Both treatments were well tolerated when assessed at two weeks during four weeks of treatment. Evidence from these studies was rated as moderate certainty. Oral interventions: oral cyclosporin 3 mg/kg/d probably slightly improves investigatorâ€rated (RR 1.88, 95% CI 0.88 to 3.99; 1 study, 34 participants) or participantâ€rated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moderateâ€certainty evidence), but the risk of headache increased with alitretinoin 30 mg (RR 3.43, 95% CI 2.45 to 4.81; 2 studies, n = 1210; highâ€certainty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Wellâ€designed and wellâ€reported, longâ€term (more than three months), headâ€toâ€head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participantâ€rated good/excellent control of hand eczema when compared to vehicle (516 versus 222 per 1000), but the difference between groups was less clear for investigatorâ€rated control, and more adverse events were reported with clobetasol propionate (178 versus 79 per 1000) (all based on moderateâ€certainty evidence). Mometasone furoate cream used thrice weekly may slightly improve investigatorâ€rated good/excellent control compared to twice weekly treatment, and participantâ€rated control was not measured. Mild skin thinning occurred in both groups, but cases were few (all based on lowâ€certainty evidence). Irradiation with UV light: various types of irradiation (i.e. exposure to radiation) were compared. Local PUVA may improve investigatorâ€rated good/excellent control compared to narrowâ€band UVB (400 versus 200 per 1000); however, we are uncertain of this finding because results also show that local PUVA may make little or no difference. Participantâ€rated symptoms were not measured. Nine out of 30 participants in the narrowâ€band UVB group reported adverse events (mainly redness) compared to none in the PUVA group (all based on moderateâ€certainty evidence). Topical calcineurin inhibitors: people receiving tacrolimus are probably more likely to achieve improved investigatorâ€rated good/excellent symptom control compared to those given vehicle (14/14 participants with tacrolimus compared to none with vehicle), but participantâ€rated control of symptoms was not measured. Four of 14 people in the tacrolimus group versus zero in the vehicle group had wellâ€tolerated application site burning/itching. One small study compared tacrolimus to mometasone furoate, which were both well tolerated, but did not measure investigatorâ€ or participantâ€rated control (all based on moderateâ€certainty evidence). Oral interventions: oral immunosuppressant (a drug that hinders the immune response) cyclosporin probably slightly improves investigatorâ€ or participantâ€rated control of good/excellent symptoms compared to topical betamethasone cream (a corticosteroid). The risk of adverse events such as dizziness was similar between groups (all based on moderateâ€certainty evidence). The oral vitamin A derivative (retinoid) alitretinoin (10 mg) achieved investigatorâ€rated good/excellent symptom control in 307 compared to 194 participants per 1000 with placebo, and alitretinoin 30 mg achieved investigatorâ€rated control in 432 compared to 157 participants per 1000 with placebo. Similar results were shown for participantâ€rated control (highâ€certainty evidence). When the dosage of alitretinoin was increased to 30 mg, risk of headache was higher compared to placebo (74 versus 251 per 1000; highâ€certainty evidence), but this probably does not differ between alitretinoin 10 mg and placebo (based on moderateâ€certainty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</si>
  <si>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Â© 2021 European Society for Medical Oncology</t>
  </si>
  <si>
    <t>Study funded by UK institutions and involves NHS Trusts.</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</si>
  <si>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quasiâ€RCTs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quasiâ€RCTs. The included studies were conducted in one highâ€income country (USA) and three lowerâ€middleâ€income countries (Bangladesh and Pakistan). Three studies were conducted in hospital inpatient settings, one in school, and one in a military training centre. Three studies included children under five years of age, one study included schoolâ€aged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goodâ€quality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highâ€income country (USA) and two lowerâ€middleâ€income countries (Bangladesh and Pakistan). Three studies were conducted in hospital settings, one in schools, and one at a military training centre. Three studies included children under five years of age, one schoolâ€aged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</si>
  <si>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Study conducted in USA, Bangladesh, and Pakistan</t>
  </si>
  <si>
    <t>Study conducted in Leeds, UK and involves NHS</t>
  </si>
  <si>
    <t>Mobile phoneâ€based interventions for improving adherence to medication prescribed for the primary prevention of cardiovascular disease in adults</t>
  </si>
  <si>
    <t>- Background Cardiovascular disease (CVD) is a major cause of disability and mortality globally. Premature fatal and nonâ€fatal CVD is considered to be largely preventable through the control of risk factors by lifestyle modifications and preventive medication. Lipidâ€lowering and antihypertensive drug therapies for primary prevention are costâ€effective in reducing CVD morbidity and mortality among highâ€risk people and are recommended by international guidelines. However, adherence to medication prescribed for the prevention of CVD can be poor. Approximately 9% of CVD cases in the EU are attributed to poor adherence to vascular medications. Lowâ€cost,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oneâ€year followâ€up in order that the outcome measures related to longerâ€term, sustained medication adherence behaviours and outcomes. Eligible comparators were usual care or control groups receiving no mobile phoneâ€delivered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communityâ€based primary and tertiary care or outpatient clinics. The interventions varied widely from those delivered solely through short messaging service (SMS) to those involving a combination of modes of delivery, such as SMS in addition to healthcare worker training, faceâ€toâ€face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metaâ€analyses. The body of evidence for the effect of mobile phoneâ€based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lowâ€density lipoprotein cholesterol (LDLâ€C), two studies found evidence for a small beneficial intervention effect on reducing LDLâ€C (âˆ’5.30 mg/dL, 95% confidence interval (CI) âˆ’8.30 to âˆ’2.30; and âˆ’9.20 mg/dL, 95% CI âˆ’17.70 to âˆ’0.70). The other three studies found results varying from a small reduction (âˆ’7.7 mg/dL) to a small increase in LDLâ€C (0.77 mg/dL). All of which had wide confidence intervals that included no effect. Across 13 studies (25,166 participants) measuring systolic blood pressure, effect estimates ranged from a large reduction (MD âˆ’12.45 mmHg, 95% CI âˆ’15.02 to âˆ’9.88) to a small increase (MD 2.80 mmHg, 95% CI 0.30 to 5.30). We found a similar range of effect estimates for diastolic BP, ranging from âˆ’12.23 mmHg (95% CI âˆ’14.03 to âˆ’10.43) to 1.64 mmHg (95% CI âˆ’0.55 to 3.83) (11 trials, 19,716 participants). Four trials showed intervention benefits for systolic and diastolic BP with confidence intervals excluding no effect, and among these were all three of the trials evaluating selfâ€monitoring of blood pressure with mobile phoneâ€based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âˆ’1.55 mmHg, 95% CI âˆ’3.36 to 0.25; I 2 = 0%) and small increases in controlled BP (OR 1.32, 95% CI 1.06 to 1.65; I 2 = 0%). Based on four studies (12,439 participants), there was very lowâ€certainty evidence (downgraded twice for imprecision and once for risk of bias) relating to the intervention effect on combined (fatal and nonâ€fatal) CVD events. Two studies (2535 participants) provided lowâ€certainty evidence for the effect of the intervention on cognitive outcomes, with little or no difference between trial arms for perceived quality of care and satisfaction with treatment. There was moderateâ€certainty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interventionâ€related adverse events. One study stated that potential side effects were similar between groups. One study reported a similar number of deaths in each arm, but did not provide further information relating to potential adverse events. Authors' conclusions There is lowâ€certainty evidence on the effects of mobile phoneâ€delivered interventions to increase adherence to medication prescribed for the primary prevention of CVD. Trials of BP selfâ€monitoring with mobileâ€phone telemedicine support reported modest benefits. One trial at low risk of bias reported modest reductions in LDL cholesterol but no benefits for BP. There is moderateâ€certainty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</si>
  <si>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t>
  </si>
  <si>
    <t>Anticholinergics combined with alphaâ€blockers for treating lower urinary tract symptoms related to benign prostatic obstruction</t>
  </si>
  <si>
    <t>- Background Lower urinary tract symptoms (LUTS) due to benign prostatic obstruction (BPO) represent one of the most common clinical complaints in men. Alphaâ€blockers are widely used as firstâ€line therapy for men with LUTS secondary to BPO, but up to one third of men report no improvement in their LUTS after taking alphaâ€blockers. Anticholinergics used in addition to alphaâ€blockers may help improve symptoms but it is uncertain how effective they are. Objectives To assess the effects of combination therapy with anticholinergics and alphaâ€blockers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alphaâ€blockers monotherapy, and combination therapy versus anticholinergics monotherapy. Data collection and analysis Two review authors independently screened the literature, extracted data, and assessed risk of bias. We performed statistical analyses using a randomâ€effects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singleâ€center setting, while 11 used a multiâ€center setting. We only found shortâ€term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â€“2.73, 95% confidence interval (CI) â€“5.55 to 0.08; lowâ€certainty evidence). We are very uncertain about the effect of combination therapy on quality of life (QoL) (MD â€“0.97, 95% CI â€“2.11 to 0.16; very lowâ€certainty evidence). Combination therapy likely increases adverse events (risk ratio (RR) 1.24, 95% CI 1.04 to 1.47; moderateâ€certainty evidence); based on 252 adverse events per 1000 participants in the placebo group, this corresponds to 61 more adverse events (95% CI 10 more to 119 more) per 1000 participants treated with combination therapy. Combination therapy versus alphaâ€blockers alone: based on 22 studies with 4904 randomized participants, we are very uncertain about the effect of combination therapy on urologic symptom scores (MD â€“2.04, 95% CI â€“3.56 to â€“0.52; very lowâ€certainty evidence) and QoL (MD â€“0.71, 95% CI â€“1.03 to â€“0.38; very lowâ€certainty evidence). Combination therapy may result in little or no difference in adverse events rate (RR 1.10, 95% CI 0.90 to 1.34; lowâ€certainty evidence); based on 228 adverse events per 1000 participants in the alphaâ€blocker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â€“3.71, 95% CI â€“9.41 to 1.98; very lowâ€certainty evidence). Combination therapy may result in an improvement in QoL (MD â€“1.49, 95% CI â€“1.88 to â€“1.11; lo â€certainty evidence). Combination therapy likely results in little to no difference in adverse events (RR 1.26, 95% CI 0.81 to 1.95; moderateâ€certainty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alphaâ€blockers are associated with little or uncertain effects on urologic symptom scores compared to placebo, alphaâ€blockers, or anticholinergics monotherapy. However, combination therapy may result in an improvement in quality of life compared to anticholinergics monotherapy, but an uncertain effect compared to placebo, or alphaâ€blockers. Combination therapy likely increases adverse events compared to placebo, but not compared to alphaâ€blockers or anticholinergics monotherapy. The findings of this review were limited by study limitations, inconsistency, and imprecision. We were unable to conduct any of the predefined subgroup analyses. Plain language summary Anticholinergics combined with alphaâ€blockers for treating lower urinary tract symptoms related to benign prostatic obstruction Review question Is combination therapy with anticholinergics, a type of medicine that can relieve abnormal bladder contraction (where a man cannot control when he urinates), and alphaâ€blockers,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alphaâ€blockers have been used to relieve the urinary symptoms, up to one third of men get no benefit. Combination therapy with alphaâ€blockers and anticholinergics provides a treatment option for men with urinary symptoms. Study characteristics The search is upâ€toâ€date to 7 August 2020. We identified 23 studies involving 6285 men. Five studies compared combination therapy with anticholinergics and alphaâ€blockers versus placebo (a pill with no therapeutic effects). A total of 22 studies compared combination therapy with anticholinergics and alphaâ€blockers versus alphaâ€blockers alone. Three studies compared combination therapy with anticholinergics and alphaâ€blockers versus anticholinergics alone. The followâ€up period in the studies ranged from 12 weeks to one year. Key results Combination therapy versus placebo: combination therapy with anticholinergics and alphaâ€blockers was associated with little effect in urinary symptoms and uncertain improvement on quality of life, but combination therapy may increase unwanted side effects. Combination therapy versus alphaâ€blockers: combination therapy with anticholinergics and alphaâ€blockers may have uncertain effects on improvement of urinary symptoms and quality of life compared to alphaâ€blockers alone. Combination therapy may not increase unwanted side effects. Combination therapy compared to anticholinergics: combination therapy with anticholinergics and alphaâ€blockers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</si>
  <si>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Mentions NHS and South West England, indicating UK setting.</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</si>
  <si>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Â© 2020 International Society of Ultrasound in Obstetrics and Gynecology.</t>
  </si>
  <si>
    <t>Study conducted in Australia, not UK-based</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</si>
  <si>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Â© 2020 British Pharmacological Society</t>
  </si>
  <si>
    <t>Study conducted in Australia, not UK</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</si>
  <si>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Â© 2021 National Rural Health Alliance Ltd.</t>
  </si>
  <si>
    <t>Study conducted in New South Wales, Australia</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</si>
  <si>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Â© Queen's Printer and Controller of HMSO 2021.</t>
  </si>
  <si>
    <t>Study conducted in NHS settings, indicating a UK setting.</t>
  </si>
  <si>
    <t>- Background Dementia is a progressive syndrome characterised by deterioration in memory, thinking and behaviour, and by impaired ability to perform daily activities. Two classes of drug â€ cholinesterase inhibitors (donepezil, galantamine and rivastigmine) and memantine 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carerâ€related outcomes. Search methods We searched the Cochrane Dementia and Cognitive Improvement Groupâ€™s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fullâ€text articles for inclusion, extracted data from included trials and assessed risk of bias using the Cochrane risk of bias tool. Where trials were sufficiently similar, we pooled data for outcomes in the short term (up to 2 months after randomisation), medium term (3â€11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â€0.42, 95% confidence interval (CI) â€0.64 to â€0.21; 4 studies; low certainty), but the effect in the medium term is very uncertain (SMD â€0.40, 95% CI 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â€0.62; 95% CI â€0.94 to â€0.31). Data from one longerâ€term study suggest that discontinuing a cholinesterase inhibitor is probably associated with worse cognitive function at 12 months (mean difference (MD) â€2.09 Standardised Miniâ€Mental State Examination (SMMSE) points, 95% CI â€3.43 to â€0.75; moderate certainty). Discontinuation may make little or no difference to functional status in the short term (SM â€0.25, 95% CI â€0.54 to 0.04; 2 studies; low certainty), and its effect in the medium term is uncertain (SMD â€0.38, 95% CI â€0.74 to â€0.01; 2 studies; very low certainty). After 12 months, discontinuing a cholinesterase inhibitor probably results in greater functional impairment than continuing treatment (MD â€3.38 Bristol Activities of Daily Living Scale (BADLS) points, 95% CI â€6.67 to â€0.10; one study; moderate certainty). Discontinuation may be associated with a worsening of neuropsychiatric symptoms over the short term and medium term, although we cannot exclude a minimal effect (SMD â€ 0.48, 95% CI â€0.82 to â€0.13; 2 studies; low certainty; and SMD â€0.27, 95% CI â€0.47 to â€0.08; 3 studies; low certainty, respectively). Data from one study suggest that discontinuing a cholinesterase inhibitor may result in little to no change in neuropsychiatric status at 12 months (MD â€0.87 Neuropsychiatric Inventory (NPI) points; 95% CI 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antiâ€dementia drugs in patients with dementia Background Dementia is the term used to describe a group of illnesses, usually developing in late life, in which there is a deterioration in a personâ€™s ability to think, remember, communicate and manage daily activities independently. It can be caused by several different brain diseases, but the most common form is dementia due to Alzheimerâ€™s disease. At the moment, there are no medical treatments which can prevent dementia or stop it from progressing, but there are two classes of drugs â€“ the cholinesterase inhibitors (donepezil, rivastigmine and galantamine) and memantine 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patientâ€™s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</si>
  <si>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Â© Queen's Printer and Controller of HMSO 2021.</t>
  </si>
  <si>
    <t>Study involves NHS staff, indicating a UK setting.</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</si>
  <si>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Â© Author(s) (or their employer(s)) 2020. Re-use permitted under CC BY-NC. No commercial re-use. See rights and permissions. Published by BMJ.</t>
  </si>
  <si>
    <t>Study conducted in UK setting with UK voluntary sector provider.</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</si>
  <si>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Â© Authors 2021</t>
  </si>
  <si>
    <t>Study conducted from a National Health Service perspective and uses UK-specific data.</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</si>
  <si>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Â© Author(s) (or their employer(s)) 2021. Re-use permitted under CC BY. Published by BMJ.</t>
  </si>
  <si>
    <t>Study conducted in the UK, references NHS and England.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</si>
  <si>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Â© 2020, The Author(s).</t>
  </si>
  <si>
    <t>Study includes data from England.</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</si>
  <si>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Â© 2021</t>
  </si>
  <si>
    <t>Mentions UK population and UK-specific data.</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</si>
  <si>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Â© 2021, The Author(s).</t>
  </si>
  <si>
    <t>Study conducted from UK NHS perspective.</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</si>
  <si>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Â© AANS 2021.</t>
  </si>
  <si>
    <t>Study set in UK primary care and involves NHS patients.</t>
  </si>
  <si>
    <t>Study title suggests UK setting (PARAMEDIC2 RCT is a known UK trial).</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</si>
  <si>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Â© 2021 Perkins et al.</t>
  </si>
  <si>
    <t>Study conducted in NHS ambulance services in England and Wales.</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</si>
  <si>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lowâ€certainty evidence of no clinically important difference between the two groups in patientâ€rated function or active finger range of motion at 6 or 12 months followâ€up. There is very lowâ€certainty evidence of little betweenâ€group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selfâ€rated function, on range of movement during three to six months or numbers of participants experiencing adverse events. The very lowâ€certainty evidence for poor (under oneâ€quarter that of normal) range of finger movement at one to three years followâ€up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lowâ€certainty evidence of no difference in selfâ€rated function using the Disability of the Arm, Shoulder and Hand (DASH) functional assessment between the two groups at six months (one trial) or at 12 months (one trial). There is very lowâ€certainty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lowâ€certainty. Authors' conclusions There is a lack of evidence from RCTs on most of the rehabilitation interventions used following surgery for flexor tendon injuries of the hand. The limited and very lowâ€certainty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â€“ for example, because of a deep cut from broken glass â€“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â€ which approaches are most effect ve in restoring finger motion and function; and 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â€ no treatment; â€ a placebo (dummy) treatment (in which, for example, someone thinks they may be receiving laser therapy but the machine is switched off); or 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threeâ€quarters of them were male. Ten studies evaluated one each of eight different hand exercise programmes. The other seven studies evaluated a variety of other rehabilitation approaches, such as: â€ laser therapy, in which light is directed at the tendons to encourage healing; â€ ultrasound, in which sound waves are directed at the tendons to encourage healing; and 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â€ one study (84 people) that compared finger exercises against immobilisation; â€ one study (53 people) that evaluated the effects of adding regular finger exercises (20 to 30 times every waking hour for four weeks from the first day after surgery) to â€˜passiveâ€™ exercises (in which people regularly folded the fingers in the injured hand using the uninjured hand); and â€ three studies (190 people) that evaluated the effects of adding â€˜place and holdâ€™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cliniciansâ€™ and patientsâ€™ choice of rehabilitation after surgery for flexor tendon injuries. How upâ€toâ€date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</si>
  <si>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Â©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</si>
  <si>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Â© 2021 The Authors</t>
  </si>
  <si>
    <t>Study conducted at Barnet and Chase Farm Hospitals, UK setting.</t>
  </si>
  <si>
    <t>Study conducted at 13 UK centres and involves NHS.</t>
  </si>
  <si>
    <t>Antiemetics for adults for prevention of nausea and vomiting caused by moderately or highly emetogenic chemotherapy: a network metaâ€analysis</t>
  </si>
  <si>
    <t>- Background About 70% to 80% of adults with cancer experience chemotherapyâ€induced nausea and vomiting (CINV). CINV remains one of the most distressing symptoms associated with cancer therapy and is associated with decreased adherence to chemotherapy. Combining 5â€hydroxytryptamineâ€3 (5â€HTâ‚ƒ) receptor antagonists with corticosteroids or additionally with neurokininâ€1 (NKâ‚) receptor antagonists is effective in preventing CINV among adults receiving highly emetogenic chemotherapy (HEC) or moderately emetogenic chemotherapy (MEC). Various treatment options are available, but direct headâ€toâ€head comparisons do not allow comparison of all treatments versus another. Objectives â€¢ In adults with solid cancer or haematological malignancy receiving HEC â€ To compare the effects of antiemetic treatment combinations including NKâ‚ receptor antagonists, 5â€HTâ‚ƒ receptor antagonists, and corticosteroids on prevention of acute phase (Day 1), delayed phase (Days 2 to 5), and overall (Days 1 to 5) chemotherapyâ€induced nausea and vomiting in network metaâ€analysis (NMA) â€ To generate a clinically meaningful treatment ranking according to treatment safety and efficacy â€¢ In adults with solid cancer or haematological malignancy receiving MEC â€ To compare whether antiemetic treatment combinations including NKâ‚ receptor antagonists, 5â€HTâ‚ƒ receptor antagonists, and corticosteroids are superior for prevention of acute phase (Day 1), delayed phase (Days 2 to 5), and overall (Days 1 to 5) chemotherapyâ€induced nausea and vomiting to treatment combinations including 5â€HTâ‚ƒ receptor antagonists and corticosteroids solely, in network metaâ€analysis 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NKâ‚ and 5â€HTâ‚ƒ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NKâ‚ and 5â€HTâ‚ƒ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NKâ‚ and 5â€HTâ‚ƒ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lowâ€certainty), aprepitant + ramosetron (753 of 1000; RR 1.07, 95% CI 0.95 to 1.21; low certainty), and fosaprepitant + palonosetron (746 of 1000; RR 1.06, 95% CI 0.96 to .19; low certainty). Netupitant + palonosetron (704 of 1000; RR 1.00, 95% CI 0.93 to 1.08; highâ€certainty) and fosaprepitant + granisetron (697 of 1000; RR 0.99, 95% CI 0.93 to 1.06; highâ€certainty)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NKâ‚ and 5â€HTâ‚ƒ inhibitors, or 5â€HTâ‚ƒ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chemotherapyâ€induced nausea and vomiting. For people receiving MEC, synthesised evidence does not suggest superiority for treatments including both NKâ‚ and 5â€HTâ‚ƒ inhibitors when compared to treatments including 5â€HTâ‚ƒ inhibitors only. Rather, the results of our NMA suggest that the choice of 5â€HTâ‚ƒ inhibitor may have an impact on treatment efficacy in preventing CINV. When interpreting the results of this systematic review, it is important for the reader to understand that NMAs are no substitute for direct headâ€toâ€head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metaâ€analysis, we aimed to compare the benefits and harms of different drug combinations for prevention of CINV among people receiving HEC or MEC, and to identify treatment ranking. A network metaâ€analysis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multipleâ€comparison analyses are no substitute for headâ€toâ€head comparisons, and that the results do not necessarily rule out differences that could be clinically relevant for some individuals. How upâ€toâ€date is this evidence? Evidence is upâ€toâ€date to 2 February 2021.</t>
  </si>
  <si>
    <t>Secondary prevention of variceal bleeding in adults with previous oesophageal variceal bleeding due to decompensated liver cirrhosis: a network metaâ€analysis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</si>
  <si>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of Health and Care Excellence Decision Support Unit guidance. Main results We included a total of 48 randomised clinical trials (3526 participants) in the review. Fortyâ€six trials (3442 participants) were included in one or more comparisons. The trials that provided the information included people with cirrhosis due to varied aetiologies. The followâ€up ranged from two months to 61 months. All the trials were at high risk of bias. A total of 12 interventions were compared in these trials (sclerotherapy, betaâ€blockers, variceal band ligation, betaâ€blockers plus sclerotherapy, no active intervention, TIPS (transjugular intrahepatic portosystemic shunt), betaâ€blockers plus nitrates, portocaval shunt, sclerotherapy plus variceal band ligation, betaâ€blockers plus nitrates plus variceal band ligation, betaâ€blockers plus variceal band ligation, sclerotherapy plus nitrates). Overall, 22.5% of the trial participants who received the reference treatment (chosen because this was the commonest treatment compared in the trials) of sclerotherapy died during the followâ€up period ranging from two months to 61 months. There was considerable uncertainty in the effects of interventions on mortality. Accordingly, none of the interventions showed superiority over another. None of the trials reported healthâ€related quality of life. Based on lowâ€certainty evidence, variceal band ligation may result in fewer serious adverse events (number of people) than sclerotherapy (OR 0.19; 95% CrI 0.06 to 0.54; 1 trial; 100 participants). Based on low or very lowâ€certainty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lowâ€certainty evidence, TIPS may result in large decrease in symptomatic rebleed than variceal band ligation (HR 0.12; 95% CrI 0.03 to 0.41; 1 trial; 58 participants). Based on moderateâ€certainty evidence, any variceal rebleed was probably lower in sclerotherapy than in no active intervention (HR 0.62; 95% CrI 0.35 to 0.99, direct comparison HR 0.66; 95% CrI 0.11 to 3.13; 3 trials; 296 participants), betaâ€blockers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lowâ€certainty evidence, betaâ€blockers alone and TIPS might result in more, other compensation, events than sclerotherapy (rate ratio 2.37; 95% CrI 1.35 to 4.67; 1 trial; 65 participants and rate ratio 2.30; 95% CrI 1.20 to 4.65; 2 trials; 109 participants; lowâ€certainty evidence). The evidence indicates considerable uncertainty about the effect of the interventions including those related to betaâ€blockers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Betaâ€blockers plus sclerotherapy and TIPS probably result in fewer 'any' variceal rebleeding than sclerotherapy. Betaâ€blockers alone and TIPS might result in more other compensation events than sclerotherapy. The evidence indicates considerable uncertainty about the effect of the interventions in the remaining comparisons. Accordingly, highâ€quality randomised comparative clinical trials are needed. Plain language summary Prevention of rebleeding from enlarged veins in the food pipe (oesophagus) resulting from advanced liver disease What is the aim of this Cochrane Review? â€¨To find out the best available preventive treatment for repeated bleeding from oesophageal varices (enlarged veins in the food pipe) in people with advanced liver disease (liver cirrhosis, or lateâ€stage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metaâ€analysis'). Date of literature search â€¨December 2019 Key messages 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betaâ€blockers (drugs that slow the heart and decrease the force of heart pumping resulting in decrease pressure in the blood vessels), and TIPS (transjugular intrahepatic portosystemic shunt; an artificial channel that connects the different blood vessels that carry oxygenâ€depleted blood (venous system)) within the liver to reduce the pressure builtâ€up in the portal venous system, one of the two venous systems draining the liver), portocaval shunt (performing surgery to create the artificial channel described for TIPS) among others. The review authors wanted to gather and analyse data on death, quality of life, serious and nonâ€serious adverse events, recurrence of bleeding, and development of other complications of advanced liver disease.â€¨â€¨ What were the main results of the review? â€¨The 48 studies included a small number of participants (3526 participants). Study data were sparse. Fortyâ€six studies with 3442 participants provided data for analyses. The followâ€up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following.â€¨â€ The evidence indicates considerable uncertainty about the effect of the interventions on the risk of deathâ€¨â€ Variceal band ligation might result in fewer serious adverse events than sclerotherapyâ€¨â€ The evidence indicates considerable uncertainty about the effect of the interventions on serious and nonâ€serious adverse eventsâ€¨â€ Sclerotherapy probably results in decrease in further bleeding than no treatmentâ€¨â€ Betaâ€blockers plus sclerotherapy and TIPS probably result in a decrease in further bleeding than sclerotherapy aloneâ€¨â€ Portocaval shunt may result in a decrease in further bleeding than sclerotherapyâ€¨â€ The evidence indicates considerable uncertainty about the effect of the interventions in the remaining comparisonsâ€¨â€ None of the trials reported healthâ€related quality of lifeâ€¨â€ Future wellâ€designed trials are needed to find out the best treatment for people with cirrhosis and previous bleeding from oesophageal varices.</t>
  </si>
  <si>
    <t>Mentions NICE guidance, indicating UK setting</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</si>
  <si>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Â© The Author(s) 2021."</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</si>
  <si>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Â© 2021 by the American Society of Nephrology.</t>
  </si>
  <si>
    <t>- Background People with chronic obstructive pulmonary disease (COPD) show considerable variation in symptoms, limitations, and wellâ€being; this often complicates medical care. A multiâ€disciplinary and multiâ€component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healthâ€related quality of life (QoL), exercise tolerance, and exacerbationâ€related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multiâ€disciplinary (two or more healthcare providers) and multiâ€treatment (two or more components) IDM programmes of at least three months' duration. Data collection and analysis Two review authors independently assessed trial quality and extracted data. If required, we contacted study authors to request additional data. We performed metaâ€analyses using randomâ€effects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metaâ€analysis. Followâ€up periods ranged between 3 and 48 months and were classified as shortâ€term (up to 6 months), mediumâ€term (6 to 15 months), and longâ€term (longer than 15 months) followâ€up.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healthâ€related QoL as measured by St. George's Respiratory Questionnaire (SGRQ) total score at mediumâ€term followâ€up (mean difference (MD) â€3.89, 95% confidence interval (CI) â€6.16 to â€1.63; 18 RCTs, 4321 participants; moderateâ€certainty evidence). A comparable effect was observed at shortâ€term followâ€up (MD â€3.78, 95% CI â€6.29 to â€1.28; 16 RCTs, 1788 participants). However, the common effect did not exceed the minimum clinically important difference (MCID) of 4 points. There was no significant difference between IDM and control for longâ€term followâ€up and for generic QoL. IDM probably also leads to a large improvement in maximum and functional exercise capacity, as measured by sixâ€minute walking distance (6MWD), at mediumâ€term followâ€up (MD 44.69, 95% CI 24.01 to 65.37; 13 studies, 2071 participants; moderateâ€certainty evidence). The effect exceeded the MCID of 35 metres and was even greater at shortâ€term (MD 52.26, 95% CI 32.39 to 72.74; 17 RCTs, 1390 participants) and longâ€term (MD 48.83, 95% CI 16.37 to 80.49; 6 RCTs, 7288 participants) followâ€up. The number of participants with respiratoryâ€related admissions was reduced from 324 per 1000 participants in the control group to 235 per 1000 participants in the IDM group (odds ratio (OR) 0.64, 95% CI 0.50 to 0.81; 15 RCTs, median followâ€up 12 months, 4207 participants; highâ€certainty evidence). Likewise, IDM probably results in a reduction in emergency department (ED) visits (OR 0.69, 95%CI 0.50 to 0.93; 9 RCTs, median followâ€up 12 months, 8791 participants; moderateâ€certainty evidence), a slight reduction in allâ€cause hospital admissions (OR 0.75, 95%CI 0.57 to 0.98; 10 RCT , median followâ€up 12 months, 9030 participants; moderateâ€certainty evidence), and fewer hospital days per person admitted (MD â€2.27, 95% CI â€3.98 to â€0.56; 14 RCTs, median followâ€up 12 months, 3563 participants; moderateâ€certainty evidence). Statistically significant improvement was noted on the Medical Research Council (MRC) Dyspnoea Scale at shortâ€ and mediumâ€term followâ€up but not at longâ€term followâ€up. No differences between groups were reported for mortality, courses of antibiotics/prednisolone, dyspnoea, and depression and anxiety scores. Subgroup analysis of dominant intervention components and regions of study suggested contextâ€ and interventionâ€specific effects. However, some subgroup analyses were marked by considerable heterogeneity or included few studies. These results should therefore be interpreted with caution. Authors' conclusions This review shows that IDM probably results in improvement in diseaseâ€specific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processâ€related outcomes, longâ€term followâ€up, and costâ€effectiveness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upâ€toâ€date as of February 2021.</t>
  </si>
  <si>
    <t>Mentions United Kingdom and discusses UK-specific data.</t>
  </si>
  <si>
    <t>Study uses NHS data, indicating a UK setting.</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</si>
  <si>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Â© 2021, The Author(s).</t>
  </si>
  <si>
    <t>Study involves NHS and UK rehabilitation services.</t>
  </si>
  <si>
    <t>Intermittent catheter techniques, strategies and designs for managing longâ€term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</si>
  <si>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costâ€effectiveness. This is an update of a Cochrane Review first published in 2007. Objectives To assess the clinical and costâ€effectiveness of different catheterisation techniques, strategies and catheter designs, and their impact, on UTI and other complications, and measures of satisfaction/quality of life among adults and children whose longâ€term bladder condition is managed by intermittent catheterisation. Search methods We searched the Cochrane Incontinence Specialised Register, which contains trials identified from the Cochrane Central Register of Controlled Trials (CENTRAL), MEDLINE, MEDLINE Inâ€Process,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crossâ€over trials. Most were small (fewer than 60 participants completed), although three trials had more than 100 participants. Length of followâ€up ranged from one month to 12 months and there was considerable variation in definitions of UTI. Most of the data from crossâ€over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Singleâ€use (sterile) catheter versus multipleâ€use (clean) We are uncertain if there is any difference between singleâ€use and multipleâ€use catheters in terms of the risk of symptomatic UTI because the certainty of evidence is low and the 95% CI is consistent with possible benefit and possible harm (RR 0.98, 95% CI 0.55, 1.74; two studies; 97 participants). One study comparing singleâ€use catheters to multipleâ€use catheters reported zero adverse events in either group; no other adverse event data were reported for this comparison. We identified no data for participant satisfaction or preference. Hydrophilicâ€coated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hydrophilicâ€coated catheters (RR 1.37, 95% CI 1.01 to 1.87; moderateâ€certainty evidence). The evidence is uncertain if hydrophilicâ€coated catheters compared with uncoated catheters has any effect on participant satisfaction measured on a 0â€10 scale (MD 0.7 higher, 95% CI 0.19 to 1.21; very lowâ€certainty evidence; one study; 114 participants). Due to the paucity of data, we could not assess the certainty of evidence relating to participant preference (one crossâ€over trial of 29 participants reported greater preference for a hydrophilicâ€coated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multipleâ€use (clean) catheters, coated or uncoated catheters or different catheter lengths. The current research evidence is uncertain and design and reporting issues are significant. More wellâ€designed trials are needed. Such trials should include analysis of costâ€effectiveness because there are likely to be substantial differences associated with the use of different catheterisation techniques and strategies, and catheter designs. Plain language summary Intermittent catheter techniques, strategies and catheter designs for managing longâ€term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â€˜aseptic techniqueâ€™ is used in healthcare settings, with specially packaged sterile equipment (gloves, lubricant and catheter) and a technique that avoids the catheter coming into contact with anything nonâ€sterile (including hands, equipment and surfaces) before it is inserted. People inserting their own catheters use a â€˜cleanâ€™ technique, where the environment is kept as clean as possible and a sterile or clean (multipleâ€use) catheter is used without the need for gloves. Strategies: Singleâ€use versus multipleâ€use There are two types of catheter use: singleâ€use and multipleâ€use. Reâ€use of catheters means that the catheter is cleaned and reâ€used a varying number of times (e.g. for up to 24 hours or for one week/month). Design: Uncoated versus hydrophilicâ€coated Uncoated catheters are typically clear PVC and packed individually in sterile packaging. They may be supplied preâ€lubricated, or used with a separate lubricant or water to aid insertion Hydrophilicâ€coated catheters have a slippery coating and either are supplied ready to use, or require the addition of water. Design: Shorter versus standard length Catheters come in varying sizes and lengths to suit men, women and children, and people's different needs. How upâ€toâ€date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Singleâ€use (sterile) catheter versus multipleâ€use (clean) We are uncertain if there is any difference between singleâ€use and multipleâ€use catheters in the risk of symptomatic UTI because the certainty of evidence is low. One study comparing these interventions reported zero adverse events in either group and no other adverse event data were reported. Hydrophilicâ€coated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wellâ€designed trials are needed. Such trials should include analysis of costâ€effectiveness because there are likely to be substantial differences associated with the use of different catheter designs, catheterisation techniques and strategies.</t>
  </si>
  <si>
    <t>Study conducted in a UK ambulance service.</t>
  </si>
  <si>
    <t>Environmental enrichment for stroke and other nonâ€progressive brain injury</t>
  </si>
  <si>
    <t>- Background Rehabilitation is effective for recovery after stroke and other nonâ€progressive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wellâ€being, functional recovery, activity levels and quality of life in people who have stroke or nonâ€progressive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nonâ€RCTs and two described coâ€interventions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costâ€effectiveness, and safety of the intervention in people following stroke or other nonâ€progressive brain injuries. It should be noted, however, that it is challenging to randomise or doubleâ€blind trials of environmental enrichment given the nature of the intervention. Plain language summary Treatment using environmental enrichment for supporting rehabilitation following stroke and other brain injuries which do not get worse over time (nonâ€progressive brain injury) Background Rehabilitation helps with recovery after stroke and other nonâ€progressive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â€¨We wanted to find out whether treatment with environmental enrichment is better or worse than alternatives. Search date â€¨The evidence is current to 26 October 2020. Study characteristics â€¨Population: we planned to include studies in which participants were adults who had had a stroke or a nonâ€progressive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wellâ€being (anxiety, depression, stress) and coping. Secondary outcomes focused on quality of life, physical function, communication and cognitive function, and activity levels. We also planned to report adverse events. Key results 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wellâ€being and coping. We were uncertain of the results because the trial was very small and highly prone to bias. Conclusion 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costâ€effective, and if it is safe for people following stroke or other nonâ€progressive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</si>
  <si>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lipidâ€lowering therapy. However, the majority of patients in the UK and worldwide remain undiagnosed. Established diagnostic criteria in current clinical practice are the Simonâ€Broome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clusterâ€RCTs and nonâ€randomised studies of interventions (NRSI). Eligible NRSI were nonâ€randomised controlled trials, prospective cohort studies, controlled beforeâ€andâ€after studies, and interruptedâ€timeâ€series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beforeâ€andâ€after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cholesterolâ€lowering tablets markedly reduces this risk. As well as raised cholesterol in the blood, family history of heart disease and the presence of fatty lumps under the skin could indicate familial hypercholesterolaemia. It is important that communityâ€based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2021.â€¨â€¨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Betterâ€designed studies, with diagnosis of definite familial hypercholesterolaemia confirmed by genetic tests, are needed to clearly answer this question.</t>
  </si>
  <si>
    <t>Mentions UK in context of undiagnosed patients.</t>
  </si>
  <si>
    <t>Study applied to UK setting, references NHS and NICE.</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</si>
  <si>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</si>
  <si>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Â©</t>
  </si>
  <si>
    <t>Study conducted in England with NHS involvement</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</si>
  <si>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Â© 2021, The Author(s).</t>
  </si>
  <si>
    <t>Study conducted in Northern Ireland, part of the UK.</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</si>
  <si>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'Coâ€operative Study of Sickle Cell Disease' observed an incidence rate for pneumococcal septicaemia of 10 per 100 personâ€years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drugâ€related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Covidâ€19 pandemic). Additionally, we carried out hand searching of relevant journals and abstract books of conference proceedings. Date of the most recent search: 25 January 2021. Selection criteria All randomised or quasiâ€randomised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(lowâ€certainty evidence), while for withdrawal the odds ratio was 0.49 (95% confidence interval 0.09 to 2.71) (one trial, 400 children) (lowâ€certainty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followâ€on trial did not show a significant increase in risk when regular penicillin was halted at five years old. Further research is needed to look at how commonly bacteria develop that are resistant to treatment and how clinically important this is.</t>
  </si>
  <si>
    <t>Study conducted in USA and Jamaica, not UK.</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</si>
  <si>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Â© 2021 The Author(s). Published by Informa UK Limited, trading as Taylor &amp; Francis Group.</t>
  </si>
  <si>
    <t>Study conducted in England with NHS perspective</t>
  </si>
  <si>
    <t>Introduction Barrettâ€™s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</si>
  <si>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Study conducted in UK NHS hospitals.</t>
  </si>
  <si>
    <t>Chronic nonâ€invasive ventilation for chronic obstructive pulmonary disease</t>
  </si>
  <si>
    <t>- Background Chronic nonâ€invasive ventilation (NIV) is increasingly being used to treat people with COPD who have respiratory failure, but the evidence supporting this treatment has been conflicting. Objectives To assess the effects of chronic nonâ€invasive ventilation at home via a facial mask in people with COPD, using a pooled analysis of IPD and metaâ€analysis.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healthâ€related quality of life (HRQL), exercise capacity (stable COPD) and admissionâ€free survival (postâ€exacerbation COPD). Secondary outcomes for both populations were: lung function, COPD exacerbations and admissions, and allâ€cause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timeâ€toâ€event data using linearâ€ and coxâ€regression mixedâ€effect models with a random effect on study level. We analysed dichotomous IPD using generalised estimating equations. We adjusted all models for age and sex. We assessed changes in outcomes after three and 12 months. We also conducted a metaâ€analysis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moderateâ€certainty evidence), but there was little to no benefit at 12 months (AMD 0.09 kPa, 95% CI â€0.23 to 0.42; 3 studies, 171 participants; lowâ€certainty evidence). The arterial partial pressure of carbon dioxide (PaCO 2 ) was reduced in participants allocated to NIV after three months (AMD â€0.61 kPa, 95% CI â€0.77 to â€0.45; 11 studies, 475 participants; highâ€certainty evidence) and persisted up to 12 months (AMD â€0.42 kPa, 95% CI â€0.68 to â€0.16; 4 studies, 232 participants; highâ€certainty evidence). Exercise capacity was measured with the 6â€minute walking distance (minimal clinical important difference: 26 m). There was no clinically relevant effect of NIV on exercise capacity ( 3 months: AMD 15.5 m, 95% CI â€0.8 to 31.7; 8 studies, 330 participants; lowâ€certainty evidence; 12 months: AMD 26.4 m, 95% CI â€7.6 to 60.5; 3 studies, 134 participants; very lowâ€certainty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lowâ€certainty evidence; 12 months: SMD 0.15, 95% CI â€0.13 to 0.43; 4 studies, 200 participants; very lowâ€certainty evidence). Lastly, the risk for allâ€cause mortality is likely reduced by NIV (adjusted hazard ratio (AHR) 0.75, 95% CI 0.58 to 0.97; 3 studies, 405 participants; moderateâ€certainty evidence). In the postâ€exacerbation COPD group, there was little to no benefit on the PaO 2 after three months, but there may be a slight decrease after 12 months ( 3 months: AMD â€0.10 kPa, 95% CI â€0.65 to 0.45; 3 studies, 234 participants; lowâ€certainty evidence; 12 months: â€0.27 kPa, 95% CI â€0.86 to 0.32, 3 studies; 170 participants; lowâ€certainty evidence). The PaCO 2 was reduced by NIV at both three months (AMD â€0.40 kPa, 95% CI â€0.70 to â€0.09; 3 studies, 241 participants; moderateâ€certainty evidence) and 12 months (AMD â€0.52 kPa, 95% CI â€0.87 to â€0.18; 3 studies, 175 participants; highâ€certainty evidence). NIV may have little to no benefit on HRQL ( 3 months: SMD 0.25, 95% CI â€0.01 to 0.51; 2 studies, 219 participants; very lowâ€certainty evidence; 12 months: SMD 0.25, 95% â€0.06 to 0.55; 2 studies, 164 participants; very lowâ€certainty evidence). Admissionâ€free survival seems improved with NIV (AHR 0.71, 95% CI 0.54 to 0.94; 2 studies, 317 participants; lowâ€certainty evidence), but the risk for allâ€cause mortality does not seem to improve (AHR 0.97, 95% CI 0.74 to 1.28; 2 studies, 317 participants; lowâ€certainty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Nonâ€invasive ventilation (ventilators) used at night by people with chronic obstructive pulmonary disease (COPD) Background: Nonâ€invasive ventilation (NIV) is a method to assist or replace spontaneous breathing (or normal breathing) with the aid of a machine called a ventilator, using a mask fitted over the nose or both the nose and mouth. NIV can be used chronically (longâ€term)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(postâ€exacerbation COPD). All studies included men and women. For our analyses, we used data from 778 people with stable COPD and 364 people with postâ€exacerbation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</si>
  <si>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Study focuses on the UK setting for reimbursement analysis.</t>
  </si>
  <si>
    <t>Study is conducted in the UK as part of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</si>
  <si>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Â© 2021, The Author(s).</t>
  </si>
  <si>
    <t>Mentions UK-specific challenges in data systems.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</si>
  <si>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lowerâ€quality sources of evidence. In a future update of this review, we plan to appraise and incorporate eligible randomised controlled trials, as well as other highâ€quality, nonâ€randomised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betterâ€conducted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</si>
  <si>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lowâ€quality evidence). The rate of ipsilateral stroke under both types of anaesthesia was 3.1% (Peto OR 1.03, 95% CI 0.71 to 1.48; P = 0.89; 2 studies, 3733 participants; lowâ€quality evidence). The incidence of stroke or death in the local anaesthesia group was 3.5%, while stroke or death incidence was 4.1% in the general anaesthesia group (Peto OR 0.85, 95% CI 0.62 to 1.16; P = 0.31; 11 studies, 4391 participants; lowâ€quality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highâ€quality studies are still needed as the evidence is of limited reliability. Plain language summary Is local or general anaesthesia better during surgery to widen the main blood vessel to the brain when it becomes narrowed (carotid endarterectomy)? Key messages â€ Current evidence does not show any clear difference between local anaesthesia (where the patient remains awake) and general anaesthesia for the risk of stroke, death, or other unwanted effects for people having surgery to widen a narrowed carotid artery (carotid endarterectomy). 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â€“ carotid endarterectomy â€“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â€ lowers the risk of stroke and death around the time of the operation;â€¨â€ lowers the rate of other unwanted effects; andâ€¨â€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</si>
  <si>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Â© 2021 Reynolds et al.</t>
  </si>
  <si>
    <t>Study focuses on lipid management in the UK with references to NICE and SIGN guidelines.</t>
  </si>
  <si>
    <t>Study conducted in NHS Fife, Scotland.</t>
  </si>
  <si>
    <t>Mentions UK Recovery Trial, suggesting UK relevance</t>
  </si>
  <si>
    <t>Intravenous thrombolytic treatment and endovascular thrombectomy for ischaemic wakeâ€up stroke</t>
  </si>
  <si>
    <t>- Background About one in five strokes occur during sleep (wakeâ€up stroke). People with wakeâ€up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followâ€up was observed in 66% of participants randomised to thrombolytic treatment and 58% of participants randomised to control (risk ratio (RR) 1.13, 95% confidence interval (CI) 1.01 to 1.26; P = 0.03; 763 participants, 5 RCTs; highâ€certainty evidence). Seven per cent of participants randomised to intravenous thrombolytic treatment and 10% of participants randomised to control had died at 90 days followâ€up (RR 0.68, 95% CI 0.43 to 1.07; P = 0.09; 763 participants, 5 RCTs; highâ€certainty evidence). Symptomatic intracranial haemorrhage occurred in 3% of participants randomised to intravenous thrombolytic treatment and 1% of participants randomised to control (RR 3.47, 95% CI 0.98 to 12.26; P = 0.05; 754 participants, 4 RCTs; highâ€certainty evidence). For endovascular thrombectomy of large vessel occlusion, good functional outcome at 90 days followâ€up was observed in 46% of participants randomised to endovascular thrombectomy and 9% of participants randomised to control (RR 5.12, 95% CI 2.57 to 10.17; P &lt; 0.001; 205 participants, 2 RCTs; highâ€certainty evidence). Twentyâ€two per cent of participants randomised to endovascular thrombectomy and 33% of participants randomised to control had died at 90 days followâ€up (RR 0.68, 95% CI 0.43 to 1.07; P = 0.10; 205 participants, 2 RCTs; highâ€certainty evidence). Authors' conclusions In selected patients with acute ischaemic wakeâ€up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clotâ€dissolving drugs (thrombolysis) or mechanical devices to remove blood clots (thrombectomy) may improve recovery after ischaemic stroke if blood flow is rapidly restored. About one in five strokes occur during sleep (wakeâ€up stroke). People with wakeâ€up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wakeâ€up stroke participants were randomised to intravenous thrombolytic treatment or to control (either placebo (dummy treatment) or standard medical treatment alone). Two trials with 205 wakeâ€up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</si>
  <si>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</si>
  <si>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metaâ€analysis with OpenBUGS software, using Bayesian methods, and calculated the differences in treatments using odds ratios (OR) and rate ratios with 95% credible intervals (CrI) based on an availableâ€case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followâ€up periods, which ranged from three days to six weeks. Based on moderateâ€certainty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healthâ€related quality of life. Based on lowâ€certainty evidence, a higher proportion of people receiving balloon tamponade plus sclerotherapy had more serious adverse events than those receiving only sclerotherapy (OR 4.23, 95% CrI 1.22 to 17.80; direct estimate; 1 RCT; 60 participants). Based on moderateâ€certainty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moderateâ€certainty evidence, somatostatin analogues alone and vasopressin analogues alone (with supportive therapy) probably result in increased mortality, compared to endoscopic sclerotherapy. Based on moderateâ€certainty evidence, vasopressin analogues alone and band ligation alone probably result in fewer adverse events compared to endoscopic sclerotherapy. Based on lowâ€certainty evidence, balloon tamponade plus sclerotherapy may result in large increases in serious adverse events compared to sclerotherapy. Based on lowâ€certainty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â€¨To find out the best available treatment for bleeding from oesophageal varices (enlarged veins in the oesophagus) in people with advanced scarring of the liver (liver cirrhosis, or lateâ€stage scarring of the liver with complications). Bleeding from oesophageal varices in people with cirrhosis is a lifeâ€threatening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metaâ€analysis'). Date of literature search â€¨17 December 2019 What was studied in the review? 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nonâ€serious adverse events (i.e. serious and nonâ€serious complications), recurrence of bleeding, and development of other complications of advanced liver disease. What were the main results of the review? â€¨The 52 trials included a small number of participants (4580 participants). Fortyâ€eight trials with 4042 participants provided data for analyses. The followâ€up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ï¿½ï¿½ï¿½ None of the studies were conducted without flaws, and because of this, there is moderate to very high uncertainty in the findings.â€¨â€ Approximately one in six people with cirrhosis and bleeding oesophageal varices who received the standard treatment of sclerotherapy died within six weeks.â€¨â€ Somatostatin analogues alone and vasopressin analogues alone probably result in increased mortality, compared to sclerotherapy.â€¨â€ Vasopressin analogues alone and band ligation alone probably result in fewer adverse events (complications), compared to sclerotherapy.â€¨â€ Balloon tamponade plus sclerotherapy may result in large increase in serious adverse events compared to sclerotherapy.â€¨â€ Sclerotherapy plus somatostatin analogues may result in large decrease in symptomatic rebleed compared to sclerotherapy.â€¨â€ The evidence indicates considerable uncertainty about the effect of the interventions in the remaining comparisons.â€¨â€ None of the trials reported healthâ€related quality of life.â€¨â€ Future wellâ€designed randomised clinical trials are needed to find out the best treatment for people with cirrhosis and bleeding oesophageal varices.</t>
  </si>
  <si>
    <t>Mentions NICE guidance, suggesting UK setting.</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</si>
  <si>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Â© 2021 Roberts et al.</t>
  </si>
  <si>
    <t>Study includes a UK NHS perspective in cost-effectiveness analysis.</t>
  </si>
  <si>
    <t>Study coordinated from London School of Hygiene &amp; Tropical Medicine</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</si>
  <si>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Â© Author(s) (or their employer(s)) 2021. Re-use permitted under CC BY. Published by BMJ.</t>
  </si>
  <si>
    <t>Study approved by NHS Wales REC, indicating UK setting.</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</si>
  <si>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â€ being both engaging and relatively inexpensive â€ could provide a much more costâ€effective addâ€on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schizophreniaâ€like illnesses. Search methods We searched the Cochrane Schizophrenia Group's Studyâ€Based Register of Trials (March 2017, August 2018, August 2019). Selection criteria Randomised controlled trials focusing on video games for people with schizophrenia or schizophreniaâ€like illnesses. Data collection and analysis Review authors extracted data independently. For binary outcomes we calculated risk ratio (RR) with its 95% confidence interval (CI) on an intentionâ€toâ€treat basis. For continuous data we calculated the mean difference (MD) between groups and its CI. We employed a fixedâ€effect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effects.â€¨â€¨We found no clear difference between nonâ€exergames and cognitive remediation in general functioning scores (Strauss Carpenter Outcome Scale) (MD 0.42, 95% CI âˆ’0.62 to 1.46; participants = 86; studies = 1, very lowâ€ quality evidence ) or social functioning scores (Specific Levels of Functioning Scale) (MD âˆ’3.13, 95% CI â€40.17 to 33.91; participants = 53; studies = 1, very lowâ€ quality evidence ). There was a clear difference favouring cognitive remediation for cognitive functioning (improved on at least one domain of MATRICS Consensus Cognitive Battery Test) (RR 0.58, 95% CI 0.34 to 0.99; participants = 42; studies = 1, lowâ€ quality evidence ). For mental state, Positive and Negative Syndrome Scale (PANSS) overall scores showed no clear difference between treatment groups (MD 0.20, 95% CI âˆ’3.89 to 4.28; participants = 269; studies = 4, lowâ€ quality evidence ). Quality of life ratings (Quality of Life Scale) similarly showed no clear intergroup difference (MD 0.01, 95% CI âˆ’0.40 to 0.42; participants = 87; studies = 1, very lowâ€ quality evidence) . Adverse effects were not reported; we chose leaving the study early as a proxy measure. The attrition rate by end of treatment was similar between treatment groups (RR 0.96, 95% CI 0.87 to 1.06; participants = 395; studies = 5, lowâ€ quality evidence ).â€¨â€¨One small trial compared exergames with standard care, but few outcomes were reported . No clear difference between interventions was seen for cognitive functioning (measured by MATRICS Consensus Cognitive Battery Test) (MD 2.90, 95% CI â€1.27 to 7.07; participants = 33; studies = 1, lowâ€ quality evidence) , however a benefit in favour of exergames was found for average change in physical fitness (aerobic fitness) (MD 3.82, 95% CI 1.75 to 5.89; participants = 33; studies = 1, lowâ€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nonâ€exergames. Only one of our main outcomes was reported â€ physical fitness, which was measured by average time taken to walk 3 metres. No clear intergroup difference was identified at sixâ€week followâ€up (MD âˆ’0.50, 95% CI âˆ’1.17 to 0.17; participants = 28; studies = 1, very lowâ€ quality evidence) . No trials reported adverse effects. We chose leaving the study early as a proxy outcome. Authors' conclusions Our results suggest that nonâ€exergames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â€ or harm 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highâ€quality evidence is available. There are ongoing studies that may provide helpful data in the near future. Plain language summary Video games for schizophrenia Review question Are video games an effective treatment (on their own or as an addâ€on) for improving the wellâ€being and functioning of people with schizophrenia or schizoaffective disorder? Background Schizophrenia is a severe mental illness that affects people worldwide. People with schizophrenia often have a distorted view of reality â€ perceiving things that are not present (hallucinations) and believing things that are not true (delusions). People with schizophrenia may struggle to motivate themselves, experience anxiety and depression, and encounter cognitive symptoms, often struggling to stay focused on dayâ€toâ€day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('nonâ€exergames'). Nonâ€exergame trials compared the video game intervention to a form of brainâ€training" therapy known as cognitive remediation. One trial compared exergames to standard care, and another compared nonâ€exergames with exergames. All interventions in the included trials were given in addition to standard care. The currently available evidence suggests that nonâ€exergames may not be as beneficial for cognitive functioning as cognitive remediation, but there were no other clear differences between nonâ€exergames and cognitive remediation for improving functioning in people with schizophrenia. The more exerciseâ€orientated video games may have some benefit compared to standard care for improving physical fitness. We cannot draw any firm conclusions regarding the effects of video games until higherâ€quality evidence is available."</t>
  </si>
  <si>
    <t>Mentions NHS and UK-specific standards</t>
  </si>
  <si>
    <t>Effect of testing for cancer on cancerâ€ or venous thromboembolism (VTE)â€related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</si>
  <si>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cancerâ€related mortality and morbidity. This is the third update of the review first published in 2015. Objectives To determine whether testing for undiagnosed cancer in people with a first episode of unprovoked VTE (DVT of the lower limb or PE) is effective in reducing cancerâ€ or VTEâ€related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allâ€cause mortality, cancerâ€related mortality and VTEâ€related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cancerâ€related mortality (odds ratio (OR) 0.49, 95% confidence interval (CI) 0.15 to 1.67; 396 participants; 2 studies; lowâ€certainty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lowâ€certainty evidence). There was no clear difference in detection of advanced stages between extensive tests versus tests at the physician's discretion: one participant in the extensively tested group had stage T3 compared with four participants in the control group</t>
  </si>
  <si>
    <t>Study conducted in NHS Scotland, a UK setting.</t>
  </si>
  <si>
    <t>A pilot to support â€˜New Ways of Workingâ€™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</si>
  <si>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Â© 2020 American Journal of Preventive Medicine</t>
  </si>
  <si>
    <t>Includes UK as a study site.</t>
  </si>
  <si>
    <t>Study conducted in NHS trusts in England.</t>
  </si>
  <si>
    <t>Primary prevention of variceal bleeding in people with oesophageal varices due to liver cirrhosis: a network metaâ€analysis</t>
  </si>
  <si>
    <t>- Background Approximately 40% to 95% of people with cirrhosis have oesophageal varices. About 15% to 20% of oesophageal varices bleed in about one to three years. There are several different treatments to prevent bleeding, including: betaâ€blockers,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followâ€up in the trials that reported outcomes ranged from 6 months to 60 months. All but one of the trials were at high risk of bias. The interventions compared included betaâ€blockers, no active intervention, variceal band ligation, sclerotherapy, betaâ€blockers plus variceal band ligation, betaâ€blockers plus nitrates, nitrates, betaâ€blockers plus sclerotherapy, and portocaval shunt. Overall, 21.2% of participants who received nonâ€selective betaâ€blockers ('betaâ€blockers') âˆ’ the reference treatment (chosen because this was the most common treatment compared in the trials) âˆ’ died during 8â€month to 60â€month followâ€up. Based on lowâ€certainty evidence, betaâ€blockers, variceal band ligation, sclerotherapy, and betaâ€blockers plus nitrates all had lower mortality versus no active intervention (betaâ€blockers: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betaâ€blockers plus nitrates: HR 0.41, 95% CrI 0.20 to 0.85; no direct comparison). No trials reported healthâ€related quality of life. Based on lowâ€certainty evidence, variceal band ligation had a higher number of serious adverse events (number of events) than betaâ€blockers (rate ratio 10.49, 95% CrI 2.83 to 60.64; 1 trial, 168 participants). Based on lowâ€certainty evidence, betaâ€blockers plus nitrates had a higher number of 'any adverse events (number of participants)' than betaâ€blockers alone (OR 3.4 , 95% CrI 1.11 to 11.28; 1 trial, 57 participants). Based on lowâ€certainty evidence, adverse events (number of events) were higher in sclerotherapy than in betaâ€blockers (rate ratio 2.49, 95% CrI 1.53 to 4.22; direct comparison rate ratio 2.47, 95% CrI 1.27 to 5.06; 2 trials, 90 participants), and in betaâ€blockers plus variceal band ligation than in betaâ€blockers (direct comparison rate ratio 1.72, 95% CrI 1.08 to 2.76; 1 trial, 140 participants). Based on lowâ€certainty evidence, any variceal bleed was lower in betaâ€blockers plus variceal band ligation than in betaâ€blockers (direct comparison HR 0.21, 95% CrI 0.04 to 0.71; 1 trial, 173 participants). Based on lowâ€certainty evidence, any variceal bleed was higher in nitrates than betaâ€blockers (direct comparison HR 6.40, 95% CrI 1.58 to 47.42; 1 trial, 52 participants). The evidence indicates considerable uncertainty about the effect of the interventions in the remaining comparisons. Authors' conclusions Based on lowâ€certainty evidence, betaâ€blockers, variceal band ligation, sclerotherapy, and betaâ€blockers plus nitrates may decrease mortality compared to no intervention in people with highâ€risk oesophageal varices in people with cirrhosis and no previous history of bleeding. Based on lowâ€certainty evidence, variceal band ligation may result in a higher number of serious adverse events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'nonâ€selective betaâ€blockers' or simply 'betaâ€blockers'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followâ€up), quality of life, serious and nonâ€serious side effects, percentage of people who developed bleeding, and development of other complications of advanced liver disease.â€¨â€¨ What were the main results of the review? The 66 studies included a relatively small number of participants (6653 people). Sixty studies with 6212 participants provided data for analyses. The followâ€up of the trial ranged from six months to five years in studies that reported the outcomes that we were interested in. The review found the following:â€¨â€“ Approximately one in five people with cirrhosis and oesophageal varices (without previous bleeding) who receive the betaâ€blockers died within five years.â€¨â€“ Betaâ€blockers, variceal band ligation, sclerotherapy, and betaâ€blockers plus nitrates all may result in fewer deaths than no treatment.â€¨â€“ Variceal band ligation may result in a higher number of serious side effects than betaâ€blockers.â€¨â€“ Sclerotherapy, betaâ€blockers plus nitrates, and betaâ€blockers plus variceal band ligation may result in more side effects (when serious and nonâ€serious adverse events were put together) than betaâ€blockers.â€¨â€“ Betaâ€blockers plus variceal band ligation may result in fewer people who develop bleeding than betaâ€blockers alone based on a single small trial.â€¨â€“ Nitrates alone may result in more people who develop bleeding than betaâ€blockers alone.â€¨â€“ The evidence indicates considerable uncertainty about the effect of the interventions in the remaining comparisons.â€¨â€“ None of the trials reported healthâ€related quality of life. What are our conclusions? Betaâ€blockers, variceal band ligation, sclerotherapy, and betaâ€blockers plus nitrates may decrease the death rate compared to no treatment in people with highâ€risk oesophageal varices in people with cirrhosis and no history of bleeding. Variceal band ligation may result in a higher number of serious side effects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</si>
  <si>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Medical abortion offered in pharmacy versus clinicâ€based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</si>
  <si>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clinicâ€based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postâ€abortion care in either a clinic or pharmacy setting. Studies published in any language employing the following designs were included: randomized trials and nonâ€randomized studies including a comparative group. Data collection and analysis Two review authors independently reviewed both retrieved abstracts and fullâ€text publications. A third author was consulted in case of disagreement. We intended to use the Cochrane risk of bias tool, RoB 2, for randomized studies and used the ROBINSâ€I tool (Risk Of Bias In Nonâ€randomized Studies of Interventions) to assess risk of bias in nonâ€randomized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fullâ€text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preâ€intervention period, the studyâ€™s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â€0.8 to 3.8; 1 study, 600 participants; low certainty evidence). The study reported no cases of blood transfusion, and a composite outcome, comprised mainly of infection complications, showed there may be little or no difference between settings (adjusted RD 0.8, 95% CI â€1.0 to 2.8; 1 study, 600 participants; very low certainty evidence). The study reported no events for hospital admission for an abortionâ€related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clinicâ€based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postâ€abortion care in either a clinic or pharmacy setting. We included studies published in any language, including the following designs: randomized trials and nonâ€randomized studies that included a comparison group. We read and evaluated all abstracts and fullâ€text articles, and rated our confidence in the evidence, based on factors such as study methods and sizes. What did we find? We found 2030 records. We screened the retrieved abstracts, and applied exclusion criteria. We assessed a total of 89 fullâ€text articles for eligibility. One prospective cohort study met our inclusion criteria. In this study, 605 women in Nepal received medical abortions from the same health care providers (auxiliary nurse midwives) in either a clinic or pharmacyâ€based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abortionâ€related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nonâ€randomized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upâ€toâ€date is this review? The evidence in this Cochrane Review is current to November 2020.</t>
  </si>
  <si>
    <t>Study conducted in Nepal, not UK-based</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</si>
  <si>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Â© 2021 Rodriguez-Sanchez et al.</t>
  </si>
  <si>
    <t>Study focuses on UK pharmaceutical policies and NHS.</t>
  </si>
  <si>
    <t>- Background Inability to communicate in a manner that can be understood causes extreme distress for people requiring an artificial airway and has implications for care quality and patient safety. Options for aided communication include nonâ€vocal, speechâ€generating, and voiceâ€enabling aids. Objectives To assess effectiveness of communication aids for people requiring an artificial airway (endotracheal or tracheostomy tube), defined as the proportion of people able to: use a nonâ€vocal communication aid to communicate at least one symptom, need, or preference; or use a voiceâ€enabling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quasiâ€RCTs, clusterâ€RCTs, controlled nonâ€randomised parallel group, and beforeâ€after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nonâ€vocal communication aids and three voiceâ€enabling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nonâ€vocal aid studies reported our primary outcome. We are uncertain of the effects of early use of a voiceâ€enabling aid compared to routine use on ability to phonate at least one intelligible word (risk ratio (RR) 3.03, 95% confidence interval (CI) 0.18 to 50.08; 2 studies; very lowâ€certainty evidence). Compared to usual care without aids, we are uncertain about effects of a nonâ€vocal aid (communication board) on patient satisfaction (standardised mean difference (SMD) 2.92, 95% CI 1.52 to 4.33; 4 studies; very lowâ€certainty evidence). No studies of nonâ€vocal aids reported quality of life. Lowâ€certainty evidence from two studies suggests early use of a voiceâ€enabling aid may have no effect on quality of life (MD 2.27, 95% CI â€“7.21 to 11.75). Conceptual differences in measures of psychological distress precluded data pooling; however, intervention arm participants reported less distress suggesting there might be benefit, but our certainty in the evidence is very low. Lowâ€certainty evidence suggest voiceâ€enabling aids have little or no effect on ICU length of stay; we were unable to determine effects of nonâ€vocal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lowâ€quality evidence. This means further studies are likely to change our understanding of the effects of communication aids. More studies are needed to understand the effects of communication aids, particularly effects on psychological wellâ€being and people's ability to communicate.</t>
  </si>
  <si>
    <t>Posterior musculofascial reconstruction in roboticâ€assisted laparoscopic prostatectomy for the treatment of clinically localized prostate cancer</t>
  </si>
  <si>
    <t>- Background Delayed recovery of urinary continence is a major adverse effect of roboticâ€assisted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recurrenceâ€free survival (BCRFS). We performed statistical analyses using a randomâ€effects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prostateâ€specific antigen level of 8.15 ng/mL. Primary outcomes Posterior reconstruction RALP (PRâ€RALP)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roboticâ€assisted laparoscopic prostatectomy, or RALP), how does connecting the tissue behind the urethra (soâ€called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</si>
  <si>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Â© 2019 European Association of Urology</t>
  </si>
  <si>
    <t>Study conducted in UK setting with NHS perspective.</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</si>
  <si>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Â© 2021 Research Institute for Gastroenterology and Liver Diseases. All rights reserved.</t>
  </si>
  <si>
    <t>Study conducted in two UK hospitals.</t>
  </si>
  <si>
    <t>Study conducted in UK hospitals</t>
  </si>
  <si>
    <t>Mentions NHS and UK eating disorder services.</t>
  </si>
  <si>
    <t>Study conducted in NHS units across England, Wales, Scotland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</si>
  <si>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Â© 2025 Ramnarayan et al.</t>
  </si>
  <si>
    <t>Conducted in NHS units across England, Wales, and Scotland</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</si>
  <si>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Â© 2025, Galore Knowledge Publication Pvt. Ltd.. All rights reserved."</t>
  </si>
  <si>
    <t>- Background Cachexia (diseaseâ€related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lowâ€certainty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âˆ’16.10 m, 95% confidence interval (CI) âˆ’79.06 to 46.86; 41 participants); strength (MD 3.80 kg, 95% CI âˆ’3.21 to 10.81; 41 participants); adverse events (risk ratio (RR) 1.36, 95% CI 0.70 to 2.65; 46 participants); body composition (MD 7.89 cm 2 , 95% CI âˆ’10.43 to 26.21; 41 participants); weight (MD 5.89 kg, 95% CI âˆ’1.45 to 13.23; 41 participants); appetite (MD 0.68 points, 95% CI âˆ’0.60 to 1.96; 41 participants); fatigue (MD 0.12, 95% CI âˆ’1.05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âˆ’36.27 to 56.27; 1 study, 56 participants); strength (MD 0.7 kg, 95% CI âˆ’3.75 to 5.15; 1 study, 56 participants); adverse events (RR 0.87, 95% CI 0.38 to 2.02; P = 0.75, I 2 = 0%; 2 studies, 95 participants); body composition (MD âˆ’2.67 kg, 95% CI âˆ’5.89 to 0.54; P = 0.10, I 2 = 0%; 2 studies, 95 participants); weight (MD âˆ’2.47 kg, 95% CI âˆ’7.11 to 2.16; P = 0.30, I 2 = 0%; 2 studies, 95 participants); QoL (standardised me n difference (SMD) âˆ’0.15, 95% CI âˆ’0.55 to 0.26; P = 0.47, I 2 = 0%; 2 studies, 95 participants); appetite (SMD âˆ’0.34, 95% CI âˆ’1.27 to 0.59; P = 0.48, I 2 = 79%; 2 studies, 95 participants); fatigue (MD 6.40 points, 95% CI âˆ’1.10 to 13.90; 1 study, 56 participants); or biochemical markers (MD 9.80 pg/mL, 95% CI âˆ’6.25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âˆ’0.22 to 0.26; P = 0.86, I 2 = 0%; 2 studies, 348 participants); strength (SMD 0.23, 95% CI âˆ’0.81 to 1.27; P = 0.66, I 2 = 0%; 2 studies, 348 participants); adverse events (RR 0.87, 95% CI âˆ’0.43 to 1.73; P = 0.68, I 2 = 45%; 2 studies, 395 participants); body composition (SMD 0.11, 95% CI âˆ’0.28 to 0.50; P = 0.58, I 2 = 74%; 5 studies, 742 participants); body weight (SMD âˆ’0.02, 95% CI âˆ’0.38 to 0.33; P = 0.90, I 2 = 49%; 4 studies, 431 participants); QoL (SMD 0.22, 95% CI âˆ’0.29 to 0.73; P = 0.39, I 2 = 61%; 3 studies, 411 participants); appetite (SMD âˆ’0.09, 95% CI âˆ’0.58 to 0.40; P = 0.72, I 2 = 58%; 2 studies, 395 participants); fatigue (MD âˆ’6.80 points, 95% CI âˆ’12.44 to âˆ’1.17; 1 study, 244 participants); and biochemical markers (SMD 0.11, 95% CI âˆ’0.59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wellâ€powered RCTs with adequate interaction times are needed to assess the effectiveness of multimodal interventions in managing cachexia across chronic illnesses. Plain language summary What are the benefits and risks of using a combination of treatments to manage cachexia (diseaseâ€related wasting)? Key messages: â€¢ We do not know if combinations of two or more treatments (of medication, diet, and exercise) benefit people who have or are at risk of developing cachexia (diseaseâ€related wasting). This is because there are currently not enough robust studies in this area. â€¢ We need future research to increase our confidence in the evidence by conducting better designed and larger studies. What is cachexia? Cachexia is a complex metabolic syndrome that occurs in people with longâ€term illnesses (known as chronic illnesses), such as cancer, HIV/AIDS, chronic kidney disease, heart disease, and chronic obstructive pulmonary disease (COPD). People who have cachexia may: â€¢ lose weight unintentionally;â€¨â€¢ lose muscle;â€¨â€¢ feel tired, weak, or both; â€¨â€¢ lose their appetite. Cachexia affects wellâ€being and can be lifeâ€threatening.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wellâ€being, extend life, or both. What did we want to find out? We wanted to find out if combining at least two treatments (out of diet, exercise, and medication) helped to improve: physical function and strength; muscle loss; weight; wellâ€being;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â€¢ treatment as usual (1 study, 46 people);â€¨â€¢ different combinations of treatments (4 studies, 192 people);â€¨â€¢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</si>
  <si>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No UK setting or reference detected</t>
  </si>
  <si>
    <t>Study includes UK as a site.</t>
  </si>
  <si>
    <t>Nonâ€pharmacological and nonâ€surgical treatments for low back pain in adults: an overview of Cochrane reviews</t>
  </si>
  <si>
    <t>- Background Low back pain (LBP) is a significant public health issue due to its high prevalence and associated disability burden. Clinical practice guidelines recommend nonâ€pharmacological/nonâ€surgical interventions for managing pain and function in people with LBP. Objectives To provide accessible, highâ€quality evidence on the effects of nonâ€pharmacological and nonâ€surgical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nonâ€pharmacological/nonâ€surgical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nonâ€pharmacological/nonâ€surgical interventions compared to placebo/sham or no treatment/usual care at shortâ€term (â‰¤ three months) followâ€up. Placebo/sham comparisons Acute/subacute LBP Compared to placebo, there is probably no difference in function (at oneâ€week followâ€up) for spinal manipulation (standardised mean difference (SMD) â€0.08, 95% confidence interval (CI) â€0.37 to 0.21; 2 trials, 205 participants; moderateâ€certainty evidence). Data for safety were reported only for heated back wrap. Compared to placebo, heated back wrap may result in skin pinkness (6/128 participants versus 1/130; 2 trials; lowâ€certainty evidence). Chronic LBP Compared to sham acupuncture, acupuncture probably provides a small improvement in function (SMD â€0.38, 95% CI â€0.69 to â€0.07; 3 trials, 957 participants; moderateâ€certainty evidence). Compared to sham traction, there is probably no difference in pain intensity for traction (0 to 100 scale, mean difference (MD) â€4, 95% CI â€17.7 to 9.7; 1 trial, 60 participants; moderateâ€certainty evidence). Data for safety were reported only for acupuncture. There may be no difference between acupuncture and sham acupuncture for safety outcomes (risk ratio (RR) 0.68, 95% CI 0.42 to 1.10; I 2 = 0%; 4 trials, 465 participants; lowâ€certainty evidence). No treatment/usual care comparisons Acute/subacute LBP Compared to advice to rest, advice to stay active probably provides a small reduction in pain intensity (SMD â€0.22, 95% CI â€0.02 to â€0.41; 2 trials, 401 participants; moderateâ€certainty evidence). Compared to advice to rest, advice to stay active probably provides a small improvement in function (SMD â€0.29, 95% CI â€0.09 to â€0.49; 2 trials, 400 participants; moderateâ€certainty evidence). Data for safety were reported only for massage. There may be no difference between massage and usual care for safety (risk difference 0, 95% CI â€0.07 to 0.07; 1 trial, 51 participants; lowâ€certainty evidence). Chronic LBP Compared to no treatment, acupuncture probably provides a medium reduction in pain intensity (0 to 100 scale, mean difference (MD) â€10.1, 95% CI â€16.8 to â€3.4; 3 trials, 144 participants; moderateâ€certainty evidence), and a small improvement in function (SMD â€0.39, 95% CI â€0.72 to â€0.06; 3 trials, 144 participants; moderateâ€certainty evidence). Compared to usual care, acupuncture probably provides a small improvement in function (MD 9.4, 95% CI 6.15 to 12.65; 1 trial, 734 participants; moderateâ€certainty evidence). Compared to no treatment/usual care, exercise therapies probably provide a small to medium reduction in pain intens ty (0 to 100 scale, MD â€15.2, 95% CI â€18.3 to â€12.2; 35 trials, 2746 participants; moderateâ€certainty evidence), and probably provide a small improvement in function (0 to 100 scale, MD â€6.8, 95% CI â€8.3 to â€5.3; 38 trials, 2942 participants; moderateâ€certainty evidence). Compared to usual care, multidisciplinary therapies probably provide a medium reduction in pain intensity (SMD â€0.55, 95% CI â€0.83 to â€0.28; 9 trials, 879 participants; moderateâ€certainty evidence), and probably provide a small improvement in function (SMD â€0.41, 95% CI â€0.62 to â€0.19; 9 trials, 939 participants; moderateâ€certainty evidence). Compared to no treatment, psychological therapies using operant approaches probably provide a small reduction in pain intensity (SMD â€0.43, 95% CI â€0.75 to â€0.11; 3 trials, 153 participants; moderateâ€certainty evidence). Compared to usual care, psychological therapies (including progressive muscle relaxation and behavioural approaches) probably provide a small reduction in pain intensity (0 to 100 scale, MD â€5.18, 95% CI â€9.79 to â€0.57; 2 trials, 330 participants; moderateâ€certainty evidence), but there is probably no difference in function (SMD â€0.2, 95% CI â€0.41 to 0.02; 2 trials, 330 participants; moderateâ€certainty evidence). It is uncertain whether there is a difference between nonâ€pharmacological/nonâ€surgical interventions and no treatment/usual care for safety (very lowâ€certainty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nonâ€medicine and nonâ€surgical treatments for nonâ€specific low back pain? Key messages For acute low back pain (pain lasting less than 6 weeks) â€¢ Advice to stay active probably reduces pain and improves function compared to advice to rest in bed. For subacute low back pain (pain lasting from 6 to 12 weeks) â€¢ Multidisciplinary therapies probably reduce pain compared to usual care.â€¨â€¢ Spinal manipulation probably does not improve function compared to placebo (a 'sham' or 'dummy' treatment designed to resemble the actual treatment but lacking active ingredients or the intended therapeutic effect). For chronic low back pain (pain lasting longer than 12 weeks) â€¢ Acupuncture probably reduces pain and improves function compared to placebo and no treatment/usual care.â€¨â€¢ Exercise therapies probably reduce pain and improve function compared to placebo and no treatment/usual care.â€¨â€¢ Traction probably does not reduce pain compared to sham traction.â€¨â€¢ Multidisciplinary therapy probably reduces pain and improves function compared to usual care.â€¨â€¢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â€˜nonâ€specificâ€™ low back pain. Many types of nonâ€medicine and nonâ€surgical treatments are available for people with low back pain of different durations: acute (pain lasting less than 6 weeks), subacute (pain lasting from 6 to 12 weeks) and chronic (pain lasting longer than 12 weeks). There is a need to provide accessible, highâ€quality information on the benefits and safety of nonâ€drug and nonâ€surgical treatments for healthcare professionals and patients to better manage low back pain. What did we want to find out? We wanted to summarise the evidence from Cochrane reviews on the effectiveness and safety of nonâ€medicine and nonâ€surgical treatments for adults with nonâ€specific low back pain. What did we do? 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nonâ€medicine and nonâ€surgical interventions for low back pain. Nonâ€medicine and nonâ€surgical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nonâ€medicine and nonâ€surgical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oneâ€third (10 of 31) of the reviews are more than 15 years old, meaning the evidence they contain is even more dated.</t>
  </si>
  <si>
    <t>Study conducted in London, England with NHS involvement.</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</si>
  <si>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Â© The Author(s) 2025.</t>
  </si>
  <si>
    <t>Study conducted in Europe, not specifically UK</t>
  </si>
  <si>
    <t>- Rationale Postpartum haemorrhage (PPH) is common and potentially lifeâ€threatening.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costâ€effectiveness and safety of prophylactic TXA is required before considering widespread use. This review updates one published in 2015. Objectives To assess the effects of TXA for preventing PPH compared to placebo or no treatment (with or without uterotonic coâ€treatment)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â‰¥ 500 mL and blood loss 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randomâ€effects metaâ€analysis to combine data. We assessed the certainty of the evidence using GRADE. Included studies We included three RCTs with 18,974 participants in total. The trials were conducted in both highâ€ and lowâ€resource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â‰¥ 500 mL (risk ratio (RR) 0.93, 95% confidence interval (CI) 0.81 to 1.06; 2 studies, 18,897 participants; 5 fewer per 1000, 95% CI 15 fewer to 5 more; highâ€certainty evidence). TXA likely results in little to no difference in blood loss â‰¥ 1000 mL (RR 0.86, 95% CI 0.69 to 1.07; 2 studies, 18,897 participants; 3 fewer per 1000, 95% CI 6 fewer to 1 more; moderateâ€certainty evidence). TXA likely results in little to no difference in severe morbidity (RR 0.88, 95% CI 0.69 to 1.12; 1 study, 15,066 participants; 2 fewer per 1000, 95% CI 6 fewer to 2 more; moderateâ€certainty evidence). TXA results in little to no difference in receipt of blood transfusion (RR 1.00, 95% CI 0.95 to 1.06; 3 studies, 18,972 participants; 0 fewer per 1000, 95% CI 10 fewer to 12 more; highâ€certainty evidence). TXA may result in little to no difference in receipt of additional surgical interventions to control PPH (RR 0.63, 95% CI 0.32 to 1.23; 2 studies, 18,972 participants; 1 fewer per 1000, 95% CI 2 fewer to 1 more; lowâ€certainty evidence). In women with anaemia, TXA results in little to no difference in receipt of additional uterotonics (RR 1.02, 95% CI 0.94 to 1.10; 1 study, 15,066 participants; 3 more women per 1000, 95% CI 8 fewer to 24 more; highâ€certainty evidence). In women with no anaemia, TXA results in a slight reduction in receipt of additional uterotonics (RR 0.75, 95% CI 0.61 to 0.92; 1 study, 3891 participants; 24 fewer women per 1000, 95% CI 38 fewer to 8 fewer; highâ€certainty evidence). TXA likely r sults in little to no difference in maternal satisfaction. The evidence is very uncertain about the effect of TXA on maternal death, thromboembolic events, and hysterectomy (very lowâ€certainty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â‰¥ 500 mL and likely makes little to no difference to blood loss 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10.1002/14651858.CD007872â€¨Original review (2010) DOI: 10.1002/14651858.CD007872.pub2â€¨Review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highâ€ and lowâ€resource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</si>
  <si>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Study conducted in UK care homes.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</si>
  <si>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nonâ€randomized trials, controlled beforeâ€after (CBA) studies, and interrupted timeâ€series (ITS) studies comparing (1) standâ€alone clinical pathways with usual care, and (2) clinical pathways as part of a multifaceted intervention with usual care. Data collection and analysis Two authors independently screened all titles, abstracts and fullâ€text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evidenceâ€based implementation process. Main results The update provided 31 additional studies for a total of 58 included studies (24,841 patients and 2027 healthcare professionals). Fortyâ€one (71%) were randomized trials, four (7%) nonâ€randomized trials, four (7%) CBA studies and nine (16%) ITS studies. Fortyâ€nine studies compared standâ€alone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Standâ€alone clinical pathway interventions It is uncertain whether standâ€alone CPWs reduce inhospital mortality (13% v 16%: OR 0.79, 95% CI 0.53 to 1.20; P = 0.27; IÂ² = 65%; 7 randomized trials; n = 4603; lowâ€certainty evidence due to serious imprecision and inconsistency) or mortality (up to 6 months) (4% v 3%: OR 1.37, 95% CI 0.72 to 2.60; P = 0.34; IÂ² = 20%; 3 randomized trials, n = 805; lowâ€certainty evidence due to serious risk of bias and imprecision). Standâ€alone CPWs likely reduce inhospital complications (10% v 17%: OR 0.57, 95% CI 0.41 to 0.80; P = 0.001; IÂ² = 52%; 11 randomized trials, n = 3668; moderateâ€certainty evidence due to serious risk of bias). It is very uncertain whether standâ€alone CPWs reduce hospital readmissions (up to 6 months) (9% v 13%: OR 0.67, 95% CI 0.44 to 1.03; P = 0.07; IÂ² = 11%; 9 randomized trials, n = 1578; very lowâ€certainty evidence due to serious risk of bias and very serious imprecision). Standâ€alone CPWs likely reduce the length of hospital stay compared to usual care (MD â€1.12 days, 95% CI â€1.60 to â€0.65; P &lt; 0.00001; IÂ² = 64%; 21 studies; n = 5201; moderateâ€certainty evidence due to serious inconsistency). Costs and charges were generally lower in CPWs as indicated by negative MDs in nine studies (10 studies, n = 2113, data not pooled; very lowâ€certainty evidence due to serious indirectness and very serious inconsistency). Standâ€alone CPWs may slightly increase adherence to recommended practice compared with usual care (3 randomized studies, n = 573; data not pooled; lowâ€certainty evidence due to serious risk of bias and serious inconsistency). Multifaceted clinical pathway interventions It is uncertain whether multifaceted CPWs reduce inhospital mor ality (2 randomized studies, n = 6304, data not pooled; lowâ€certainty evidence due to very serious inconsistency). Multifaceted CPWs may make little or no difference to mortality (up to 6 months) (9% v 8%: OR 1.05, 95% CI 0.88 to 1.25; P = 0.61; IÂ² = 0%; 3 randomized studies; n = 6531; lowâ€certainty evidence due to serious imprecision and serious risk of bias). It is uncertain whether multifaceted CPWs reduce inhospital complications (9% v 23%: OR 0.32, 95% CI 0.12 to 0.87; 1 study, n = 140; lowâ€certainty evidence due to very serious imprecision). It is uncertain whether multifaceted CPWs reduce hospital readmission (up to 6 months) (2 randomized studies, n =1569, data not pooled; lowâ€certainty evidence due to very serious inconsistency), or length of stay (4 randomized studies, n = 1936, data not pooled; lowâ€certainty evidence due to very serious inconsistency), or hospital costs and charges (4 randomized studies, n = 2015, data not pooled; very lowâ€certainty evidence due to very serious imprecision and serious indirectness in outcome measures). It is uncertain whether multifaceted CPWs increase adherence to recommended practice (2 randomized studies, n = 6304, data not pooled, lowâ€certainty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extendedâ€stay facilities (10%). The most common clinical conditions were asthma (16%), stroke (10%), mechanical ventilation (9%) and myocardial infarction (7%). Authors' conclusions Standâ€alone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highâ€quality studies that report on implementation strategies used during the pathway development and implementation. What was studied in the review? Decisionâ€making in hospitals h s evolved from being opinionâ€based to being based on sound scientific evidence (i.e. evidenceâ€based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clusterâ€randomized studies, nonâ€randomized studies, controlled beforeâ€after studies (CBA), and interrupted timeâ€series studies (ITS). In individual randomized trials, study participants were allocated to the CPW or usual care group by chance, called random allocation. Clusterâ€randomized trials divided all study participants into smaller groups known as clusters. These clusters were then allocated by chance to the CPW or usual care group. For nonâ€randomized trials, participants were allocated to different groups by investigators in a quasiâ€random fashion. Quasiâ€random allocation means that study participants were allocated to the CPW or usual care group based on criteria such as their date of birth or the day of the week. CBA studies are experimental studies without a random or quasiâ€random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standâ€alone clinical pathway has any effect on inâ€hospital mortality and mortality (up to 6 months) (low certainty). Standâ€alone CPWs are likely to reduce inhospital complications (moderate certainty) but it is very uncertain if they make any difference to hospital readmissions (up to 6 months) (very low certainty). Standâ€alone CPWs are likely to reduce length of hospital stay (moderate certainty). Costs and charges were generally lower in CPWs in nine out of ten studies included in this comparison (very low certainty). Standâ€alone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upâ€toâ€date is this review? This review update searched for new studies up to July 26, 2024.</t>
  </si>
  <si>
    <t>Mentions UK healthcare perspective</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</si>
  <si>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Â© 2025</t>
  </si>
  <si>
    <t>Mentions NHS expenditure on MSK conditions</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</si>
  <si>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Â© Author(s) (or their employer(s)) 2025.</t>
  </si>
  <si>
    <t>Study conducted in California, USA</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</si>
  <si>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quasiâ€RCTs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quasiâ€RCT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âˆ’1.10 g/day, 95% CI âˆ’3.94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quasiâ€RCT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highâ€quality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notâ€forâ€profit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highâ€quality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parentâ€infant attachment, parent wellâ€being,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upâ€toâ€date is this evidence? This review updates our previous 2015 review. The evidence is current to 30 May 2024.</t>
  </si>
  <si>
    <t>Study conducted in Sweden, not UK-based</t>
  </si>
  <si>
    <t>Study includes UK-based severe psoriasis registry, BSTOP.</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</si>
  <si>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allâ€cause mortality, major venous thromboembolism (VTE), symptomatic VTE, major bleeding, and serious hepatic and nonâ€hepatic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allâ€cause mortality, but the evidence is very uncertain (RR 0.83, 95% CI 0.52 to 1.31; I 2 = 0%; 28 studies, 29,698 participants; very lowâ€certainty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lowâ€certainty evidence). Compared to LMWHs, direct factor Xa inhibitors may reduce symptomatic VTE (RR 0.64, 95% CI 0.50 to 0.83; I 2 = 0%; 33 studies, 31,670 participants; lowâ€certainty evidence). The absolute benefit of substituting factor Xa inhibitors for LMWHs may be between two and five fewer symptomatic VTE episodes per 1000 patients. In the metaâ€analysis with all studies pooled, direct factor Xa inhibitors appeared to make little or no difference to major bleeding compared to LMWHs, but the evidence was very uncertain (RR 1.05, 95% CI 0.86 to 1.30; I 2 = 15%; 36 studies, 39,778 participants; very low certaintyâ€evidence). â€¨â€¢ In a subgroup analysis limited to studies comparing rivaroxaban to LMWHs, people given rivaroxaban may have had more major bleeding events (RR 1.94, 95% CI 1.26 to 2.98; I 2 = 0%; 17 studies, 17,630 participants; lowâ€certainty evidence). The absolute risk of substituting rivaroxaban for LMWH may be between one and seven more major bleeding events per 1000 patients. â€¨â€¢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lowâ€certainty evidence). Direct factor Xa inhibitors may make little to no difference in serious hepatic adverse events compared to LMWHs, but the evidence is very uncertain (RR 3.01, 95% CI 0.12 to 73.93; 2 studies, 3169 participants; very lowâ€certainty evidence). Only two studies reported this outcome, with one death in the intervention group due to hepatitis reported in one study, and no events reported in the other study. People given direct factor Xa inhibitors may have a lower risk of serious nonâ€hepatic adverse events than those given LMWHs (RR 0.89, 95% CI 0.81 to 0.97; I 2 = 18%; 15 studies, 26,246 participants; lowâ€certainty evidence). The absolute benefit of substituting factor Xa inhibitors for LMWH may be between three and 14 fewer serious nonâ€hepatic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â€¢ We do not know if classic anticoagulant medicines (commonly known as 'blood thinners') or newer bloodâ€thinning medicines called 'direct factor Xa inhibitors' (DFXa inhibitors) are better at preventing death or the development of blood clots in the deep veins of the legs or in the lungs of people who have had hip or knee replacement surgery. 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highâ€income regions. Roughly oneâ€third of participants (31%) were male. Participants' average age was 64 years. Pharmaceutical companies funded half of the studies (27 of 53). Main results Compared to LMWHs, we do not know if DFXa inhibitors reduce the number of people who:â€¨â€¢ die from any cause after surgery, orâ€¨â€¢ develop blood clots in the lungs or deep veins of the leg or pelvisâ€¨because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nonâ€liverâ€related events compared to LMWHs. Between 3 and 14 fewer people out of every 1000 people given DFXa inhibitors would have serious, nonâ€liverâ€related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</si>
  <si>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J6219</t>
  </si>
  <si>
    <t>Study protocol of a pilot randomised controlled trial assessing the feasibility and acceptability of RecoverEsupport: a digital health intervention to enhance recovery in women undergoing surgery for breast cancer</t>
  </si>
  <si>
    <t>Introduction Internationally, breast cancer is the second most diagnosed cancer with approximately 2.3â€‰million people diagnosed each year. 40% will require a mastectomy which has an average length of hospital stay of 1â€“2â€‰days.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</si>
  <si>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J6220</t>
  </si>
  <si>
    <t>Negative pressure wound therapy for surgical wounds healing by secondary intention is not cost-effective</t>
  </si>
  <si>
    <t>&lt;b&gt;BACKGROUND&lt;/b&gt;: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system._x000D_
&lt;b&gt;METHODS&lt;/b&gt;: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uncertainty._x000D_
&lt;b&gt;RESULTS&lt;/b&gt;: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analyses._x000D_
&lt;b&gt;CONCLUSION&lt;/b&gt;: No evidence was found demonstrating that NPWT was a cost-effective alternative to standard dressings for SWHSI.</t>
  </si>
  <si>
    <t>Study conducted from UK healthcare perspective</t>
  </si>
  <si>
    <t>J6221</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</si>
  <si>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Â© The Author(s) 2025.</t>
  </si>
  <si>
    <t>J6222</t>
  </si>
  <si>
    <t>The clinical and cost effectiveness of a STAndardised DIagnostic Assessment for children and adolescents with emotional difficulties: the STADIA multi-centre randomised controlled trial</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</si>
  <si>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Â© 2024 The Author(s). Journal of Child Psychology and Psychiatry published by John Wiley &amp; Sons Ltd on behalf of Association for Child and Adolescent Mental Health.</t>
  </si>
  <si>
    <t>Study conducted in NHS Trusts in England.</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</si>
  <si>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</si>
  <si>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</si>
  <si>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</si>
  <si>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</si>
  <si>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</si>
  <si>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Â© 2025</t>
  </si>
  <si>
    <t>Study conducted in England</t>
  </si>
  <si>
    <t>J6225</t>
  </si>
  <si>
    <t>Breast cancer MDT streamlining: Current oncology UK practice</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</si>
  <si>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Â© 2024</t>
  </si>
  <si>
    <t>Study conducted in the UK with NHS England references.</t>
  </si>
  <si>
    <t>J6226</t>
  </si>
  <si>
    <t>Experiences and perceptions of using a digital health intervention</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</si>
  <si>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Â© 2025</t>
  </si>
  <si>
    <t>Study involves NHS and Stroke Hub Wales.</t>
  </si>
  <si>
    <t>J6227</t>
  </si>
  <si>
    <t>Optimization of a Push Notification System to Improve First-case Delays: A Quality Improvement Project</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</si>
  <si>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Â© 2025 The American Society of PeriAnesthesia Nurses. Published by Elsevier Inc. All rights reserved.</t>
  </si>
  <si>
    <t>Study conducted in New England, not UK</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</si>
  <si>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</si>
  <si>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</si>
  <si>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steppedâ€wedge designs, and nonâ€randomized studies of interventions (NRSIs), including interrupted time series (ITS) studies, controlled beforeâ€after (CBA) studies, and followâ€up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WHOâ€recommended guidelines for PPH prevention, detection, and treatment; PPH â‰¥ 500 mL; PPH 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clusterâ€RCTs and 4 NRSIs) with a total of 1,027,273 births and more than 4373 birth attendants. The included studies were conducted in 17 different countries. Most trials were conducted in resourceâ€limited settings. None of the included studies reported data on the use of additional uterotonics within 24 hours after birth or adverse effects. Synthesis of results Singleâ€component implementation strategies versus usual care for PPH prevention, detection, and treatment We do not know if singleâ€component implementation strategies have any effect on adherence to WHO PPH prevention recommendations, PPH â‰¥ 500 mL, PPH â‰¥ 1000 mL, or blood transfusion (very lowâ€certainty evidence). Lowâ€certainty evidence suggests that singleâ€component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â‰¥ 500 mL, blood transfusion, or severe morbidity relating to surgical outcomes (very lowâ€certainty evidence). Multicomponent implementation strategies may have little to no effect on matern l death (274,008 births, 2 trials; lowâ€certainty evidence) compared to usual care. No trials in this comparison measured the effect on adherence to WHO PPH prevention recommendations, PPH â‰¥ 1000 mL, or severe morbidity (outcomes related to ICU admission). Multicomponent implementation strategies versus enhanced usual care for PPH prevention, detection, and treatment Lowâ€certainty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moderateâ€certainty evidence), severe morbidity related to ICU admission (224,850 births, 2 trials; moderateâ€certainty evidence), and surgical morbidity (210,132 births, 1 trial; moderateâ€certainty evidence) compared to enhanced usual care. We do not know if multicomponent implementation strategies affect PPH â‰¥ 500 mL, PPH â‰¥ 1000 mL, or blood transfusion (very lowâ€certainty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singleâ€component implementation strategies affect adherence to WHO PPH prevention recommendations, blood loss, or blood transfusion. Singleâ€component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singleâ€component implementation strategies affect adherence to WHO PPH prevention recommendations, blood loss, or blood transfusion. Singleâ€component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PPHâ€related illness or death. It remains unknown whether multiple strategies work in a realâ€world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upâ€toâ€date is this evidence? The evidence is current to 25 April 2024.</t>
  </si>
  <si>
    <t>J6229</t>
  </si>
  <si>
    <t>Impact of Big Data Analytics on Emergency Department Efficiency in Saudi Ministry of Health Hospitals: A Retrospective Data Analysis</t>
  </si>
  <si>
    <t>&lt;b&gt;Background&lt;/b&gt;: The integration of big data analytics in healthcare has become essential for enhancing operational performance, particularly within Emergency Departments (EDs), where efficiency improvements can significantly impact patient satisfaction and resource utilization._x000D_
&lt;b&gt;Aim&lt;/b&gt;: This study examines the impact of big data analytics on ED performance metrics within Saudi Arabia's Ministry of Health (MOH) hospitals, with a focus on key performance indicators (KPIs) and the effectiveness of the Ada'a Health Program in optimizing ED operations._x000D_
&lt;b&gt;Methods&lt;/b&gt;: A retrospective observational study was conducted across 10 hospitals in five regions of Saudi Arabia. Data from 228,857 patient records were analyzed, alongside survey responses from 223 ED personnel. Statistical analyses, including paired t-tests, Pearson's correlation, and multiple regression models, were used to evaluate improvements in KPIs and assess the program's impact._x000D_
&lt;b&gt;Results&lt;/b&gt;: Significant improvements in all KPIs were observed following the implementation of the Adaa Health Program. Door-to-Doctor Time decreased from 28:26 to 25:13, Doctor-to-Decision Time from 1:18:22 to 1:03:50, Decision-to-Disposition Time from 36:37 to 20:13, and Door-to-Disposition Time from 2:22:02 to 1:48:44. Pearson's correlation analysis indicated a strong relationship between Decision-to-Disposition Time and Doctor-to-Decision Time (r = 0.594), emphasizing the role of clinical decision-making in patient flow. Regression analysis further confirmed the program's significant association with reduced wait times (p &lt; 0.001)._x000D_
&lt;b&gt;Conclusion&lt;/b&gt;: This study highlights the transformative impact of big data-driven decision-making in optimizing ED efficiency. The Ada'a Health Program has significantly improved patient flow, reduced congestion, and enhanced operational performance in Saudi MOH hospitals. These findings underscore the need for continued investment in big data analytics, updated predictive modeling, and workflow automation to sustain and further enhance ED efficiency. Future research should explore scalability across diverse healthcare settings and the long-term sustainability of such interventions.</t>
  </si>
  <si>
    <t>Study conducted in Saudi Arabia, not UK-based</t>
  </si>
  <si>
    <t>J6230</t>
  </si>
  <si>
    <t>Systematic Review of Outcome Measures in Pharmacologically Managed Chronic Pain: Informing a New Outcome Framework for Healthcare Provider-Led Pharmacotherapy Services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</si>
  <si>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Â© 2025 The Author(s). Journal of Evaluation in Clinical Practice published by John Wiley &amp; Sons Ltd.</t>
  </si>
  <si>
    <t>Mentions Scottish Intercollegiate Guidelines Network, suggesting UK setting.</t>
  </si>
  <si>
    <t>J6231</t>
  </si>
  <si>
    <t>Neuropalliative care for Parkinson's disease in India: a qualitative exploration of healthcare professionals' perspectives</t>
  </si>
  <si>
    <t>&lt;b&gt;Introduction&lt;/b&gt;: The prevalence of Parkinson's disease (PD) in India is roughly 10% of the global burden, which is a considerable public health concern. The burden on healthcare services in India is substantial due to the variations in PD prevalence and the country's large population. The unique cultural, ethnic, and social differences in India give rise to distinct needs among PD patients and their caregivers. Neuropalliative care (NPC) is an emerging subspecialty with a holistic approach that requires a unique skill set and the involvement of allied healthcare professionals who play a crucial role in providing integrated services._x000D_
&lt;b&gt;Aim&lt;/b&gt;: The objective of this study is to explore the experiences and perspectives of the primary and allied healthcare professionals working with persons with PD in India._x000D_
&lt;b&gt;Methods&lt;/b&gt;: The current study employed a qualitative, exploratory, inductive research design, using in-depth interviews with 15 primary and allied healthcare professionals who had more than 5 years of experience working with persons with PD. Participants worked in varied settings such as academic hospitals, rehabilitation services, and tertiary care hospitals._x000D_
&lt;b&gt;Results&lt;/b&gt;: The mean years of work experience for the participants were 7.5 +/- 3.26 years with a mean number of 30.8 +/- 14.8 patients with PD per month. Thematic analysis of the data revealed 5 main themes and 20 subthemes. The major themes revealed were understanding of NPC, the needs of patients and caregivers of PD, barriers and challenges, interventions for patients and caregivers, facilitators, and components of NPC for PD._x000D_
&lt;b&gt;Conclusion&lt;/b&gt;: To provide a structured stepped-care approach to managing PD, there is a need to understand the psychosocial and palliative care aspects of PD in patients and caregivers in the Indian context. Adequate training and resource allocation are needed for NPC to be adopted in clinical care.</t>
  </si>
  <si>
    <t>Study conducted in India, not UK-based</t>
  </si>
  <si>
    <t>J6232</t>
  </si>
  <si>
    <t>Assessing the economic case for public health interventions provided in non-health public sector settings: a feasibility study in job centres in Cornwall, South West of England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</si>
  <si>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Â© The Author(s) 2025.</t>
  </si>
  <si>
    <t>Study conducted in Cornwall, South West of England.</t>
  </si>
  <si>
    <t>J6233</t>
  </si>
  <si>
    <t>Neoadjuvant chemotherapy before surgery versus surgery followed by chemotherapy for initial treatment in advanced epithelial ovarian cancer</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</si>
  <si>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platinumâ€based chemotherapy before cytoreductive surgery with platinumâ€based chemotherapy following cytoreductive surgery. Outcomes We extracted data on overall (OS) and progressionâ€free survival (PFS), adverse events, surgically related mortality and morbidity, and quality of life outcomes. Risk of bias We used the Cochrane RoB 1 tool to assess risk of bias in RCTs. Synthesis methods We conducted metaâ€analyses using randomâ€effects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deâ€duplication),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metaâ€analyses (1692 participants). Synthesis of results Survival We found little or no difference between groups in OS (HR 0.96, 95% CI 0.86 to 1.08; P = 0.49; I 2 = 0%; 4 studies; 1692 women; highâ€certainty evidence) and likely little or no difference between groups in PFS (HR 0.98, 95% CI 0.88 to 1.08; P = 0.62; I 2 = 0%; 4 studies; 1692 women; moderateâ€certainty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highâ€certainty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moderateâ€certainty evidence). Organ resection NACT probably results in a large reduction in the need for stoma formation (5.8% in the NACT group versus 20.4% in the PCRS group) (RR 0.29, 95% CI 0.12 to 0.74; P = 0.009; I 2 = 70%; 2 studies; 632 women; moderateâ€certainty evidence) and probably reduces the risk of needing bowel resection at the time of surgery (13.0% in the NACT group versus 26.6% in the PCRS group) (RR 0.47, 95% CI 0.27 to 0.81; P = 0.007; I 2 84%; 4 studies; 1578 women; moderateâ€certainty evidence). Quality of life Global quality of life on the EORTC QLQâ€C30 produced imprecise results in three studies, with high levels of heterogeneity (quality of life at six months: MD 6.62, 95% CI âˆ’2.89 to 16.13; P = 0.17; I 2 = 92%; 3 studies; 559 women; lowâ€certainty evidence). Overall, functional and symptom scores may be slightly improved for NACT at 6 months, but similar by 12 months, although the differences might not be clinically meaningful. Authors' conclusions The available highâ€ to moderateâ€certainty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platinumâ€based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upâ€toâ€date is the evidence? The evidence is current to 21 March 2024.</t>
  </si>
  <si>
    <t>J6234</t>
  </si>
  <si>
    <t>Protocol for a feasibility randomised controlled trial of the OUTDOOR mobility intervention for older adults after hip fracture</t>
  </si>
  <si>
    <t>Introduction: A high proportion of patients do not regain outdoor mobility after hip-fracture. Rehabilitation explicitly targeting outdoor mobility is needed to enable older adults to resume activities that they value most. The aim of this study is to determine the feasibility of a randomised, controlled trial intended to assess the clinical and cost-effectiveness of an intervention enabling recovery of outdoor mobility post hip-fracture (the OUTDOOR intervention). Method(s): OUTDOOR is a multi-centre, parallel group, randomised, controlled, feasibility trial. Adults 60 years and older, admitted to hospital and planned discharge to home; with self-reported outdoor mobility three-months pre-fracture, surgically treated for hip fracture, who are able to consent and participate, are eligible. Individuals requiring two or more people to support mobility upon discharge are excluded. Screening and consent (or consent to contact) will take place in hospital. Baseline assessment and randomisation will follow discharge. Participants will receive usual care (physiotherapy, occupational therapy), or usual care plus the OUTDOOR intervention. OUTDOOR intervention includes a goal-orientated outdoor mobility programme, therapist-led motivational dialogue supported by a past-patient led videos sharing recovery experiences; and support to transition to independent recovery. Terapists delivering the OUTDOOR intervention will receive training in motivational interviewing, and behaviour change techniques. Patient reported outcome measures-health-related quality of life, daily activities, pain, community mobility, falls related self-efficacy, resource use, and readmission; will be collected at baseline, 6-weeks, 12-weeks, and 6-months (if enrolled early in the trial) post-randomisation. Exercise adherence and intervention acceptability will be collected. Subset of 20 participants will support accelerometery data collection for 10 days at each time point. Trial received approval from East of England-Essex Research Ethics Committee (REF: 23/EE/0246) and the Health Research Authority. Findings will be disseminated to patients, the public, health professionals and researchers through publications, presentations, and social media.</t>
  </si>
  <si>
    <t>Approved by East of England-Essex Research Ethics Committee</t>
  </si>
  <si>
    <t>J6235</t>
  </si>
  <si>
    <t>Protocol for an economic evaluation alongside a natural experiment to evaluate the impact of later trading hours for bars and clubs in the night-time economy in Scotland: The ELEPHANT study</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</si>
  <si>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Â© Author(s) (or their employer(s)) 2025.</t>
  </si>
  <si>
    <t>Study conducted in Scotland, UK setting.</t>
  </si>
  <si>
    <t>J6236</t>
  </si>
  <si>
    <t>Evaluating the Diagnostic Accuracy and Challenges of the Two-Week Wait Referral Pathway for Skin Cancers in Primary Care</t>
  </si>
  <si>
    <t>Skin cancers are among the most common cancers in the Western world, with incidence rates increasing significantly over time. Skin cancer survival rates are highly dependent upon early identification. In the United Kingdom (UK), initial assessment of skin lesions is carried out via general practitioners (GPs) who identify and refer suspected cases under the two-week pathway in compliance with the National Institute for Health and Care Excellence (NICE) guidelines. A major challenge in this pathway is the relatively low proportion of these referrals resulting in a skin cancer diagnosis. This retrospective study, conducted at a general practice encompassing 17,000 patients, evaluated the efficacy of primary care referral pathways for suspected skin malignancies and examined the key factors affecting diagnostic accuracy. The SystmOne patient database was used to identify referral letters for suspected skin cancers, including squamous cell carcinoma, basal cell carcinoma, and melanoma, in a period between September 8th, 2021, and July 28th, 2022. A total of 146 referral letters were reviewed, with 35 selected for further analysis. The study highlighted that only 13% of referrals resulted in a confirmed diagnosis of skin cancer, falling below the local audit standard of 50%. Additionally, while 74% of patients were seen by a dermatologist within the two-week timeframe, this did not meet the 100% standard set by NICE guidelines. These findings not only demonstrate the exponentially increasing burden placed on tertiary specialist services but also highlight the need for improved referral efficiency and diagnostic accuracy within primary care. The contributing factors identified include limited post-graduate dermatology training for GPs and the promotion of referrals for uncertain lesions. Proposed interventions to enhance referral pathways include the development of e-learning modules to improve GP education, the implementation of teledermatology and artificial intelligence services to effectively triage cases, and regular reviews of referral patterns by local primary care services. Through earlier and more targeted diagnosis, the suggested techniques may improve the effectiveness of the referral process and have the potential to improve outcomes for patients with suspected skin malignancies.</t>
  </si>
  <si>
    <t>Study conducted in the UK with references to NHS and NICE guidelines.</t>
  </si>
  <si>
    <t>J6237</t>
  </si>
  <si>
    <t>Improving outcomes for people with autism spectrum disorders by reducing mental health problems: The iamhealth research programme including one rct</t>
  </si>
  <si>
    <t>&lt;b&gt;BACKGROUND&lt;/b&gt;: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caretakers._x000D_
&lt;b&gt;OBJECTIVE(S)&lt;/b&gt;: We aim to improve identification of mental health problems by developing a tool for clinical use, which can also be used to monitor treatment response._x000D_
&lt;b&gt;DESIGN&lt;/b&gt;: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testing._x000D_
&lt;b&gt;SETTING&lt;/b&gt;: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4)._x000D_
&lt;b&gt;PARTICIPANTS&lt;/b&gt;: Work package 1: 255 parents of autistic children/adolescent; work package 2: 19 autistic young adults; work package 3: QUEST cohort of 277 children; work package: 62 children._x000D_
&lt;b&gt;INTERVENTION&lt;/b&gt;: Predictive Parenting - a novel parent-mediated intervention._x000D_
&lt;b&gt;MAIN OUTCOME MEASURE&lt;/b&gt;: Work package 4: a blinded observational measure of child behaviours that challenge._x000D_
&lt;b&gt;RESULTS&lt;/b&gt;: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deliver._x000D_
&lt;b&gt;LIMITATIONS&lt;/b&gt;: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point._x000D_
&lt;b&gt;CONCLUSIONS&lt;/b&gt;: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problems._x000D_
&lt;b&gt;FUTURE WORK&lt;/b&gt;: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people._x000D_
&lt;b&gt;TRIAL REGISTRATION&lt;/b&gt;: This trial is registered as Current Controlled Trials ISRCTN91411078._x000D_
&lt;b&gt;FUNDING&lt;/b&gt;: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t>
  </si>
  <si>
    <t>Study conducted in London and Liverpool, UK.</t>
  </si>
  <si>
    <t>J6238</t>
  </si>
  <si>
    <t>Physiotherapists' delivery of cognitive functional therapy in clinical practice: perceived facilitators and barriers from a socioecological perspective</t>
  </si>
  <si>
    <t>&lt;b&gt;PURPOSE&lt;/b&gt;: Cognitive functional therapy (CFT) is a person-centred biopsychosocial intervention for chronic low back pain, with large sustained clinical and economic benefits. This study explored the experiences of physiotherapists delivering CFT in their usual clinical practice after being trained to competency for the RESTORE clinical trial._x000D_
&lt;b&gt;MATERIALS AND METHODS&lt;/b&gt;: A qualitative study design was used. Fifteen primary care physiotherapists were interviewed (seven female, clinical experience 3-25 years). An inductive-deductive content analysis was used, including the Theoretical Domains Framework and socioecological model._x000D_
&lt;b&gt;RESULTS&lt;/b&gt;: Facilitators and barriers were identified within and between individual, micro (clinical interface), meso (health service), and macro (health system) levels. Physiotherapists reported feeling competent and skilled delivering CFT. At the microsystem, this was influenced by time and their evolving professional identity. At the mesosystem, social support within the clinical community and positive patient outcomes facilitated CFT, while disunity in pain management across the health system and inadequate remuneration were barriers. Societal beliefs about pain, shifts in professional identity, and funding models influenced delivery at the macrosystem._x000D_
&lt;b&gt;CONCLUSIONS&lt;/b&gt;: This study highlights multilevel facilitators and barriers that physiotherapists perceive when implementing CFT. Targeting these may help to optimise the implementation of this promising intervention, thereby contributing to better patient outcomes.</t>
  </si>
  <si>
    <t>J6239</t>
  </si>
  <si>
    <t>216 The role of text message triage in assessing eligibility for lung cancer screening</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</si>
  <si>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Â© 2025 Elsevier Inc. All rights reserved.</t>
  </si>
  <si>
    <t>J6240</t>
  </si>
  <si>
    <t>In vitro maturation in subfertile women with polycystic ovarian syndrome undergoing assisted reproduction</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</si>
  <si>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supraâ€physiological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PCOSâ€related infertility involves earlier retrieval of immature oocytes at the germinalâ€vesicle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randomâ€effects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lowâ€certainty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highâ€certainty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lowâ€certainty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highâ€certainty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IÂ² = 45%; 2 studies, 739 participants; moderateâ€certainty evidence). As for congenital anomalies, one study reported no events, while another showed an uncertain effect of IVM (OR 0.33, 95% CI 0.01 to 8.24; 1 study, 351 participants; lowâ€certainty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highâ€certainty evidence shows that IVM increases miscarriage per clinical pregnancy and reduces the incidence of moderate or severe OHSS in women with PCOS compared to IVF after a GnRH antagonist protocol. Regarding the rest of the outcomes, lowâ€ to moderateâ€certainty evidence showed little to no difference in preterm birth and risk of congenital anomalies between the two modalities. We eagerly anticipate further evidence from highâ€quality trials in the field (we found five ongoing trials). Plain language summary What is the best therapy for women who produce too many eggs when having fertility treatment? Key messages â€“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â€“ In vitro maturation increases miscarriage and reduces ovarian hyperstimulation syndrome (painful condition where the ovaries produce too many eggs) in women with polycystic ovarian syndrome compared to in vitro fertilisation. â€“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</si>
  <si>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J6241</t>
  </si>
  <si>
    <t>Gonadotropinâ€releasing hormone agonist protocols for pituitary suppression in assisted reproduction</t>
  </si>
  <si>
    <t>- Background Gonadotropinâ€releasing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IÂ² = 0%; 5 studies, 381 women; lowâ€certainty evidence). For the same comparison, there was evidence that the long protocol may improve clinical pregnancy rates when compared to the short protocol (OR 1.56, 95% CI 1.01 to 2.40; IÂ² = 23%; 8 studies, 552 women; lowâ€certainty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lowâ€certainty evidence); long luteal versus long follicular phase (OR 1.89, 95% CI 0.87 to 4.10; 1 study, 223 women; very lowâ€certainty evidence); GnRHa reducedâ€dose versus GnRHa sameâ€dose continued in the long protocol (OR 1.59, 95% CI 0.66 to 3.87; 1 study, 96 women; very lowâ€certainty evidence); GnRHa administration for two versus three weeks before stimulation (OR 0.88, 95% CI 0.37 to 2.05; 1 study, 85 women; very lowâ€certainty evidence); GnRHa continued versus discontinued after human chorionic gonadotropin (HCG) administration in the long protocol (OR 0.89, 95% CI 0.49 to 1.64; 1 study, 181 women; very lowâ€certainty evidence); and 500 Âµg dose versus 80 Âµg dose in the short protocol (OR 0.31, 95% CI 0.10 to 0.98; 1 study, 200 women; very lowâ€certainty evidence). Clinical pregnancy rates may improve with a 100 Âµg dose compared to a 25 Âµg dose in the short protocol (OR 2.30, 95% CI 1.06 to 5.00; 2 studies, 133 women; lowâ€certainty evidence). Only four of the 40 included studies reported adverse events. We are uncertain of any difference in OHSS rate in the GnRHa reducedâ€dose versus GnRHa sameâ€dose regimen in the long protocol (OR 0.47, 95% CI 0.04 to 5.35 1 study, 96 women; very lowâ€certainty evidence) or when administration of GnRHa lasted for two versus three weeks before stimulation (OR 0.93, 95% CI 0.06 to 15.37; 1 study, 85 women; very lowâ€certainty evidence). Regarding miscarriage rates, we are uncertain of any difference when the GnRHa long protocol was administered for two versus three weeks before stimulation (OR 0.93, 95% CI 0.18 to 4.87; 1 study, 85 women; very lowâ€certainty evidence) and when a 500 Âµg dose was compared with an 80 Âµg dose in the short protocol (OR 3.15, 95% CI 0.32 to 31.05; 1 study, 131 women; very lowâ€certainty evidence). No studies reported on costâ€effectiveness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costâ€effectiveness and acceptability of the different treatment protocols. Plain language summary Which hormone (GnRHa) medications work best with ovarian stimulation hormones in assisted conception cycles? Key messages â€¢ When comparing long versus short gonadotropinâ€releasing hormone agonists (GnRHa) treatment, there was little to no difference between groups for live birth and ongoing pregnancy rates, but the long treatment may result in a higher clinical pregnancy rate (where the foetus can be seen or heard). â€¢ We are uncertain if there is any difference in live birth and clinical pregnancy rates for the other comparisons studied, except for the comparison 100 Âµg dose versus 25 Âµg dose in a short treatment, which showed that clinical pregnancy may improve with a 100 Âµg dose. â€¢ Further research is needed to look at the costâ€effectiveness and acceptability of the different treatments. What did we want to find out? Gonadotropinâ€releasing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Âµg dose versus 25 Âµg dose in a short treatment, which showed that clinical pregnancy may improve with a 100 Âµg dose. We are uncertain if there is any difference in OHSS rates and pregnancy loss, which were reported by only two studies each. There was not enough evidence to reach any conclusions regarding other harmful effects. Further research is needed to look at the costâ€effectiveness and acceptability of the different treatments. What are the limitations of the evidence? We have low to very low confidence in the evidence. The main limitations in the evidence were nonâ€reporting of live birth or ongoing pregnancy in half of the studies, poor reporting of study methods, unclear findings, very few studies reporting on unwanted effects such as OHSS, and lack of data regarding other harmful events, costâ€effectiveness, and acceptability of the treatments. Only eight of the 40 included studies were conducted within the last 10 years. How upâ€toâ€date is this evidence? The evidence is current to December 2022.</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</si>
  <si>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</si>
  <si>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</si>
  <si>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Â© 2024</t>
  </si>
  <si>
    <t>Study performed in a UK site.</t>
  </si>
  <si>
    <t>J6243</t>
  </si>
  <si>
    <t>Clinical Pharmacist and Clinical Nurse Specialist led medicine optimisation and medication adherence via eArly identifiCation advanCed gEriatric aSsesSment (ACCESS) tool in Senior Adult Oncology Programme (SAOP)</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</si>
  <si>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Â© The Author(s), under exclusive licence to Springer Nature Switzerland AG 2025.</t>
  </si>
  <si>
    <t>Study conducted at RM NHS Foundation Trust, London, UK.</t>
  </si>
  <si>
    <t>J6244</t>
  </si>
  <si>
    <t>Pain management training for people with persistent pain and their informal carers (JOINT SUPPORT): Multicentre randomised controlled feasibility trial with embedded qualitative study in English musculoskeletal services</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</si>
  <si>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Â© Author(s) (or their employer(s)) 2025.</t>
  </si>
  <si>
    <t>Study conducted in NHS settings in England</t>
  </si>
  <si>
    <t>J6245</t>
  </si>
  <si>
    <t>A qualitative analysis of Allied Health Professions views on the benefits, challenges and evaluation of digital health interventions</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</si>
  <si>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Â© 2025</t>
  </si>
  <si>
    <t>Study conducted in the UK with NHS reference</t>
  </si>
  <si>
    <t>J6246</t>
  </si>
  <si>
    <t>Stakeholdersâ€™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</si>
  <si>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allâ€cause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KrogsbÃ¸ll and colleagues. Search methods We searched MEDLINE (Ovid) and CINAHL (EBSCO) and conducted citationâ€based searches (e.g. reference lists, effectiveness reviewâ€associated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GRADEâ€CERQual (Confidence in the Evidence from Reviews of Qualitative Research) approach to assess our confidence in each finding. Main results One hundred and fortyâ€six studies met the inclusion criteria, and we sampled 36 of these for our analysis. While most of the studies were set in highâ€income countries in Europe, nearly a third (11/36) were set in culturally diverse middleâ€income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clientâ€™s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symptomâ€based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clientsâ€™ decisionâ€making.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deâ€implementation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â€¢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â€¢ We found less information about healthcare funders and providers, so we do not fully understand what drives their decisions about funding or delivering general health checks. â€¢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policyâ€makers, healthcare managers and providers, and clients to fund, provide and attend general health checks. What did we do? We searched for studies where policyâ€makers, healthcare managers, healthcare providers and clients shared their views and experiences. We evaluated the quality of each study individually and summarised the findings. What did we find? We found 146 studies, and selected 36 of them to analyse. Most studies took place in highâ€income European countries, with a third from middleâ€income countries in Eastern Europe, South and Southeast Asia, and Latin America. Most clients, healthcare providers and policyâ€makers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â€¢ Clientsâ€™ perceptions of the disease, prevention and risk affect uptake. â€¢ Both healthcare providers and clients believe that people who provide general health checks need to be skilled and understand the clients' culture. 2. We have moderate confidence in the evidence of the following findings. â€¢ Many clients see general health checks as a way to get an objective health assessment, reassurance from health professionals and motivation for healthier living. â€¢ Clients who fear bad results or who only seek care when they have symptoms are less likely to attend. â€¢ Some clients feel a duty to their families or society to attend health checks, believing it helps maintain or improve their health. â€¢ Interaction with healthcare providers can either encourage or discourage attendance. â€¢ Availability, accessibility and clear information are crucial in clients' decisionâ€making process. â€¢ Factors like time, money and health insurance affect whether people attend. â€¢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â€¢ Healthcare funders, managers, providers and clients have different views on how beneficial general health checks actually are. â€¢ Healthcare providers and clients feel that raising awareness of general health checks, including their benefits and risks, requires clear information, effective invitation systems and educational efforts. 3. We have low or very low confidence in the following findings. â€¢ Clients prefer a broad range of tests, while healthcare providers favour more tailored testing, based on the person's needs. â€¢ For clients, clear explanations of test results and recommendations are important. Everyone agrees that followâ€up care is essential to make general health checks meaningful. â€¢ Clients report that cultural background, social norms, religion, gender and language shape how people perceive prevention and disease, which influences their decision to attend general health checks. â€¢ Policyâ€makers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upâ€toâ€date is this evidence? We searched for studies in January 2022 and August 2022. The studies that we analysed were published between 1995 and 2021.</t>
  </si>
  <si>
    <t>J6247</t>
  </si>
  <si>
    <t>Exploring the potential cost-effectiveness and societal burden implications of screening for fracture risk in a UK general radiography setting</t>
  </si>
  <si>
    <t>Study is applied to a UK setting.</t>
  </si>
  <si>
    <t>J6248</t>
  </si>
  <si>
    <t>On the Cusp-A Questionnaire-Based Assessment of Implementing PIVOTAL Into UK Practice</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</si>
  <si>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Â© 2025 Wiley Periodicals LLC.</t>
  </si>
  <si>
    <t>Study conducted in UK and applied to NHS setting</t>
  </si>
  <si>
    <t>J6249</t>
  </si>
  <si>
    <t>Economic Burden and Cost-Effectiveness of Management of Non-Infectious Uveitis: A Systematic Review</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</si>
  <si>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Â© 2025 Taylor &amp; Francis Group, LLC.</t>
  </si>
  <si>
    <t>Mentions UK as a setting for evidence.</t>
  </si>
  <si>
    <t>J6250</t>
  </si>
  <si>
    <t>Multimorbidity clusters and their associations with health-related quality of life in two UK cohorts</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</si>
  <si>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Â© The Author(s) 2024.</t>
  </si>
  <si>
    <t>Study conducted in UK cohorts</t>
  </si>
  <si>
    <t>J6251</t>
  </si>
  <si>
    <t>Lurasidone versus typical antipsychotics for schizophrenia</t>
  </si>
  <si>
    <t>- Background Antipsychotic drugs are the mainstay of treatment for schizophrenia. Even though several novel secondâ€generation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riskâ€toâ€benefit ratio of the 'latest' secondâ€generation antipsychotics compared to the typical agents of 'established stature'. Objectives To systematically review the efficacy and safety of lurasidone versus typical antipsychotics for adults with schizophrenia or schizophreniaâ€related disorders. Search methods We searched the Cochrane Schizophrenia Groupâ€™s Studyâ€Based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followâ€up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lowâ€certainty evidence); and the Positive and Negative Syndrome Scale (PANSS) (MD 6.68, 95% CI 2.45 to 10.91; 1 RCT, 281 participants; very lowâ€certainty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largeâ€scale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â€¢ We compared lurasidone, a newer antipsychotic, with traditional antipsychotics like haloperidol to treat schizophrenia. â€¢ Based on two studies, we are uncertain w ether lurasidone improves schizophrenia symptoms or causes fewer unwanted effects compared to traditional medications. â€¢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â€¢ Is more effective than traditional antipsychotic medications, such as haloperidol, in reducing schizophrenia symptoms.â€¨â€¢ Causes fewer unwanted effects.â€¨â€¢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â€¢ Symptoms of schizophrenia: It is unclear whether lurasidone improves symptoms as measured by common scales (e.g., the Brief Psychiatric Rating Scale). One study suggested a slight improvement, but we are very uncertain about these results.â€¨â€¢ Unwanted effects: It is unclear whether lurasidone causes fewer or more unwanted effects compared to haloperidol.â€¨â€¢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</si>
  <si>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Study conducted in the US, no UK setting mentioned</t>
  </si>
  <si>
    <t>J6252</t>
  </si>
  <si>
    <t>Design and Rationale of 'A pragmatic approach to the investigation of stable chest pain: a UK, multi-centre, randomised trial to assess patient outcomes, quality of life and cost effectiveness (CE-MARC 3)'</t>
  </si>
  <si>
    <t>&lt;b&gt;RATIONALE&lt;/b&gt;: The optimal non-invasive diagnostic imaging strategy for patients with suspected coronary artery disease (CAD) is widely debated. Computed Tomography Coronary Angiography (CTCA) and functional imaging are both guideline-recommended, although comparative effectiveness in patients with intermediate-high pre-test likelihood (PTL) is limited. Primary Hypothesis: We aim to establish if a personalised investigation strategy compared to CTCA first-line for allcomers, leads to improved patient outcomes._x000D_
&lt;b&gt;DESIGN&lt;/b&gt;: In a multi-centre, randomised trial, 4,000 patients newly referred for the investigation of suspected cardiac chest pain will be recruited and randomised (1:1) to either personalised care (first-line CTCA or functional imaging based on PTL) or CTCA first-line for allcomers. The primary endpoint is time to a composite of cardiovascular death, myocardial infarction, or unobstructed coronary arteries on invasive angiography. Follow up will occur at 6 and 12 months and then annually for up to four years for symptoms, quality of life, and guideline directed medical therapy usage. A cost-effectiveness analysis will be performed capturing impacts on health, measured in quality adjusted life years (QALYs) using the EQ-5D-5L, and costs (including investigations, procedures, procedural complications, medical treatment costs and any future hospital admissions) calculated. It will be possible for the whole trial pathway to be conducted remotely with the option to perform non-face-to-face consent, randomisation, and follow-up data collection including health-related quality of life._x000D_
&lt;b&gt;SITES&lt;/b&gt;: 20 UK sites ENROLMENT: First site opened April 2022 and recruitment is due to complete by July 2025, with an average recruitment of 135 patients a month to date._x000D_
&lt;b&gt;CURRENT STATUS&lt;/b&gt;: 3,407 patients recruited and randomised by the end of February 2025 CONCLUSION: This trial will address whether, in patients with suspected cardiac chest pain, a strategy of personalised investigation according to pre-test likelihood (PTL), compared to CTCA for allcomers, leads to improved patient outcomes, quality of life and cost-effectiveness.</t>
  </si>
  <si>
    <t>Study conducted in the UK with UK sites.</t>
  </si>
  <si>
    <t>J6253</t>
  </si>
  <si>
    <t>Abdominal drainage to prevent intraperitoneal abscess after appendectomy for complicated appendicitis</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</si>
  <si>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quasiâ€RCTs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quasiâ€RCTs. Synthesis methods We synthesised the results for each outcome in a metaâ€analysis using the randomâ€effects model, except for the Peto odds ratio, which only has a fixedâ€effect model. We planned to use the Synthesis Without Metaâ€analysis (SWiM) approach to report studies when it was not possible to undertake a metaâ€analysis of effect estimates. We used GRADE to assess the certainty of evidence for each outcome. Included studies We included eight studies (five RCTs and three quasiâ€RCTs) with a total of 739 paediatric and adult participants, of which 370 participants were randomised to the drainage group and 369 participants to the noâ€drainage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30â€day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lowâ€certainty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noâ€drainage group. There were seven deaths in the drainage group (N = 291) compared with one in the noâ€drainage group (N = 290); abdominal drainage probably increases the risk of 30â€day mortality (Peto odds ratio 4.88, 95% CI 1.18 to 20.09; 6 studies, 581 participants; moderateâ€certainty evidence) in paediatric and adult partic pants undergoing open appendectomy for complicated appendicitis. Abdominal drainage may increase hospital stay by 1.58 days (95% CI 0.86 to 2.31; 5 studies, 516 participants; very lowâ€certainty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CSTB2022NSCQâ€MSX0058, cstc2021jcyjâ€msxmX0294), Medical Research Projects of Chongqing (Grant No. 2018MSXM132, 2023ZDXM003, 2024jstg028), and the Kuanren Talents Program of the Second Affiliated Hospital of Chongqing Medical University. Registration Registration: not available. â€¨Protocol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â€¢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â€¢ Use of drain after open removal of the appendix probably increases the death rate in children and adults with complicated appendicitis. â€¢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â€¢ abdominal abscess rate; â€¢ wound infection rate; â€¢ overall complication rate; â€¢ death rate; â€¢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â€¢ abdominal abscess rate (9 more abdominal abscesses per 1000 participants); â€¢ wound infection rate; or â€¢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upâ€toâ€date is this evidence? This review updates our previous review. The evidence is current to October 2023.</t>
  </si>
  <si>
    <t>Study conducted in North America, Asia, and Africa.</t>
  </si>
  <si>
    <t>J6254</t>
  </si>
  <si>
    <t>Financial Rewards for Smoking Cessation during Pregnancy and Birth Weight: A Meta-Analysis</t>
  </si>
  <si>
    <t>Importance  Offering pregnant women financial rewards to stop smoking is associated with a more than 2-fold increase in smoking cessation and is cost-effective; however, it is possible that the association is the result of gaming of the outcome measure (eg, not smoking for 24 hours before outcome measurement using a carbon monoxide breath test). Birth weight is an outcome measure that is independent of the rewards process.</t>
  </si>
  <si>
    <t>J6255</t>
  </si>
  <si>
    <t>Impact and effect of imaging referral guidelines on patients and radiology services: a systematic review</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</si>
  <si>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Â© The Author(s) 2024.</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</si>
  <si>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</si>
  <si>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</si>
  <si>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Â© 2024 The Author(s). Movement Disorders Clinical Practice published by Wiley Periodicals LLC on behalf of International Parkinson and Movement Disorder Society.</t>
  </si>
  <si>
    <t>Study uses UK primary care database.</t>
  </si>
  <si>
    <t>J6257</t>
  </si>
  <si>
    <t>Interventions to reduce nonâ€prescription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</si>
  <si>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nonâ€prescription antimicrobial sales in the community setting. Objectives To assess the effects of interventions for reducing nonâ€prescription antimicrobial sales by pharmacists and nonâ€pharmacists in community pharmacies, drugstores, and other medicine outlets. To assess whether the effects of interventions differ according to types of interventions (single or multicomponent), community pharmacy personnel (pharmacists or nonâ€pharmacists), and countries (low to lowerâ€middleâ€income and upperâ€middle to high income). Search methods We searched five databases, including CENTRAL, MEDLINE, and Embase, and two trial registers to 26 September 2022. We also conducted reference checking and citation searches. Selection criteria We included randomized trials, clusterâ€randomized trials, and quasiâ€randomized trials evaluating interventions targeted at pharmacists and nonâ€pharmacists in community pharmacies, drugstores, and other medicine outlets. Our primary outcomes were nonâ€prescription antimicrobial sales, symptomatic or asymptomatic infections caused by antimicrobialâ€resistant pathogens among pharmacy clients or community residents, and adverse events associated with nonâ€prescription antimicrobial drug use in pharmacy clients. Our secondary outcomes were history taking and provision of advice to pharmacy clients, and knowledge of pharmacists and nonâ€pharmacists.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nonâ€pharmacists. One study conducted in Scotland was a fourâ€arm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peerâ€monitoring) with a control of no intervention. Only nonâ€prescription antimicrobial sales, history taking and provision of advice to pharmacy clients, and knowledge of pharmacists and nonâ€pharmacists were assessed in the included studies; no study assessed other outcomes. We judged the overall risk of bias for nonâ€prescription antimicrobial sales to be high risk and for the other two outcomes to be some concerns. One study conducted in Scotland assessed singleâ€component interventions (in two intervention arms) versus a control of written guidelines, and reported one primary outcome and one secondary outcome. Nonâ€prescription antimicrobial sales: the study reported the sale or nonâ€sale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nonâ€pharmacists: the study reported knowledge scores at baseline and followâ€up, but did not compare the scores between t o singleâ€component intervention arms and the control arm at both time points. Four studies assessed multicomponent interventions versus a control of written guidelines or no intervention, and reported one primary outcome and two secondary outcomes. Nonâ€prescription antimicrobial sales: two studies conducted in Uganda, Thailand, and Vietnam involving 337 randomized community pharmacies and drugstores reported the proportion of nonâ€prescription antimicrobial sales to the total number of requests using a simulated client method. Based on vote counting, both studies favored the intervention, that is multicomponent interventions reduced the sales of nonâ€prescription antimicrobial drugs by pharmacists and nonâ€pharmacists. The information in the other two studies was inadequate to address this primary outcome. One study in Portugal reported that total antibiotic consumption at the municipal level (comprising both prescribed and nonâ€prescribed antibiotic sales) was reduced after a multicomponent intervention. The study conducted in Scotland assessed a multicomponent intervention (in one intervention arm) and reported the sale or nonâ€sale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nonâ€pharmacists in the intervention groups, while Uganda reported a paradoxical decline. Knowledge of pharmacists and nonâ€pharmacists: the study conducted in Scotland reported knowledge scores at baseline and followâ€up, but did not compare the scores between the multicomponent intervention arm and control arm at both time points. Authors' conclusions No firm conclusions can be drawn about the effects of singleâ€component interventions due to limited evidence. Multicomponent interventions may not reduce the sales of nonâ€prescription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â€¢ There is no clear evidence that the singleâ€component interventions targeted at pharmacists and nonâ€pharmacists in community pharmacies and drugstores are effective. â€¢ When multicomponent interventions are used, the sale of antimicrobial drugs without a prescription may not be reduced, but we are very uncertain about the results. â€¢ Betterâ€quality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doctorâ€™s prescription, but some pharmacists and nonâ€pharmacists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peerâ€monitoring for reducing the sales of antimicrobial drugs without a prescription by pharmacists and nonâ€pharmacists.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nonâ€pharmacists, and peerâ€monitoring on antimicrobial drug sales. When pharmacists and nonâ€pharmacists in community pharmacies and drugstores received more than one intervention component, the number of sales of antimicrobial drugs without a prescription may not be reduced, but we are very uncertain about the results. No studies measured drugâ€resistant infections or unwanted effects of antimicrobial drugs in pharmacy users. Further studies on this topic are needed, particularly looking at the effects of singleâ€component interventions. How upâ€toâ€date is this review? The evidence is current to September 2022.</t>
  </si>
  <si>
    <t>Includes a study conducted in Scotland</t>
  </si>
  <si>
    <t>J6258</t>
  </si>
  <si>
    <t>Differences in the effectiveness of individualâ€level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</si>
  <si>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individualâ€level smoking cessation interventions. It is not known whether any intervention performs differently across socioeconomicallyâ€diverse populations and contexts. Objectives To assess whether the effects of individualâ€level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individualâ€level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individualâ€level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followâ€up (â‰¥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followâ€up (â‰¥ six months). Where possible, we calculated ratios of odds ratios (ROR) with 95% confidence intervals (CIs) for each study, comparing lower to higher SES. We pooled RORs by intervention type in randomâ€effects metaâ€analyses, using the generic inverseâ€variance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highâ€income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lowâ€certainty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singleâ€form nicotine replacement therapy on relative quit rates by SES. No studies on varenicline versus control were included. Behavioural interventions We found lowâ€certainty evidence of lower quit rates in lower compared to higher SES groups for printâ€based selfâ€help (ROR 0.85, 95% CI 0.52 to 1.38; 3 studies, 4440 participants) and textâ€messaging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lowâ€certainty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lowâ€certainty evidence of no difference in quit rates by SES for faceâ€toâ€face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lowâ€certainty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individualâ€level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metaâ€analysis,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peopleâ€™s socioeconomic background? Key messages â€¢ We have little or no confidence in the evidence for all treatments. This means there is no clear evidence to support using different stopâ€smoking interventions for people from lower versus higher socioeconomic groups, or that any one intervention would have an effect on health inequalities. However, this conclusion may change as more research becomes available. â€¢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smokingâ€related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Seventyâ€three studies were conducted in highâ€income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printâ€based selfâ€help materials, textâ€messaging, and financial incentives to stop smoking suggested lower quit rates in lower socioeconomic groups compared to higher groups. This suggests that these interventions have a possibly negative impact on health equality, compared to control. Evidence on faceâ€toâ€face counselling suggested no difference between socioeconomic groups, while telephone counselling and internetâ€based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</si>
  <si>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J6259</t>
  </si>
  <si>
    <t>Using routine primary care data in research: (in)efficient case studies and perspectives from the Asthma UK Centre for Applied Research</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</si>
  <si>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Â© Author(s) (or their employer(s)) 2025. Re-use permitted under CC BY-NC. No commercial re-use. See rights and permissions. Published by BMJ Group.</t>
  </si>
  <si>
    <t>Study conducted by Asthma UK Centre for Applied Research, references NHS.</t>
  </si>
  <si>
    <t>J6260</t>
  </si>
  <si>
    <t>Patient screening and assessment for home dialysis therapies: A scoping review</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</si>
  <si>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Â© The Author(s) 2024.</t>
  </si>
  <si>
    <t>J6261</t>
  </si>
  <si>
    <t>Physical rehabilitation approaches for the recovery of function and mobility following stroke</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</si>
  <si>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coâ€produce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preâ€defined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metaâ€analyses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lowâ€certainty evidence) and motor function (SMD 1.01, 95% CI 0.80 to 1.22; 50 studies, 5669 participants; lowâ€certainty evidence). There was evidence of longâ€term benefits for these outcomes. Physical rehabilitation may improve balance (MD 4.54, 95% CI 1.36 to 7.72; 9 studies, 452 participants; lowâ€certainty evidence) and likely improves gait velocity (SMD 0.23, 95% CI 0.05 to 0.42; 18 studies, 1131 participants; moderateâ€certainty evidence), but with no evidence of longâ€term benefits. Is physical rehabilitation more effective than attention control? The evidence is very uncertain about the effects of physical rehabilitation, as compared to attention control, on IADL (SMD 0.91, 95% CI 0.06 to 1.75; 2 studies, 106 participants), motor function (SMD 0.13, 95% CI â€0.13 to 0.38; 5 studies, 237 participants), and balance (MD 6.61, 95% CI â€0.45 to 13.66; 4 studies, 240 participants). Physical rehabilitation likely improves gait speed when compared to attention control (SMD 0.34, 95% CI 0.14 to 0.54; 7 studies, 405 participants; moderateâ€certainty evidence). Does additional physical rehabilitation improve outcomes? Additional physical rehabilitation may improve IADL (SMD 1.26, 95% CI 0.82 to 1.71; 21 studies, 1972 participants; lowâ€certainty evidence) and motor function (SMD 0.69, 95% CI 0.46 to 0.92; 22 studies, 1965 participants; lowâ€certainty evidence). Very few studies assessed these outcomes at longâ€term followâ€up. Additional physical rehabilitation may improve balance (MD 5.74, 95% CI 3.78 to 7.71; 15 studies, 795 participants; lowâ€certainty evidence) and gait velocity (SMD 0.59, 95% CI 0.26 to 0.91; 19 studies, 1004 participants; lowâ€certainty evidence). Very few studies assessed these outcomes at longâ€term followâ€up. Is any one approach to physical rehabilitation more effective than any other approach? Compared to other approaches, those that focus on functional task training may improve IADL (SMD 0.58, 95% CI 0.29 to 0.87; 22 studies, 1535 participants; lowâ€certainty evidence) and motor function (SMD 0.72, 95% CI 0.21 to 1.22; 20 studies, 1671 participants; very lowâ€certainty evidence) but the evidence in the latter is very uncertain. The benefit was sustained longâ€term. The evidence is very uncertain about the effect of functional task training on balance (MD 2.16, 95% CI â€0.24 to 4.55) and gait velocity (SMD 0.28, 95% CI â€0.01 to 0.56). Compared to other approaches, neurophysiological approaches may be less effective than other approaches in improving IADL (SMD â€0.34, 95% CI â€0.63 to â€0.06; 14 studies, 737 participants; lowâ€certainty evidence), and there may be no difference in improving motor function (SMD â€0.60, 95% CI â€1.32 to 0.12; 13 studies, 663 participants; lowâ€certainty evidence), balance (MD â€0.60, 95% CI â€5.90 to 6.03; 9 studies, 292 participants; lowâ€certainty evidence), and gait velocity (SMD â€0.17, 95% CI â€0.62 to 0.27; 16 studies, 630 participants; very lowâ€certainty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decisionâ€making. Plain language summary How effective are different physical rehabilitation approaches in the recovery of function, balance, and walking after stroke? Key messages For people who have had a stroke: â€ Physical rehabilitation may improve daily activities, moving legs, balance, and walking, when compared to no physical rehabilitation. There may be greater benefits when more than 2.5 hours/week of physical rehabilitation is delivered. â€ Extra physical rehabilitation, given in addition to 'usual' physical rehabilitation, may also improve outcomes. The greater the amount of extra physical rehabilitation, the greater the benefit may be. â€ Physical rehabilitation focussed on functional task training (the active practice of realâ€life tasks with the aim of acquiring â€ or reacquiring â€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â€˜Bobathâ€™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â€ Are physical rehabilitation approaches effective in the recovery of function and mobility in people with stroke? â€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therapistâ€delivered,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inâ€patient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Fiftyâ€six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Ninetyâ€two studies compared different physical rehabilitation approaches. There were many variations in the types and amount of physical rehabilitation, and the types of people (e.g. different lengths of time postâ€stroke).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longâ€term followâ€up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upâ€toâ€date is this evidence? The evidence is upâ€toâ€date to November 2022. It is unlikely that any studies published since November 2022 would alter our conclusions.</t>
  </si>
  <si>
    <t>J6262</t>
  </si>
  <si>
    <t>A quality improvement project to re-design the Fibromyalgia Living Well Programme in Musculoskeletal Physiotherapy Services at Solent NHS Trust</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</si>
  <si>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Â© 2025"</t>
  </si>
  <si>
    <t>Study conducted at Solent NHS Trust, a UK setting.</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</si>
  <si>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</si>
  <si>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</si>
  <si>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Â© Author(s) (or their employer(s)) 2025. Re-use permitted under CC BY. Published by BMJ Group.</t>
  </si>
  <si>
    <t>Most studies enrolled children in the UK.</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</si>
  <si>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</si>
  <si>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</si>
  <si>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Â© 2024"</t>
  </si>
  <si>
    <t>Study conducted in UK setting with NHS focus</t>
  </si>
  <si>
    <t>J6265</t>
  </si>
  <si>
    <t>The Cost Effectiveness of Elective Surgical Procedures with Longer NHS Waiting Lists: A Targeted Review</t>
  </si>
  <si>
    <t>Objectives</t>
  </si>
  <si>
    <t>Mentions NHS, indicating a UK setting.</t>
  </si>
  <si>
    <t>J6266</t>
  </si>
  <si>
    <t>Impact Assessment of Covid19 pandemic on operational aspect of national tuberculosis elimination program in Bhavnagar district</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</si>
  <si>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Â© 2024</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</si>
  <si>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</si>
  <si>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</si>
  <si>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</si>
  <si>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Study conducted at NHS sites in England and Wales.</t>
  </si>
  <si>
    <t>J6268</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</si>
  <si>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</si>
  <si>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Â© 2025 Elsevier Ltd</t>
  </si>
  <si>
    <t>Study conducted in the UK with NHS perspective.</t>
  </si>
  <si>
    <t>J6269</t>
  </si>
  <si>
    <t>Naloxone Distribution Models in the United States: A Scoping Review</t>
  </si>
  <si>
    <t>&lt;b&gt;BACKGROUND&lt;/b&gt;: Increasing naloxone distribution is a high priority means to mitigating opioid overdose rates in the United States. Since a variety of naloxone distribution models exist, with differences in infrastructure and funding between states and health-systems, it is important to review their differences and understand the strengths and barriers to widespread implementation of each model._x000D_
&lt;b&gt;METHODS&lt;/b&gt;: The following 4 databases were searched for articles reporting on naloxone distribution models: (1) PubMed/Medline (National Library of Medicine), (2) Embase (Elsevier), (3) Scopus (Elsevier), and (4) the Cochrane library. Reports from all years written in English that discussed naloxone distribution models in the United States were included, as were all study designs._x000D_
&lt;b&gt;RESULTS&lt;/b&gt;: Of 5825 articles initially identified, 173 were selected for full text review. Of these, 49 met full criteria and were included for data extraction and analysis. Most distribution models occurred in community-based opioid education and naloxone distribution programs and in community pharmacies via a standing order/statewide protocol. Most programs reported strengths related to feasibility, but frequently reported cost as a limitation. Fewer studies described distribution models in ambulatory care or hospital settings, though these studies also highlighted strengths related to feasibility, particularly with support from working partners, and when utilizing an interprofessional care approach. Few studies reported health/economic outcomes data associated with naloxone distribution, such as changes in the number of patient/layperson access, the number of opioid overdose reversals, or cost-savings._x000D_
&lt;b&gt;CONCLUSIONS&lt;/b&gt;: This review outlines the many ways in which naloxone is distributed in the United States and emphasizes a need for improved outcomes data collecting/reporting in the various settings where naloxone is distributed. This would allow for future studies to evaluate which distribution model factors are associated with improvements in health outcomes, such as increased layperson access, and lower opioid overdose/mortality rates.</t>
  </si>
  <si>
    <t>Study focused on naloxone distribution in the United States.</t>
  </si>
  <si>
    <t>J6270</t>
  </si>
  <si>
    <t>Economic Optimization Through Adherence to Best Practice Guidelines: A Decision Analysis of Traumatic Spinal Cord Injury Care Pathways in Australia</t>
  </si>
  <si>
    <t>Traumatic spinal cord injuries (TSCIs) have significant health, economic, and social effects on individuals, families, and society. In this economic analysis modeling study, we used record-linked administrative patient data from New South Wales, Australia, to construct a decision tree model to compare the economic cost of acute care for patients with TSCI under current clinical pathways with an optimal care (consensus guidelines-informed) modeled pathway. The optimal care pathway included direct transfer to a specialist SCI Unit (SCIU) or indirect transfer to SCIU within 24 h of injury, surgical intervention within 12 h of injury, and subsequent inpatient rehabilitation. Propensity score matching with inverse probability of treatment weighting (IPTW) was used to reduce potential confounding from baseline differences in patient characteristics. A generalized linear model regression with gamma distribution and log link, weighted with IPTW scores, was used for cost and length of stay (LoS) estimations to reduce any residual bias. Sensitivity analyses quantified the sensitivity of the findings to key model parameters. From the healthcare payer perspective, our economic analysis found acute TSCI care at an SCIU was more expensive, with delayed patient transfer pathways, surgery, and timing of surgery driving higher per-patient costs ($14,322 at specialist centers). Probabilistic sensitivity analysis (PSA) using 10,000 Monte Carlo iterations showed the modeled optimal pathway as the expensive option in the majority (86%) of stimulations. However, the modeled direct transfer care pathway demonstrated economic improvements compared to current care pathways, despite a higher upfront cost ($25,428 per patient), the modeled pathway reduced the episode LoS by 5 days (23 days vs. 28 days) on average, generating system-level savings of $20,628 per patient. In PSA, increasing the proportion of patients directly transferred to SCIU by 25%, the optimized pathway was preferred in 28.3% of the simulations. Furthermore, adopting this pathway lowered the incremental per patient cost to $17,157 while preserving a 5-day LoS benefit compared to current pathways (22 days vs. 27 days), which could generate potential savings of $3,471 per patient. Our findings show that guideline-based acute care management is initially resource-intensive but efficient in terms of patient LoS, with a higher proportion of direct transfers resulting in cost savings of $3,471 per patient, which represent system-level benefits from adopting the modeled pathway, rather than episode-level savings. Following consensus guidelines for acute care can provide an economically sustainable approach to resource-intensive patient needs while improving outcomes, as demonstrated in previous studies. In summary, while more intensive, adhering to clinical guidelines of direct transfer to SCIU demonstrates value for patients and health systems. Standardization to optimize time to surgery can achieve improved outcomes through earlier access to rehabilitation and substantial care efficiencies. These findings highlight the economic case for adherence to best practice care guidelines at the healthcare system level to inform future healthcare planning for patients with TSCI. Copyright 2025, Mary Ann Liebert, Inc., publishers.</t>
  </si>
  <si>
    <t>Study conducted in Australia with no UK references</t>
  </si>
  <si>
    <t>J6271</t>
  </si>
  <si>
    <t>The structural and organizational aspects of human papillomavirus vaccine affecting immunization coverage in Europe: a systematic review</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</si>
  <si>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Â© 2025. The Author(s).</t>
  </si>
  <si>
    <t>Study includes England and the UK as settings.</t>
  </si>
  <si>
    <t>J6272</t>
  </si>
  <si>
    <t>Postâ€incident debriefing for people with schizophrenia after coercive measures</t>
  </si>
  <si>
    <t>- Background Schizophrenia and schizophreniaâ€type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postâ€incident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postâ€incident debriefing is recommended, the limited evidence supporting its efficacy and concerns about its impact on psychological wellâ€being prompt a comprehensive analysis of existing literature. Objectives To investigate the effects of postâ€incident debriefing after coercive measures for people with schizophrenia or schizophreniaâ€type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postâ€incident debriefing after coercive measures in adult psychiatric care with participants diagnosed with schizophrenia or schizophreniaâ€type psychosis, encompassing various clinical states and stages. We considered studies if the postâ€incident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postâ€coercion review that was conducted until the discharge of the participant. For the primary outcome, we found that there may be an increased risk of being secluded again for those receiving postâ€incident debriefing compared to treatment as usual, but the evidence is very uncertain (RR 1.32, 95% CI 0.74 to 2.33; 1 study, 109 participants; very lowâ€certainty evidence). No evidence was found that postâ€incident debriefing had an effect in reducing peritraumatic distress (MD â€1.62, 95% CI â€7.47 to 4.23; 1 study, 82 participants; very lowâ€certainty evidence) or increasing satisfaction with care (perceived coercion: MD â€0.37, 95% CI â€1.59 to 0.85; 1 study, 109 participants; coercion experience: MD â€1.61, 95% CI â€13.36 to 10.14; 1 study, 109 participants; very lowâ€certainty evidence) compared to treatment as usual. The evidence is very uncertain about the effect of postâ€incident debriefing on these outcomes. No usable data were available for change in patient behaviour or adverse effects. Authors' conclusions Considering the available evidence, it is not possible to arrive at definitive conclusions that postâ€incident debriefing after coercive measures is effective for people with schizophrenia or schizophreniaâ€type psychosis. F rther highâ€quality studies are warranted to evaluate the effects of postâ€incident debriefing in psychiatric inpatient care. Plain language summary Is postâ€incident debriefing after coercive measures for people with schizophrenia effective? Key messages â€¢ Due to a lack of evidence, the benefits of postâ€incident debriefing after coercive measures (seclusion: locking someone in a separate room, or restraint: preventing them from moving) for people with schizophrenia or schizophreniaâ€type psychosis are unclear. â€¢ Future research is needed into the effects of postâ€incident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Postâ€incident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Postâ€incident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postâ€incident debriefing after coercive measures for people with schizophrenia or schizophreniaâ€type psychosis. What did we do? We carried out a comprehensive search in specialised databases to identify studies in which people with schizophrenia were randomly assigned to two or more treatment groups to assess postâ€incident debriefing in adult psychiatric care. What did we find? We found one relevant study with data for 109 people. This study involved standardised postâ€incident debriefing until the person left hospital. People who received postâ€incident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postâ€incident debriefing is common practice in clinical settings, the evidence is currently not available to support it in current forms. The findings of this review therefore suggest caution in its use. The review highlights the need for further highâ€quality studies to thoroughly assess the effects of postâ€incident debriefing in psychiatric inpatient care. Any postâ€incidence debriefing measures should be clearly defined and described so that people know how and why to use them in daily practice. How up to date is this evidence? This evidence is current to February 2023.</t>
  </si>
  <si>
    <t>J6273</t>
  </si>
  <si>
    <t>Ankleâ€foot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</si>
  <si>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ankleâ€footâ€orthoses (AFOs). Since we are not aware of an upâ€toâ€date and complete overview of the effects of AFOs used for calf muscle weakness in slowly progressive neuromuscular disorders, we reviewed the evidence for the effectiveness of AFOs to improve walking in this patient group, in order to support clinical decisionâ€making. Objectives To review the evidence for the effects of ankleâ€foot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crossâ€over studies and quasiâ€RCTs, and nonâ€randomised studies (NRSs) that examined the effects of AFO interventions compared with shoesâ€only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metaâ€analysis where possible. We used the GRADE approach to rate the certainty of the evidence. Main results We included four randomised crossâ€over studies and six NRSs with 186 participants in total (the smallest study had 8 participants and the largest had 37). All studies were designed as selfâ€controlled studies and examined the effects of customâ€made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threeâ€week or threeâ€month followâ€up.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âˆ’0.86 J/kg/m, 95% confidence interval (CI) âˆ’1.33 to âˆ’0.39; 2 studies, 45 participants; lowâ€certainty evidence), and may increase walking speed (MD 0.19 m/s, 95% CI 0.11 to 0.27; 4 studies, 71 participants; lowâ€certainty evidence) compared to shoesâ€only walking. We found that leather AFOs may increase walking speed (MD 0.25 m/s, 95% CI 0.07 to 0.43; 1 study, 11 participants; lowâ€certainty evidence). Little or no effect on walking speed was found with polypropylene AFOs (MD 0.00 m/s, 95% CI âˆ’0.11 to 0.11; 2 studies, 25 participants; lowâ€certainty evidence) and elastic AFOs (MD 0.03 m/s, 95% CI âˆ’0.12 to 0.18; 1 study, 14 participants; lowâ€certainty evidence). Carbon AFOs may also enhance satisfaction while walking (1 study, 16 participants; lowâ€certainty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(lowâ€certainty evidence). Authors' conclusions The available evidence for ankleâ€foot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Ankleâ€foot orthoses to improve walking in people with weakness of the calf muscles due to neuromuscular disorders Key messages Ankleâ€foot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Ankleâ€foot orthoses are devices that can be provided to improve walking in people with neuromuscular disorders. There are many different types of ankleâ€foot orthoses and their effects on walking vary considerably. To help healthcare professionals and patients make informed decisions about the use of ankleâ€foot orthoses, we wanted to review the available evidence about their effects on walking. What did we do? We searched the medical literature for all relevant studies that compared walking with ankleâ€foot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ankleâ€foot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ankleâ€foot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crossâ€over design; the other six studies were not randomised. Outcomes were assessed at different time points, and most studies did not include followâ€up assessments. The ankleâ€foot orthosis types that were examined varied in their design and material. Most ankleâ€footâ€orthosis types, in particular the ankleâ€foot orthoses that were made of carbon, were customâ€made; the remainder were prefabricated. These factors reduced our confidence in the evidence. How up to date is this review? We searched for studies published up to February 2023.</t>
  </si>
  <si>
    <t>J6274</t>
  </si>
  <si>
    <t>Preâ€emptive treatment for cytomegalovirus viraemia to prevent cytomegalovirus disease in solid organ transplant recipients</t>
  </si>
  <si>
    <t>- Background Cytomegalovirus (CMV) is a significant cause of morbidity and death in solid organ transplant recipients. Preâ€emptive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preâ€emptive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quasiâ€RCTs comparing preâ€emptive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randomâ€effects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preâ€emptive treatment versus placebo or standard care, 12 looked at preâ€emptive treatment versus antiviral prophylaxis, one study investigated oral versus intravenous preâ€emptive treatment, one investigated preâ€emptive valganciclovir versus preâ€emptive ganciclovir, and one investigated letermovir 40 mg twice/day versus 80 mg once/day. Studies were conducted in Australia, Brazil, the Czech Republic, Germany, Italy, Japan, Norway, Spain, South Korea, and the USA. Organ transplant recipients included kidney, liver, heart, lung, and kidneyâ€pancreas. Thirteen studies were singleâ€centre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preâ€emptive treatment probably reduces the risk of CMV disease (7 studies, 315 participants: RR 0.29, 95% CI 0.11 to 0.80; I 2 = 54%; moderateâ€certainty evidence) but may result in little or no difference in death (any cause) (3 studies, 176 participants: RR 1.23, 95% CI 0.35 to 4.30; I 2 = 0%; lowâ€certainty evidence). Preâ€emptive treatment may result in little or no difference in CMV organ involvement, CMVâ€associated symptoms, acute rejection, graft loss, other infections or leucopenia. Compared to prophylaxis, preâ€emptive treatment may make little or no difference to the risk of developing CMV disease (11 studies, 1322 participants: RR 0.97, 95% CI 0.47 to 2.01; I 2 = 54%; lowâ€certainty evidence) and probably makes little or no difference to death (any cause) (9 studies, 1098 participants: RR 0.95, 95% CI 0.60 to 1.52; I 2 = 0%; moderateâ€certainty evidence). Preâ€emptive treatment may increase the risk of CMV infection (8 studies, 867 participants: RR 1.97, 95% CI 1.48 to 2.61; I 2 = 66%; lowâ€certainty evidence). The risk of leucopenia (7 studies, 869 participants: RR 0.57, 95% CI 0.38 to 0.87; I 2 = 33%; moderateâ€certainty evidence) and neutropenia (5 studies, 859 participants: RR 0.63, 95% CI 0.44 to 0.90; I 2 = 0% moderate certainty evidence) probably decreases w th preâ€emptive therapy. There may be little or no difference in the risks of acute rejection, graft loss, and infections other than CMV. Single studies were identified for comparisons between different preâ€emptive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Preâ€emptive treatment probably reduces the risk of CMV disease compared with placebo or standard care. There were no clear differences between preâ€emptive treatment and prophylaxis to prevent CMV disease or reduce the risk of death (any cause). The risk of CMV infection may be higher for patients receiving preâ€emptive therapy, but the risk of adverse events, such as leucopenia, is probably lower. Plain language summary Does preâ€emptive treatment with antiviral agents help to reduce the risk of cytomegalovirus disease in transplant recipients? Key messages â€¢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laboratoryâ€confirmed evidence of infection (preâ€emptive treatment). â€¢ Compared to placebo or standard care, preâ€emptive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â€¢ Compared to antiviral prophylaxis, preâ€emptive treatment probably reduces the risk of low white blood cells and probably makes little or no difference to the risk of death. However, we are less confident preâ€emptive treatment may increase the risk of CMV infection or may make little or no difference to risks of acute rejection, graft loss, or infections other than CMV. What is cytomegalovirus? â€¨Cytomegalovirus (CMV, a herpes virus related to chickenpox) is a common virus, with the majority of people being exposed by adulthood. Once a person becomes infected, the virus remains alive but usually inactive (dormant) within that personâ€™s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laboratoryâ€confirmed evidence of infection (preâ€emptive treatment). What did we want to find out? We wanted to find out if preâ€emptive treatment aimed at transplant recipients who are at risk of developing CMV disease, rather than administering universal prophylaxis, including those who are unlikely to develop CMV disease, prevents the development of CMV disease, death and adverse events. What did we do? â€¨We searched for all trials that assessed the benefits and harms of preâ€emptive treatment with antiviral agents in preventing CMV disease in solid organ transplant recipients. We compared and summarised the results of the trials and rated our confidence in the information based on factors such as trial methods and size. What did we find? â€¨We found 22 studies involving 1883 people (adults and children) who had received a kidney, liver, heart, lung, or kidneyâ€pancreas transplant. Studies were conducted in Australia, Brazil, the Czech Republic, Germany, Italy, Japan, Norway, Spain, South Korea, and the USA. The number of people enrolled ranged from 12 to 296. Studies compared preâ€emptive treatment with placebo or standard care (7 studies), preâ€emptive treatment versus antiviral prophylaxis (12), preâ€emptive oral versus intravenous ganciclovir treatment (1), preâ€emptive valganciclovir versus preâ€emptive ganciclovir (1), and two different preâ€emptive dosing strategies of letermovir (1). Compared to placebo or standard care, preâ€emptive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preâ€emptive treatment may make little or no difference to the risk of developing CMV disease and probably makes little or no difference to the risk of death. CMV infection may increase with preâ€emptive treatment, while the risk of low white blood cells probably decreases. There may be little or no difference in the risks of acute rejection, graft loss, and infections other than CMV. What are the limitations of the evidence? â€¨We are moderately confident that, compared to placebo or standard care, preâ€emptive treatment reduces the risk of CMV disease; however, we are less confident in the results for other outcomes. We are moderately confident that, compared to antiviral prophylaxis, preâ€emptive treatment probably reduces the risk of low white blood cells; however, we are less confident preâ€emptive treatment may increase the risk of CMV infection. How up to date is the evidence? The evidence is current to 17 December 2024.</t>
  </si>
  <si>
    <t>J6275</t>
  </si>
  <si>
    <t>A cost-effectiveness analysis comparing single-inhaler extrafine beclomethasone/formoterol/glycopyrronium bromide against other SITTs in adult patients with uncontrolled asthma in England</t>
  </si>
  <si>
    <t>&lt;b&gt;BACKGROUND&lt;/b&gt;: In patients with asthma uncontrolled by a medium or high-strength (MS/HS) inhaled corticosteroid (ICS) plus long-acting beta2-agonist (LABA), according to Global Initiative for Asthma (GINA) guidelines, a maintenance therapy option is the addition of a long-acting muscarinic antagonist (LAMA) via single-inhaler triple therapy (SITT). Evidence has previously been published on the cost-effectiveness of a SITT extra fine formulation of beclomethasone, formoterol and glycopyrronium bromide (BDP/FOR/GLY) vs. dual ICS/LABA combination, using data from two 52-week clinical trials (TRIMARAN and TRIGGER). However, there is limited evidence on the comparative cost-effectiveness of SITTs. The current analysis evaluated the cost-effectiveness of BDP/FOR/GLY versus other SITTs, in the UK setting._x000D_
&lt;b&gt;METHODS&lt;/b&gt;: Markov cohort state-transition model was developed to investigate the cost-effectiveness of BDP/FOR/GLY Medium Strength (MS) vs. fluticasone, umeclidinium, and vilanterol (FF/UMEC/VI) MS and, BDP/FOR/GLY High Strength vs. FF/UMEC/VI HS and vs. indacaterol acetate, glycopyrronium bromide, and mometasone (IND/GLY/MF) HS. A network meta-analysis was performed to estimate comparative efficacy of BDP/FOR/GLY against other SITTs. The model analyzed cost, quality-adjusted life-years (QALYs), and incremental cost-effectiveness ratio (ICER), net monetary benefit (NMB), and was developed from the perspective of England National Health Service (NHS) and Prescribed Specialized Services expenditure (2022 costs). Uncertainty of the inputs was estimated using one-way and probabilistic sensitivity analyses._x000D_
&lt;b&gt;RESULTS&lt;/b&gt;: BDP/FOR/GLY MS was projected to be a dominant treatment alternative against FF/UMEC/VI MS (5,121 less costly, gained 0.065 additional QALYs). Similarly, BDP/FOR/GLY HS was a dominant treatment alternative against FF/UMEC/VI HS (143, 0.003 additional QALYs) and IND/GLY/MF HS (692 less costly, gained 0.023 additional QALYs). BDP/FOR/GLY MS and HS had 77.1%, 51.3%, and 61.2% likelihoods to be cost-effective vs. FF/UMEC/VI MS, FF/UMEC/VI HS, and IND/GLY/MF HS at the defined willingness-to-pay (WTP) threshold of 20,000 per QALY gained, respectively._x000D_
&lt;b&gt;CONCLUSIONS&lt;/b&gt;: BDP/FOR/GLY MS and HS were a dominant treatment alternative compared with FF/UMEC/VI, both MS and HS, and IND/GLY/MF HS in patients with asthma uncontrolled by ICS/LABA.</t>
  </si>
  <si>
    <t>Study conducted in England and references NHS</t>
  </si>
  <si>
    <t>J6276</t>
  </si>
  <si>
    <t>Cardiovascular training for fatigue in people with cancer</t>
  </si>
  <si>
    <t>- Rationale CancerÃ¢â‚¬Ârelated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cancerÃ¢â‚¬Ârelated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faceÃ¢â‚¬ÂtoÃ¢â‚¬Âface (via video tools or in person). We excluded studies with fewer than 20 randomised participants per group and where only an abstract was available. Outcomes Our critical outcomes were: shortÃ¢â‚¬Â, mediumÃ¢â‚¬Â, longÃ¢â‚¬Âterm CRF and QoL. Important outcomes were adverse events, and shortÃ¢â‚¬Â, mediumÃ¢â‚¬Â, longÃ¢â‚¬Âterm anxiety and depression. Risk of bias We used the Cochrane RoB 1 tool to assess bias in RCTs. Synthesis methods We used standard Cochrane methodology. We synthesised results for each outcome using metaÃ¢â‚¬Âanalysis where possible (inverse variance or MantelÃ¢â‚¬ÂHaenszel; randomÃ¢â‚¬Âeffects model). We pooled data for the respective assessment periods above. We used GRADE to assess certainty of evidence for each outcome. Included studies We included 23 RCTs with 2135 participants, of whom 96.6% originated from highÃ¢â‚¬Âincome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shortÃ¢â‚¬Âterm CRF slightly (mean difference (MD) 2.85, 95% confidence interval (CI) 1.16 to 4.55, on the Functional Assessment of Cancer Therapy Ã¢â‚¬â€œ Fatigue (FACTÃ¢â‚¬ÂF), scale 0 to 52, higher values mean better outcome; minimally important difference (MID) 3; 6 studies, 593 participants) and probably results in little to no difference in shortÃ¢â‚¬Âterm QoL (MD 3.56, 95% CI 0.21 to 6.90, on the European Organisation for Research and Treatment of Cancer Quality of Life Questionnaire C30 (EORTC QLQ CÃ¢â‚¬Â30), scale 0 to 100, higher values mean better outcome, MID 10; 6 studies, 612 participants) (both moderateÃ¢â‚¬Âcertainty evidence). We are uncertain about the effects on mediumÃ¢â‚¬Âterm CRF (MD 2.67, 95% CI Ã¢Ë†â€™2.58 to 7.92, on FACTÃ¢â‚¬ÂF; MID 3; 1 study, 62 participants), longÃ¢â‚¬Âterm CRF (MD 0.41, 95% CI Ã¢Ë†â€™2.24 to 3.05, on FACTÃ¢â‚¬ÂF; MID 3; 2 studies, 230 participants), mediumÃ¢â‚¬Âterm QoL (MD 6.79, 95% CI Ã¢Ë†â€™4.39 to 17.97, on EORTC QLQ CÃ¢â‚¬Â30; MID 10; 1 study, 62 participants), and longÃ¢â‚¬Âterm QoL (MD 1.51, 95% CI Ã¢Ë†â€™3.40 to 6.42, on EORTC QLQ CÃ¢â‚¬Â30; MID 10; 2 studies, 230 participants) (all very lowÃ¢â‚¬Âcertainty evidence). For adverse events (any grade and followÃ¢â‚¬Âup), we did not perform metaÃ¢â‚¬Âanalysis due to heterogeneous definitions, reporting, and measurement (9 RCTs, 955 participants; very lowÃ¢â‚¬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shortÃ¢â‚¬Âterm CRF (MD 3.62, 95% CI 0 to 7.13, on FACTÃ¢â‚¬ÂF; MID 3; 6 studies, 497 participants), longÃ¢â‚¬Âterm CRF (MD Ã¢Ë†â€™0.80, 95% CI Ã¢Ë†â€™1.72 to 0.13, on the Fatigue Symptom Inventory (FSI), scale 1 to 10, higher values mean worse outcome; MID 1; 2 studies, 262 participants), shortÃ¢â‚¬Âterm QoL (MD 3.70, 95% CI Ã¢Ë†â€™0.14 to 7.41, on the Functional Assessment of Cancer Therapy Ã¢â‚¬â€œ General (FACTÃ¢â‚¬ÂG), scale 0 to 108, higher values mean better outcome; MID 4; 8 studies, 642 participants), longÃ¢â‚¬Âterm QoL (MD 3.10, 95% CI Ã¢Ë†â€™1.12 to 7.32, on FACTÃ¢â‚¬ÂG; MID 4; 1 study, 201 participants), and adverse events (risk ratio (RR) 2.71, 95% CI 0.58 to 12.67; 1 study, 50 participants) (all very lowÃ¢â‚¬Âcertainty evidence). There were no data for mediumÃ¢â‚¬Âterm CRF and QoL . Authors' conclusions ModerateÃ¢â‚¬Âcertainty evidence shows that cardiovascular training by people with cancer during their anticancer therapy slightly reduces shortÃ¢â‚¬Âterm CRF and results in little to no difference in shortÃ¢â‚¬Âterm QoL . We do not know whether cardiovascular training increases or decreases mediumÃ¢â‚¬Âterm CRF/QoL , and longÃ¢â‚¬Âterm CRF/QoL . There is very lowÃ¢â‚¬Âcertainty evidence (due to heterogeneous definitions, reporting and measurement) evaluating whether the training increases or decreases adverse events . In people with cancer who perform cardiovascular training after anticancer therapy, we are uncertain about the effects on shortÃ¢â‚¬Âterm CRF/QoL , longÃ¢â‚¬Âterm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cancerÃ¢â‚¬Ârelated fatigue before, during, or after anticancer therapy? Key messages Cardiovascular training during anticancer therapy probably reduces cancerÃ¢â‚¬Ârelated fatigue slightly for up to 12 weeks. The longerÃ¢â‚¬Âterm effects of cardiovascular training on cancerÃ¢â‚¬Ârelated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cancerÃ¢â‚¬Ârelated fatigue? CancerÃ¢â‚¬Ârelated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cancerÃ¢â‚¬Ârelated fatigue? CancerÃ¢â‚¬Ârelated fatigue is linked to the body's response to cytokines, which regulate how tissues and organs increase in size (called cell growth). Cancer or cancer therapy may produce proteins called proÃ¢â‚¬Âinflammatory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cancerÃ¢â‚¬Ârelated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cancerÃ¢â‚¬Ârelated fatigue or quality of life, or both. The cardiovascular training had to have at least five sessions of exercise and had to be given by faceÃ¢â‚¬ÂtoÃ¢â‚¬Âface instruction (either by video or in person). We did not consider studies with fewer than 20 people per group, or that were available in a short summary form only. What did we find? We found 23 studies with 2135 people. Most studies were conducted in highÃ¢â‚¬Âincome countries (97%; where people have easy access to goodÃ¢â‚¬Âquality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shortÃ¢â‚¬Âterm cancerÃ¢â‚¬Ârelated fatigue slightly (6 studies, 593 people); probably results in little to no difference in shortÃ¢â‚¬Âterm quality of life (6 studies, 612 people); we do not know if cardiovascular training increases or decreases mediumÃ¢â‚¬Â and longÃ¢â‚¬Âterm cancerÃ¢â‚¬Ârelated fatigue and quality of life , and any unwanted effects. Cardiovascular training after anticancer therapy versus no training: we do not know if cardiovascular training increases or decreases shortÃ¢â‚¬Â and longÃ¢â‚¬Âterm cancerÃ¢â‚¬Ârelated fatigue and quality of life , and any unwanted effects; we could not find any data for mediumÃ¢â‚¬Âterm cancerÃ¢â‚¬Ârelated fatigue and quality of life. What are the limitations of the evidence? We are moderately confident in the evidence about the effect of cardiovascular training during anticancer therapy on shortÃ¢â‚¬Âterm cancerÃ¢â‚¬Ârelated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mediumÃ¢â‚¬Âterm cancerÃ¢â‚¬Ârelated fatigue and quality of life . How up to date is this evidence? Our evidence is up to date to 16 October 2023.</t>
  </si>
  <si>
    <t>J6277</t>
  </si>
  <si>
    <t>Patient and practitioner perceptions around use of artificial intelligence within the English NHS diabetic eye screening programme</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</si>
  <si>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Â© 2024</t>
  </si>
  <si>
    <t>Study conducted within the English NHS setting.</t>
  </si>
  <si>
    <t>J6278</t>
  </si>
  <si>
    <t>Cost effectiveness of different treatment strategies with natalizumab for pregnant women with multiple sclerosis</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</si>
  <si>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Â© The Author(s) 2024.</t>
  </si>
  <si>
    <t>Study conducted from UK healthcare system's perspective.</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</si>
  <si>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</si>
  <si>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</si>
  <si>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</si>
  <si>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J6280</t>
  </si>
  <si>
    <t>Effectiveness of biomarker-guided duration of antibiotic treatment in children hospitalised with confirmed or suspected bacterial infection: the BATCH RCT</t>
  </si>
  <si>
    <t>&lt;b&gt;Background&lt;/b&gt;: Procalcitonin is a biomarker specific for bacterial infection, with a more rapid response than other commonly used biomarkers, such as C-reactive protein, but it is not routinely used in the National Health Service._x000D_
&lt;b&gt;Objective&lt;/b&gt;: To determine if using a procalcitonin-guided algorithm may safely reduce duration of antibiotic therapy compared to standard of care in hospitalised children with suspected or confirmed infection._x000D_
&lt;b&gt;Design&lt;/b&gt;: A pragmatic, multicentre, open-label, parallel two-arm, individually randomised controlled trial with internal pilot phase, qualitative study and health economic evaluations._x000D_
&lt;b&gt;Setting&lt;/b&gt;: Paediatric wards or paediatric intensive care units within children's hospitals (n = 6) and district general hospitals (n = 9) in the United Kingdom._x000D_
&lt;b&gt;Participants&lt;/b&gt;: Children aged between 72 hours and 18 years admitted to hospital and being treated with intravenous antibiotics for suspected or confirmed bacterial infection._x000D_
&lt;b&gt;Interventions&lt;/b&gt;: Procalcitonin-guided algorithm versus usual standard care alone._x000D_
&lt;b&gt;Main outcome measures&lt;/b&gt;: Coprimary outcomes were duration of intravenous antibiotic use and a composite safety measure._x000D_
&lt;b&gt;Results&lt;/b&gt;: Between 11 June 2018 and 12 October 2022, 1949 children were recruited: 977 to the procalcitonin group [427 female (43.7%), 550 male (56.3%)], and 972 to the usual care group [478 female (49.2%), 494 male (50.8%)]. Duration of intravenous antibiotics was not significantly different between the procalcitonin group (median 96.0 hours) and the usual care group (median 99.7 hours) [hazard ratio = 0.96 (0.87, 1.05)], and the procalcitonin-guided algorithm was non-inferior to usual care [risk difference = -0.81% (95% confidence interval upper bound 1.11%)]. At clinical review, a procalcitonin result was available for 81.8% of the time, which was considered as part of clinical decision-making 66.6% of the time, and the algorithm was adhered to 57.2% of the time. Incremental cost-effectiveness ratio per duration of intravenous antibiotics hour avoided from bootstrapped samples was 467.62 per intravenous antibiotic hour avoided. Cost analysis of complete cases was also higher in the procalcitonin arm for all age groups, and for children aged 5 years and over. The intervention is not cost-effective as it is more expensive with no significant improvement in intravenous antibiotic duration._x000D_
&lt;b&gt;Limitations&lt;/b&gt;: Robust antimicrobial stewardship programmes were already implemented in the lead recruiting sites, and adherence to the algorithm was poor. Clinicians may be reluctant to adhere to biomarker-guided algorithms, due to unfamiliarity with interpreting the test result._x000D_
&lt;b&gt;Conclusions&lt;/b&gt;: In children hospitalised with confirmed or suspected bacterial infection, the addition of a procalcitonin-guided algorithm to usual care is non-inferior in terms of safety, but does not reduce duration of intravenous antibiotics, and is not cost-effective. In the presence of robust antimicrobial stewardship programmes to reduce antibiotic use, a procalcitonin-guided algorithm may offer little added value._x000D_
&lt;b&gt;Future work&lt;/b&gt;: Future trials must include an implementation framework to improve trial intervention fidelity, and repeated cycles of education and training to facilitate implementation of biomarker-guided algorithms into routine clinical care._x000D_
&lt;b&gt;Trial registration&lt;/b&gt;: This trial is registered as ISRCTN11369832._x000D_
&lt;b&gt;Funding&lt;/b&gt;: This award was funded by the National Institute for Health and Care Research (NIHR) Health Technology Assessment programme (NIHR award ref: 15/188/42) and is published in full in Health Technology Assessment; Vol. 29, No. 16. See the NIHR Funding and Awards website for further award information.</t>
  </si>
  <si>
    <t>Study conducted in the United Kingdom.</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</si>
  <si>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</si>
  <si>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</si>
  <si>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Â© 2024 The Author(s)</t>
  </si>
  <si>
    <t>Study conducted in England, a UK setting.</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</si>
  <si>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</si>
  <si>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</si>
  <si>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Â© 2024 The Authors</t>
  </si>
  <si>
    <t>J6283</t>
  </si>
  <si>
    <t>Integration of social work into specialist palliative home service</t>
  </si>
  <si>
    <t>&lt;b&gt;Background&lt;/b&gt;: The specialist palliative home service (SAPV) federal framework contract for adults, to be enacted in Germany until 2028, does not legally mandate the hiring of a third professional group beyond specialist nurses and physicians, although palliative care embraces the psychosocial dimension and an interprofessional approach._x000D_
&lt;b&gt;Objectives&lt;/b&gt;: This article aims to explore the role of medical staff in integrating social work (SW) into SAPV._x000D_
&lt;b&gt;Design&lt;/b&gt;: Qualitative case study._x000D_
&lt;b&gt;Methods&lt;/b&gt;: The study utilised theoretical and qualitative quota sampling to explore barriers to integrating SW into SAPV-teams, ensuring diverse perspectives. Sequential analysis was applied to uncover collective interpretations, generating and validating interpretive hypotheses directly from the data._x000D_
&lt;b&gt;Results&lt;/b&gt;: Four physicians and four nurses from the SAPV-team based at Heidelberg University Hospital participated. The medical staff's attributions to SW significantly impact its integration into SAPV. Their perception of the SW profession determines the extent and manner of its integration into daily practices. Attributions on SW in SAPV as determined by nurses and physicians were social-medical knowledge, counselling, being a core competence in SAPV and similarities to the profession of psychologists. In the examined case, the integration was effective, and there was a desire for an increased presence of SW because there is still a lack of their working hours, and the medical staff wished for the social workers' presence during home visits._x000D_
&lt;b&gt;Conclusion&lt;/b&gt;: This study highlights that SAPV requires SW to be effective, nonetheless, not being considered in the new federal contract to allocate resources. Possible barriers against the integration of SW within the real-world clinical practice of palliative care should be further investigated in future studies by involving social workers' and healthcare managers' experiences and strategies to understand why the employment of social workers in SAPV is progressing slowly and inform strategies to enhance their integration.</t>
  </si>
  <si>
    <t>Study conducted in Germany, not UK-based</t>
  </si>
  <si>
    <t>J6284</t>
  </si>
  <si>
    <t>Gonadotropins for ovulation induction in women with polycystic ovary syndrome</t>
  </si>
  <si>
    <t>- Rationale Ovulation induction with follicleâ€stimulating hormone (FSH) is a secondâ€line treatment in women with polycystic ovary syndrome (PCOS) who do not ovulate or conceive on clomiphene citrate or letrozole, though induction protocols and types of gonadotropins used vary greatly. Objectives To compare the effectiveness and safety of gonadotropins as a secondâ€line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urinaryâ€derived gonadotropins, including urofollitropin in purified FSH (uFSH) or highly purified FSH (HPâ€FSH) form, human menopausal gonadotropin (HMG) and highly purified human menopausal gonadotropin (HPâ€HMG), or recombinant FSH (rFSH) were eligible. We included trials reporting on ovulation induction followed by intercourse or intrauterine insemination. We excluded studies that described coâ€treatment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metaâ€analysis was possible, we combined data using a fixedâ€effect model to calculate the risk ratio (RR) or mean difference. We summarised the overall certainty of evidence for the main outcomes using GRADE criteria. Included studies We included 15 studies with 2348 women. Ten trials compared rFSH with urinaryâ€derived gonadotropins (one compared rFSH with human menopausal gonadotropin (HMG), and nine compared rFSH with urinary FSH). Three trials compared HMG with purified FSH (uFSH). One trial compared HPâ€FSH with purified FSH (uFSH) and one trial compared gonadotropins with continued clomiphene citrate. Synthesis of results Recombinant FSH (rFSH) versus urinaryâ€derived gonadotropins There may be little or no difference in the birth rate between rFSH and urinaryâ€derived gonadotropins (RR 1.21, 95% confidence interval (CI) 0.83 to 1.78; 5 RCTs, 505 participants; lowâ€certainty evidence). This suggests that if the observed average live birth per woman who used urinaryâ€derived gonadotropins is 16%, the chance of live birth with rFSH is between 13% and 28%. There may be little or no difference between groups in multiple pregnancy (RR 0.86, 95% CI 0.46 to 1.61; 8 RCTs, 1368 participants; lowâ€certainty evidence), clinical pregnancy rate (RR 1.05, 95% CI 0.88 to 1.27; 8 RCTs, 1330 participants; lowâ€certainty evidence), or miscarriage rate (RR 1.20, 95% CI 0.71 to 2.04; 7 RCTs, 970 participants; lowâ€certainty evidence). We are uncertain whether rFSH reduces ectopic pregnancy (RR 2.81, 95% CI 0.12 to 67.90; 1 RCT, 151 participants; veryâ€low certainty evidence) or the incidence of OHSS (RR 1.48, 95% CI 0.82 to 2.65; 10 RCTs, 1565 participants; very lowâ€certainty evidence) when compared to urinaryâ€derived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moderateâ€certainty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lowâ€certainty evidence). Gonadotropins probably result in more clinical pregnancies than continued clomiphene citrate (RR 1.31, 95% CI 1.13 to 1.52; 1 RCT, 661 participants; moderateâ€certainty evidence), and may result in more miscarriages (RR 2.23, 95% CI 1.11 to 4.47; 1 RCT, 661 participants; lowâ€certainty evidence). We are uncertain if there is a difference in ectopic pregnancy between the groups (RR 0.51, 95% CI 0.09 to 2.77; 1 RCT, 661 participants; very lowâ€certainty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urinaryâ€derived gonadotropins (derived from urine from menopausal women) and recombinant follicleâ€stimulating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soâ€called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follicleâ€stimulating hormone. Finally, recombinant follicleâ€stimulating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urinaryâ€derived gonadotropins. Three trials compared human menopausal gonadotropin with purified urinary follicleâ€stimulating hormone and one trial compared gonadotropins with continued clomiphene citrate. Main results There may be little or no difference in live birth, multiple pregnancy, clinical pregnancy, or miscarriage rate between purified urinaryâ€derived gonadotropins and recombinant follicleâ€stimulating hormone. We are uncertain whether human menopausal gonadotropin improves pregnancy outcomes in women with PCOS compared to urinary follicleâ€stimulating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</si>
  <si>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J6285</t>
  </si>
  <si>
    <t>The cost-effectiveness of an online intervention to prevent dementia: Results from the Maintain Your Brain (MYB) randomised controlled trial</t>
  </si>
  <si>
    <t>&lt;b&gt;BACKGROUND&lt;/b&gt;: The Maintain Your Brain (MYB) randomised controlled trial (RCT) examined the effect of a multi-domain internet-based dementia prevention program against a control group (information only)._x000D_
&lt;b&gt;OBJECTIVES&lt;/b&gt;: A cost-effective analysis (CEA) quantified the differences in costs (direct healthcare and program costs) and effectiveness outcomes between the intervention and control groups from a healthcare sector perspective._x000D_
&lt;b&gt;DESIGN&lt;/b&gt;: An economic evaluation was conducted alongside the MYB RCT over three years._x000D_
&lt;b&gt;SETTING&lt;/b&gt;: Australians aged 55-77 years with at least 2 identified remediable risk factors for cognitive decline/dementia recruited from communities in New South Wales._x000D_
&lt;b&gt;PARTICIPANTS&lt;/b&gt;: There were 3,025 participants in the intervention group and 3,033 in the control group with available linked healthcare data via the Sax Institute's 45 and Up Study out of the 6104 enrolled in the trial (99.2% of total cohort)._x000D_
&lt;b&gt;INTERVENTION&lt;/b&gt;: The MYB trial comprised a personalised schedule of online coaching in physical activity, nutrition, cognitive activity, and depression or anxiety management._x000D_
&lt;b&gt;MEASUREMENTS&lt;/b&gt;: The two effectiveness outcomes were global cognition composite (GCC) scores and the Australian National University-Alzheimer's Disease Risk Index -short form (ANU-ADRI-SF) questionnaire scores. Costs included MYB program costs and the direct healthcare costs incurred by the MYB participants. All costs were reported in Australian dollars (AUD$) during the trial period. The time horizon of this analysis was 3 years after randomisation (2018-2021). Incremental cost-effectiveness ratio (ICERs) between the intervention and the control groups were calculated by comparing the average difference in costs to a mean difference in z score for GCC and ANU-ADRI-SF score using the bootstrapped means and 95% Confidence Intervals._x000D_
&lt;b&gt;RESULTS&lt;/b&gt;: The total unadjusted program and healthcare costs over three years were similar between groups (AUD$16,521 per person in the control group and AUD$16,473 in the intervention group). After adjusting for baseline characteristics, the average difference between groups in total cost per person at three years was not statistically different: AUD$467 favouring the control group (95%CI: -$552 - $1585). This was compared to a significant mean difference (improvement) in GCC z score at three years of 0.18 (95%CI: 0.13, 0.23) and -0.57 (95%CI: -0.95, -0.24) point difference in ANU-ADRI-SF for the intervention versus control. The base case ICERs were AUD$2,568 per 1 standard deviation in z score and $823 per reduction of 1 ANU-ADRI-SF point. With 1000 bootstrapped replications, the scatterplots of ICER ellipses suggest that the MYB intervention was more effective than the control group and with no significant difference in overall healthcare costs._x000D_
&lt;b&gt;CONCLUSION&lt;/b&gt;: The MYB trial showed cost-effectiveness for preventing cognitive decline and reducing dementia risk. Longer-term follow-up and dissemination to other cohorts is needed to confirm the impact on preventing future cases of dementia and relevance to other socio-economic and cultural/ethnic groups than those enrolled in the original trial.</t>
  </si>
  <si>
    <t>J6286</t>
  </si>
  <si>
    <t>J6287</t>
  </si>
  <si>
    <t>Alendronate for the primary and secondary prevention of osteoporotic fractures in postmenopausal women</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</si>
  <si>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Evidenceâ€Based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Tâ€score (â€2.5 or lower), and 75 years old or older. If a study population met none of those criteria, we classified it as a primary prevention study. Outcomes Our major outcomes were clinical vertebral, nonâ€vertebral,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fixedâ€effect model for metaâ€analysis and estimated effects using the risk ratio (RR) for dichotomous outcomes. Our base case analyses included all eligible placeboâ€controlled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lowâ€certainty evidence) and nonâ€vertebral fractures (RR 0.83, 95% CI 0.72 to 0.97; ARR 1.6% fewer, 95% CI 2.6% fewer to 0.3% fewer; lowâ€certainty evidence). However, clinically important differences were not observed for the following outcomes: hip fractures (RR 0.76, 95% CI 0.43 to 1.32; ARR 0.2% fewer, 95% CI 0.4% fewer to 0.2% more; lowâ€certainty evidence); wrist fractures (RR 1.12, 95% CI 0.84 to 1.49; ARR 0.3% more, 95% CI 0.4% fewer to 1.1 more; lowâ€certainty evidence); withdrawals due to adverse events (RR 1.03, 95% CI 0.89 to 1.18; ARR 0.2% more, 95% CI 0.9% fewer to 1.5% more; lowâ€certainty evidence); and serious adverse events (RR 1.08, 95% CI 0.82 to 1.43; ARR 0.5% more, 95% CI 1.2% fewer to 2.8% more; lowâ€certainty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moderateâ€certainty evidence). It may lead to a clinically important reduction in nonâ€vertebral fractures (RR 0.80, 95% CI 0.64 to 0.99; ARR 2.8% fewer, 95% CI 5.1% fewer to 0.1% fewer; lowâ€certainty evidence); hip fractures (RR 0.49, 95% CI 0.25 to 0.96; ARR 1.0% fewer, 95% CI 1.5% fewer to 0.1% fewer; lowâ€certainty evidence); wrist fractures (RR 0.54, 95% CI 0.33 to 0.90; ARR 1.8% fewer, 95% CI 2.6% fewer to 0.4% fewer; lowâ€certainty evidence); and serious adverse events (RR 0.75, 95% CI 0.59 to 0.96; ARR 3.5% fewer, 95% CI 5.8% fewer to 0.6% fewer; lowâ€certainty evidence). However, the effects of alendronate for withdrawals due to adverse events are uncertain (RR 0.95, 95% CI 0.78 to 1.16; ARR 0.4% fewer, 95% CI 1.7% fewer to 1.3% more; very lowâ€certainty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nonâ€vertebral fractures, but it might make little or no difference to hip and wrist fractures, withdrawals due to adverse events, and serious adverse events. For secondary prevention, alendronate probably reduces clinical vertebral fractures, and may reduce nonâ€vertebral,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â€¢ Alendronate used for up to five years may prevent spinal fractures in women who are at lower risk for fractures, or in those who have not yet had a fracture of the spine. â€¢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antiâ€osteoporotic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â€“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â€“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</si>
  <si>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J6288</t>
  </si>
  <si>
    <t>Stem cell injections for osteoarthritis of the knee</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</si>
  <si>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quasiâ€randomised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participantâ€reported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plateletâ€rich plasma injections (two trials), oral acetaminophen (paracetamol) (one trial), nonâ€steroidal antiâ€inflammatory drugs plus physical therapy plus hyaluronic acid injection (one trial) and stem cell injection plus intraâ€articular coâ€intervention versus coâ€intervention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Placeboâ€controlled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followâ€up. At the end of followâ€up,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followâ€up,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lowâ€certainty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â€¢ Compared with placebo injection, stem cell injection for people with knee osteoarthritis may slightly improve pain and function. â€¢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intraâ€articular glucocorticoid injection (1 study, 33 participants), hyaluronic acid injection (7 studies, 429 participants), plateletâ€rich plasma injection (2 studies, 142 participants), oral acetaminophen (paracetamol; 1 study, 51 participants), NSAIDs (nonâ€steroidal antiâ€inflammatory drugs) plus physical therapy plus hyaluronic acid injection (1 study, 57 participants) and stem cell injection plus intraâ€articular coâ€intervention versus coâ€intervention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â€¢ People who had stem cell injection rated their pain as 3.3 points. â€¢ People who had placebo injection rated their pain as 4.5 points. Function measured on a 0 to 100 scale (0 is best function) at six months was 14.2 points better with stem cell injection. â€¢ People who had stem cell injection rated their function as 32.1 points. â€¢ People who had placebo injection rated their function as 46.3 points. Quality of life measured on a 0 to 100 scale (0 is best function) at six months was 22.8 points better with stem cell injection. â€¢ People who had stem cell injection rated their quality of life as 68.1 points. â€¢ People who had placebo injection rated their quality of life as 45.3 points. After stem cell injection, 153 more people per 1000 rated their treatment a success at 12 months. â€¢ 683 per 1000 reported treatment success with stem cell injection. â€¢ 530 per 1000 reported treatment success with placebo injection. After stem cell injection, seven fewer people per 1000 had serious adverse events at 12 months. â€¢ 16 per 1000 people experienced a serious adverse event with stem cell injection. â€¢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upâ€toâ€date is this evidence? The evidence is upâ€toâ€date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</si>
  <si>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J6289</t>
  </si>
  <si>
    <t>European strategies in the screening of biliary atresia: A scoping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</si>
  <si>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Â© Author(s) (or their employer(s)) 2025.</t>
  </si>
  <si>
    <t>Mentions BA screening in the UK</t>
  </si>
  <si>
    <t>J6290</t>
  </si>
  <si>
    <t>Transfusion of blood and blood products for the management of postpartum haemorrhage</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</si>
  <si>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clusterâ€randomised trials, or controlled nonâ€randomised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Nonâ€randomized Studies of Interventions (ROBINSâ€I) tool. Synthesis methods We synthesised results for each outcome within each comparison using metaâ€analysis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Oneâ€ to twoâ€unit RBCs versus no transfusion Among women with moderate blood loss, lowâ€certainty evidence from one NRSI found that transfusing 1 to 2 units of RBCs to treat PPH may increase severe maternal morbidity â€“ composite excluding intensive care unit (ICU) admission (risk ratio (RR) 7.00, 95% confidence interval (CI) 2.75 to 17.80; 2130 women) and severe maternal morbidity â€“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lowâ€certainty evidence). Fibrinogen concentrate probably results in little to no difference in severe maternal morbidity â€“ ICU admission (RR 1.09,0 95% CI 0.80 to 1.49; 2 studies, 485 women; moderateâ€certainty evidence). The evidence is very uncertain about the effect of fibrinogen concentrate on severe maternal morbidity â€“ arterial embolisation (1 study, 430 women; very lowâ€certainty evidence). One RCT (430 women) and one NRSI (730 women) reported severe maternal morbidity â€“ hysterectomy , each of which reported different directions of effect with lowâ€certainty evidence. Fibrinogen concentrate may result in little to no difference in adverse effect â€“ thromboembolic events (RR 0.19, 95% CI 0.01 to 3.95; 2 studies, 674 women; l wâ€certainty evidence). The evidence is very uncertain about the effects of fibrinogen concentrate on additional adverse effects, such as shivering or fever (1 study, 244 women; very lowâ€certainty evidence). Cryoprecipitate versus no cryoprecipitate The evidence is very uncertain about the effect of cryoprecipitate on maternal death . One RCT (0 deaths; 180 women; very lowâ€certainty evidence) and one NRSI (0 deaths; 157 women; very lowâ€certainty evidence) reported this outcomes. The evidence is also very uncertain about the effects of cryoprecipitate on severe maternal morbidity â€“ ICU admission , severe maternal morbidity â€“ any organ failure , severe maternal morbidity â€“ laparotomy , or severe maternal morbidity â€“ uterine artery embolisation (1 study, 180 women; very lowâ€certainty evidence). One RCT (180 women; very lowâ€certainty evidence) and one NRSI (157 women; very lowâ€certainty evidence) reported severe maternal morbidity â€“ hysterectomy and the evidence is very uncertain. The evidence is also very uncertain about the effects of cryoprecipitate on adverse effects, such as thromboembolic events or transfusionâ€related reactions (1 study, 180 women; very lowâ€certainty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Lowâ€certainty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</si>
  <si>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J6291</t>
  </si>
  <si>
    <t>The Comparison of Cost-Effectiveness Between Magnetic Resonance Spectroscopy and Provocative Discography in the Identification of Chronic Low Back Pain Surgery Candidates</t>
  </si>
  <si>
    <t>&lt;b&gt;Background/Context&lt;/b&gt;: Chronic low back pain (CLBP) is a significant US healthcare burden with millions of lumbar spine procedures annually. Diagnostic tests are essential to guide treatment but provocative discography (PD), the most common diagnostic procedure, is without robust evidence of its value. A non-invasive alternative using Magnetic Resonance Spectroscopy (MRS) offers a potential solution._x000D_
&lt;b&gt;Context/Purpose&lt;/b&gt;: We assess cost-effectiveness of MRS with NOCISCAN diagnostic algorithm compared to PD for identifying lumbar discs requiring surgical intervention._x000D_
&lt;b&gt;Study Design/Setting&lt;/b&gt;: We conducted cost-effectiveness analysis using modelling._x000D_
&lt;b&gt;Patient Sample&lt;/b&gt;: We used data from a clinical study of 139 CLBP patients who met criteria for and received PD of lumbar spine and presented with an ODI score &gt;=40; comparing PD and MRS-based diagnostics._x000D_
&lt;b&gt;Outcome Measures&lt;/b&gt;: We considered diagnostic costs, adverse events, surgical costs and outcomes based on a 15-point improvement on the Oswestry Disability Index._x000D_
&lt;b&gt;Methods&lt;/b&gt;: Incremental cost-effectiveness ratios (ICERS) and probabilistic sensitivity analyses were determined. Some authors have consulted for Aclarion._x000D_
&lt;b&gt;Results&lt;/b&gt;: Mean total cost per PD patient was $59,711, and $57,998 for MRS, demonstrating $1712 cost savings per MRS diagnosed patient. Diagnostic costs ($1950 for PD; $1450 for MRS), saved $500 per MRS patient. PD incurred adverse event costs ($57,323) for 1% of patients, which MRS eliminated. MRS-based diagnosis showed 78% surgical success, whereas PD achieved 68%. MRS was the dominant diagnostic strategy, with better clinical outcomes and cost savings. Probabilistic sensitivity analysis confirmed MRS dominance and was cost-effective across a wide range of willingness-to-pay thresholds and across 2 different scenarios which vary base-case outcomes and surgical rates._x000D_
&lt;b&gt;Conclusion&lt;/b&gt;: This study demonstrates cost-effectiveness dominance of MRS with the Nociscan diagnostic algorithm over PD for identifying CLBP surgical candidates. MRS provides significant cost savings and leads to better surgical outcomes, making it a preferred choice for insurers and health systems.</t>
  </si>
  <si>
    <t>Study context is US-based with no UK references.</t>
  </si>
  <si>
    <t>J6292</t>
  </si>
  <si>
    <t>Entecavir for children and adults with chronic hepatitis B</t>
  </si>
  <si>
    <t>- Rationale Chronic hepatitis B is a major worldwide public health concern. Entecavir, one nucleos(t)ide analogue antiviral therapy option, is recommended as the firstâ€line drug for chronic hepatitis B in many clinical guidelines. However, none of the guideline recommendations are based on the findings of a systematic review with metaâ€analysis, where entecavir versus no treatment or placebo are compared directly. Objectives To evaluate the benefits and harms of entecavir versus no treatment or placebo in children and adults with chronic hepatitis B, who are either hepatitis B eâ€antigen (HBeAg)â€positive or HBeAgâ€negative. Search methods We searched the Cochrane Hepatoâ€Biliary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coâ€infections. We allowed coâ€interventions when administered equally to all intervention groups. Outcomes The outcomes reported in this abstract and in the summary of findings table are allâ€cause mortality, healthâ€related quality of life, and proportion of people with serious adverse events at the longest followâ€up. Risk of bias We used the Cochrane RoB 2 tool to assess risk of bias in the included trials. Synthesis methods We used a randomâ€effects model to metaâ€analyse outcome results, where possible, and presented the results as a risk ratio (RR) with 95% confidence interval (CI). Where there was considerable heterogeneity, we performed a narrative analysis. We used a fixedâ€effect model for sensitivity analysis. We used GRADE to evaluate the certainty of evidence. Included studies We included 22 randomised clinical trials (published from 2005 to 2022) with 2940 participants diagnosed with chronic hepatitis B. All trials had a parallelâ€group design. The experimental intervention was oral entecavir, with a followâ€up duration of 5 weeks to 228 weeks. The comparator in 12 trials was no treatment, and in 10 trials was placebo. Fourteen trials equally administered coâ€interventions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allâ€cause mortality with a mean followâ€up duration of 48.9 weeks (range 5 to 100 weeks). The result was not estimable because no deaths occurred in any of the entecavir and no treatment or placebo groups. None of the trials provided data on healthâ€related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lowâ€certainty evidence). The mean followâ€up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allâ€cause mortality and serious adverse events. There is a lack of data on healthâ€related quality of life. Given the firstâ€line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healthâ€related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interferonâ€alpha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healthâ€related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healthâ€related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</si>
  <si>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</si>
  <si>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</si>
  <si>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Â© Author(s) (or their employer(s)) 2025. Re-use permitted under CC BY. Published by BMJ Group.</t>
  </si>
  <si>
    <t>Study applied to UK setting via NHS reference.</t>
  </si>
  <si>
    <t>J6294</t>
  </si>
  <si>
    <t>Evolution and effectiveness of bilateral and multilateral development assistance for health: a mixed-methods review of trends and strategic shifts (1990-2022)</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</si>
  <si>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Â© Author(s) (or their employer(s)) 2025. Re-use permitted under CC BY-NC. No commercial re-use. See rights and permissions. Published by BMJ Group.</t>
  </si>
  <si>
    <t>No specific UK setting or context mentioned</t>
  </si>
  <si>
    <t>J6295</t>
  </si>
  <si>
    <t>Cross language transformation of free text into structured lobectomy surgical records from a multi center study</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</si>
  <si>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Â© 2025. The Author(s).</t>
  </si>
  <si>
    <t>J6296</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</si>
  <si>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t>
  </si>
  <si>
    <t>J6297</t>
  </si>
  <si>
    <t>TCTAP A-086 Implementing Vascular Scientist-Led Contrast-Enhanced Ultrasound (CEUS) Endovascular Aneurysm Repair (EVAR) Scans to Enhance the Patient Pathway in the United Kingdom</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</si>
  <si>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Â© 2025</t>
  </si>
  <si>
    <t>Study conducted in the UK, references NHS.</t>
  </si>
  <si>
    <t>J6298</t>
  </si>
  <si>
    <t>Impact of measles vaccination strategies on vaccination rates in low-income and middle-income countries: a systematic review and meta-analysis</t>
  </si>
  <si>
    <t>&lt;b&gt;INTRODUCTION&lt;/b&gt;: While many interventions aim to raise measles vaccination coverage in low-income and middle-income countries (LMICs), their overall effectiveness and cost-effectiveness are unknown. We did a review to identify and synthesise scientific research that evaluated the impact and cost-effectiveness of measles vaccination strategies on measles vaccination coverage, timeliness, hospitalisation rates, and mortality._x000D_
&lt;b&gt;METHODS&lt;/b&gt;: In this review, we searched for English-language articles published between 2012 and July 2023 in eight databases, including PubMed, ProQuest, MEDLINE (Ovid), Embase (Ovid), CINAHL, Scopus, Web of Science and the Cochrane Database of Systematic Reviews. We also included relevant grey literature sources. The review focused on studies evaluating the impact of vaccination strategies on vaccination-related outcomes in children under 5. Following Preferred Reporting Items for Systematic Reviews and Meta-Analyses guidelines throughout the process, we used Covidence software to manage most review activities. Two independent reviewers screened articles, assessed their quality using the Joanna Briggs Institute guidelines and extracted data using a predefined electronic tool. We predetermined measles vaccination coverage and timeliness as the primary outcomes, with hospitalisation and mortality as secondary outcomes. A random-effects model was employed for the meta-analysis._x000D_
&lt;b&gt;RESULTS&lt;/b&gt;: We identified 44 articles, of which 14 were included in the meta-analysis. The meta-analysis indicated that vaccination-targeting interventions such as vaccination reminders, cash incentives, community engagement and health education activities increase measles vaccination coverage (RR 1.19, 95% CI 1.10 to 1.27). Our analysis also indicated that interventions such as vaccine reminders, educational programmes and incentives improved timely vaccination. Furthermore, we identified cost-effective strategies such as geographically informed microplanning, unrestricted vial opening, supplementary immunisation activities, community engagement, outreach programmes and financial incentives._x000D_
&lt;b&gt;CONCLUSION&lt;/b&gt;: Most of the identified vaccination interventions significantly improve measles vaccination coverage and timeliness in LMICs while remaining cost-effective. Tailoring these interventions to local contexts is crucial for maximising their effectiveness in protecting children from measles and its adverse consequences._x000D_
&lt;b&gt;PROSPERO REGISTRATION NUMBER&lt;/b&gt;: CRD42023433125.</t>
  </si>
  <si>
    <t>Study focuses on LMICs, not UK</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</si>
  <si>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</si>
  <si>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</si>
  <si>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Â© 2025 Fundacion Clinica Medica Sur, A.C.</t>
  </si>
  <si>
    <t>Study conducted in UK setting, references UK primary care and costs.</t>
  </si>
  <si>
    <t>J1785</t>
  </si>
  <si>
    <t>Ankle Home Stay Programme:- A review of ankle fracture management and costs at a busy district general hospital</t>
  </si>
  <si>
    <t>Introduction:</t>
  </si>
  <si>
    <t>J1786</t>
  </si>
  <si>
    <t>Pharmacological interventions for antisocial personality disorder</t>
  </si>
  <si>
    <t>- Background Antisocial personality disorder (AsPD) is associated with ruleâ€breaking,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followâ€up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(antiâ€Parkinsonian)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lowâ€certainty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lowâ€certainty evidence). The study authors also reported that no important side effects were detectable via blood cell counts or liver enzyme tests (very lowâ€certainty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familyâ€social domain of the Addiction Severity Index (scores range from zero to one, with higher values indicating worse social functioning), at endpoint (12 weeks) (very lowâ€certainty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Listâ€90 (SCLâ€90) Global Severity Index (GSI; mean of subscale scores, ranging from zero to four, with higher scores indicating greater severity of symptoms), at endpoint (six months) in men with alcohol dependency (very lowâ€certainty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SCLâ€90 at endpoint (six months) (very lowâ€certainty evidence). The study did not provide data on adverse effects, but reported that 12 patients randomised to the bromocriptine group experienced severe side effects, five of whom dropped out of the study in the first two days due to nausea and severe fluâ€like symptoms (very lowâ€certainty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followâ€up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lowâ€certainty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fluâ€like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</si>
  <si>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Study conducted in North America, no UK setting mentioned</t>
  </si>
  <si>
    <t>J1787</t>
  </si>
  <si>
    <t>Is Protocolised Weaning that Includes Early Extubation Onto Non-Invasive Ventilation More Cost Effective Than Protocolised Weaning Without Non-Invasive Ventilation? Findings from the Breathe Study</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</si>
  <si>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Â© 2020, The Author(s).</t>
  </si>
  <si>
    <t>Study conducted in a UK NHS setting.</t>
  </si>
  <si>
    <t>J1788</t>
  </si>
  <si>
    <t>Cost-effectiveness and financial risks associated with immune checkpoint inhibitor therapy</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</si>
  <si>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Â© 2020 The British Pharmacological Society</t>
  </si>
  <si>
    <t>Mentions British National Institute of Clinical Excellence, UK setting.</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</si>
  <si>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</si>
  <si>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</si>
  <si>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Â© 2020, The Author(s).</t>
  </si>
  <si>
    <t>Study conducted from the perspective of the UK NHS.</t>
  </si>
  <si>
    <t>J1790</t>
  </si>
  <si>
    <t>Systemic interventions for severe atopic and vernal keratoconjunctivitis in children and young people up to the age of 16 years</t>
  </si>
  <si>
    <t>- Background Atopic keratoconjunctivitis (AKC) and vernal keratoconjunctivitis (VKC) are severe and potentially sightâ€threatening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patientâ€reported aspects of the condition and treatments. Plain language summary What medicines, taken by mouth or given as an injection, work best to treat severe allergic eye disease in children and young people under 16 years old? What is allergic eye disease? â€¨An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â€¨Both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antiâ€‘inflammatory medicines and antibodies. Why we did this Cochrane Review â€¨We wanted to find out which systemic treatments work best for severe allergic eye disease in children and young people. What did we do? â€¨We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â€¨We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</si>
  <si>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J1791</t>
  </si>
  <si>
    <t>A phase ii randomised controlled trial of a cognitive behavioral therapy intervention for depression in those newly diagnosed with ms</t>
  </si>
  <si>
    <t>Background: Depression is a serious and co-morbid condition of MS. Up to 50% of individuals with MS experience clinically significant levels of depressive symptoms at any one time (Arnett et al., 2008). Depression and anxiety are especially high after diagnosis (Giordano et al., 2011; Kiropoulos et al., 2016) with 36% of individuals found to report high levels of depressive symptoms in the first years after diagnosis (Jensens et al., 2003). Cogntitive Behaviour Therapy (CBT) has shown to be effective in reducing symptoms of depression in those with MS (Kiropoulos et al., 2016) with the current study being the first RCT examining the effectiveness of a tailored cognitive behavioural therapy (CBT) intervention, compared to a supportive listening (SL) intervention, for depression in those who have been newly diagnosed with MS (within 5 years of having received a MS diagnosis). Objective(s): To assess efficacy of an early tailored CBT intervention, compared to SL, in producing significant and clinically meaningful reductions in: 1) depressive symptoms; 2) anxiety symptoms and 3) MS-related concerns (such as fatigue, sleep disturbance, pain impact). And to: 4) increase physical and mental health related quality of life, MS illness acceptance, social support, coping and resilience; and 5) to assess cost-effectiveness of providing the CBT intervention. An additional aim is to measure and examine changes in levels of cytokines before and after the interventions. Method(s): This is a two arm, parallel group, active comparator, assessor blinded RCT with the primary site being the Royal Melbourne Hospital. Recruitment is also being undertaken from three major MS clinics located in Melbourne, Victoria. 60 participants are being randomly allocated to a tailored CBT(n=30) or SL (n=30) intervention. 8 x 1 hour interventions will be delivered over 8 weeks by clinical psychologists for both treatment arms. Self-report and clinician data is and will be collected at pre, post and 3 mth follow up time points. Eligibility criteria includes mild to moderately depressed individuals newly diagnosed (within first 5 years of diagnosis) with MS. Exclusion criteria includes gross cognitive impairment; serious psychological disorder; delirium; undertaking psychological treatment for depression; unable to speak or read English. Result(s): Preliminary results will be presented for the primary outcome which is the level of clinically significant change of 10 points or more on the BDI-2 at post therapy, secondary outcomes which are the level of depression at 3 mths and level of anxiety at post-assessment and tertiary outcomes which are the level of anxiety at 3 mths follow up, pain and fatigue impact, MS illness acceptance, sleep quality, coping, social support, resilience at post and 3 mth follow up. Conclusion(s): will be provided relating to the effectiveness of the CBT intervention in the treatment of depression in individuals newly diagnosed with MS.</t>
  </si>
  <si>
    <t>Study conducted in Melbourne, Australia</t>
  </si>
  <si>
    <t>J1792</t>
  </si>
  <si>
    <t>Can network science reveal structure in a complex healthcare system? A network analysis using data from emergency surgical services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</si>
  <si>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Â© Author(s) (or their employer(s)) 2020. Re-use permitted under CC BY. Published by BMJ.</t>
  </si>
  <si>
    <t>Study conducted in a UK hospital</t>
  </si>
  <si>
    <t>J1793</t>
  </si>
  <si>
    <t>Antibiotic prophylaxis to prevent spontaneous bacterial peritonitis in people with liver cirrhosis: a network metaâ€analysis</t>
  </si>
  <si>
    <t>- Background Approximately 2.5% of all hospitalisations in people with liver cirrhosis are for spontaneous bacterial peritonitis. Spontaneous bacterial peritonitis is associated with significant shortâ€term mortality; therefore, it is important to prevent spontaneous bacterial peritonitis in people at high risk of developing it. Antibiotic prophylaxis forms the mainstay preventive method, but this has to be balanced against the development of drugâ€resistant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metaâ€analysis with OpenBUGS using Bayesian methods and calculated the odds ratio, rate ratio, and hazard ratio (HR) with 95% credible intervals (CrI) based on an availableâ€case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intentionâ€toâ€treat analysis), and use clinically important outcomes such as mortality, healthâ€related quality of life, and decompensation events. Plain language summary Use of antibiotics to prevent spontaneous bacterial peritonitis in people with advanced liver disease What was the aim of this Cochrane Review? People with advanced liver disease (liver cirrhosis, or lateâ€stage scarring of the liver with complications) are at risk of developing an abnormal buildâ€up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Twentyâ€three studies with 2587 participants provided data for analyses. The followâ€up in the trials ranged from 1 to 12 months. The review shows that: â€ of the 10 different antibiotics compared in the trials, norfloxacin and rifaximin were most commonly used;â€¨ â€ 15 of every 100 people died within 12 months, and 10 of every 100 people developed spontaneous bacterial peritonitis;â€¨ â€ giving preventive antibiotics may make no difference to the percentage of deaths or people with serious complications; however, potentially important differences cannot be ruled out;â€¨ â€ none of the trials reported quality of life or symptomatic development of spontaneous bacterial peritonitis;â€¨ â€ there was evidence showing that the percentage of people who developed spontaneous bacterial peritonitis as per laboratory criteria may be reduced with sulfonamides compared with no use of antibiotics (difficult to estimate how much reduction);â€¨ 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are;â€¨ â€ future wellâ€designed trials are needed. Quality of the evidence We cannot draw any conclusions from these trials due to the sparse data.</t>
  </si>
  <si>
    <t>Mentions National Institute of Health and Care Excellence, UK setting.</t>
  </si>
  <si>
    <t>J1794</t>
  </si>
  <si>
    <t>Stratified care versus usual care for management of patients presenting with sciatica in primary care (SCOPiC): a randomised controlled trial</t>
  </si>
  <si>
    <t>J1795</t>
  </si>
  <si>
    <t>A greener NHS: An overview of sustainable development practices in a rural district general hospital</t>
  </si>
  <si>
    <t>Aim: To assess the impact of sustainable changes to waste management and energy consumption in a rural District General Hospital in the South West of England and discuss the long-term contributions of this to a 'Greener NHS'. Method(s): Information regarding new recycling practices was obtained from the Endoscopy Department, the front runners in sustainable waste management. The Facilities Department provided the quantity of recycled waste, financial data, energy usage statistics and the measures undertaken to reduce the carbon footprint. Result(s): The key recycling interventions introduced included: substituting most single-use plastics to reusable alternatives; adjusting catering practices towards recyclable products and educating personnel to correctly recognise recyclable materials. From 2018 to 2019, there was a substantial 32% increase in recycled waste.This corresponded to an 8%reduction in waste sent to landfill and a total saving of 3051.The introduction of a 700,000 per annum saving Energy Performance Contract has resulted in a 13% improvement in carbon equivalents over the last four years.This is a result of positive steps such as using solar power, a Combined Heat and Power engine, biomass boilers and LED fittings. Conclusion(s): The implementation of a sustainability-focused action plan at grass-roots level towards is both cost-effective and vital towards achieving a 'Greener NHS'.</t>
  </si>
  <si>
    <t>J1796</t>
  </si>
  <si>
    <t>Protocol for an economic analysis of the randomised controlled trial of Improving the Well-being of people with Opioid Treated CHronic pain: I-WOTCH Study</t>
  </si>
  <si>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t>
  </si>
  <si>
    <t>J1797</t>
  </si>
  <si>
    <t>Measures implemented in the school setting to contain the COVIDâ€19 pandemic: a rapid scoping review</t>
  </si>
  <si>
    <t>- Background In response to the spread of SARSâ€CoVâ€2 and the impact of COVIDâ€19,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midâ€April 2020, 192 countries had closed schools, affecting more than 90% of the worldâ€™s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Metaâ€Analyses extension for Scoping Reviews (PRISMAâ€ScR) checklist and was registered with the Open Science Framework. Objectives To identify and comprehensively map the evidence assessing the impacts of measures implemented in the school setting to reopen schools, or keep schools open, or both, during the SARSâ€CoVâ€2/COVIDâ€19 pandemic, with particular focus on the types of measures implemented in different school settings, the outcomes used to measure their impacts and the study types used to assess these. Search methods We searched the Cochrane COVIDâ€19 Study Register, MEDLINE, Embase, the CDC COVIDâ€19 Research Articles Downloadable Database for preprints, and the WHO COVIDâ€19 Global literature on coronavirus disease on 8 October 2020. Selection criteria We included studies that assessed the impact of measures implemented in the school setting. Eligible populations were populations at risk of becoming infected with SARSâ€CoVâ€2, or developing COVIDâ€19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mixedâ€methods studies, and diagnostic studies that assessed the impact of relevant interventions beyond diagnostic test accuracy. Broad outcome categories of interest included infectious disease transmissionâ€related outcomes, other harmful or beneficial healthâ€related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quasiâ€experimental designs. Studies conducted in realâ€world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SARSâ€CoVâ€2 (n = 36), structural/environmental measures to reduce transmission of SARSâ€CoVâ€2 (n = 11), and surveillance and response measures to detect SARSâ€CoVâ€2 infections (n = 19). Most studies assessed SARSâ€CoVâ€2 transmissionâ€related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schoolâ€based measures designed to contain the COVIDâ€19 pandemic have been evaluated to date, and how were they evaluated? Why is this question important? To combat the spread of SARSâ€CoVâ€2 and the impact of COVIDâ€19, countries worldwide have taken a variety of public health measures. In many countries, shutting schools was one of the earliest responses. By midâ€April 2020, 192 countries had closed schools, affecting more than 90% of the worldâ€™s student population. This severely disrupted school, family and work life, with likely negative impacts including: â€ a worsening of childrenâ€™s and adolescentsâ€™ health and wellâ€being;â€¨â€ increases in inequalities between children and adolescents from disadvantaged and more privileged backgrounds;â€¨â€ possible decreased parental income and job security;â€¨â€ possible loss of parental economic productivity. Given the potential negative consequences of school closures, many countries have since reopened schools. To avoid disease transmission among students, between staff and students, and beyond, a range of schoolâ€based measures have been put in place. These include: â€ students and staff wearing face masks and regularly washing their hands;â€¨â€ adapting school activities (for example, not singing in music classes);â€¨â€ improving ventilation systems; andâ€¨â€ screening suspected cases of infection. To date, we know little about which schoolâ€based measures designed to contain COVIDâ€19 have been evaluated, and how they have been evaluated. It is important to find this out, so that, in time, we can compare the effectiveness of different measures and inform future policy guidelines. We set out to identify and map the evidence on schoolâ€based measures to contain COVIDâ€19.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COVIDâ€19. We considered all types of studies, and a broad range of outcomes, including: â€ infectious disease transmission;â€¨â€ other harmful or beneficial effects on health;â€¨â€ wider implications for society, the economy, and the population. We then grouped studies according to how similar or different they were. This allowed us to gauge: â€ which types of study have been used to evaluate measures to date;â€¨â€ where studies have been conducted;â€¨â€ which types of intervention have been evaluated; andâ€¨â€ which outcomes have been studied. What did we find? We found 42 studies. Type of study Thirtyâ€one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SARSâ€CoVâ€2 (36 studies): these included: â€ measures designed to limit risks of disease transmission between people who come into contact with each other (such as faceâ€masks and physical distancing policies); andâ€¨â€ measures to reduce opportunities for contact (for example, staggered arrival, break and departure times). 2. Structural or environmental measures to reduce transmission of SARSâ€CoVâ€2 (11 studies): for example, dividing up school playgrounds or improving air circulation. 3. Surveillance and response measures to detect SARSâ€CoVâ€2 infections (19 studies): these included: â€ testing, tracing, and symptom screening; andâ€¨â€ isolation of confirmed cases or quarantine of suspected cases. Outcomes studied Studies assessed the effects of measures on: â€ SARSâ€CoVâ€2 transmission (29 studies), including the number of new cases or the average number of people to whom one infected person will pass the virus (reproduction number R);â€¨â€ healthcare use (8 studies), for example, the number of hospitalizations;â€¨â€ other health outcomes (3 studies), for example, the risk of developing hand eczema (a skin condition); andâ€¨â€ societal, economic, and other populationâ€level outcomes (5 studies), including cost. What are the implications of our findings? A wide range of schoolâ€based measures designed to contain COVIDâ€19 have been evaluated to date. To evaluate these, researchers have used different methods and investigated different outcomes. This review is an important first step in gauging what evidence is available, and will inform future rapid reviews on this topic.</t>
  </si>
  <si>
    <t>J1798</t>
  </si>
  <si>
    <t>Surgical prehabilitation using mobile health coaching in patients with obesity: A pilot study</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</si>
  <si>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Â© The Author(s) 2020.</t>
  </si>
  <si>
    <t>J1799</t>
  </si>
  <si>
    <t>Pns4 Impact of Pharmacists on Pain in Hospice and Palliative Care: A Systematic Literature Review</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</si>
  <si>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Â© 2020</t>
  </si>
  <si>
    <t>No UK-specific setting or references detected</t>
  </si>
  <si>
    <t>J1800</t>
  </si>
  <si>
    <t>Interventions to reduce contaminated aerosols produced during dental procedures for preventing infectious diseases</t>
  </si>
  <si>
    <t>- Background Many dental procedures produce aerosols (droplets, droplet nuclei and splatter) that harbour various pathogenic microÃ¢â‚¬Âorganisms and may pose a risk for the spread of infections between dentist and patient. The COVIDÃ¢â‚¬Â19 pandemic has led to greater concern about this risk. Objectives To assess the effectiveness of methods used during dental treatment procedures to minimize aerosol production and reduce or neutralize contamination in aerosols. Search methods Cochrane Oral HealthÃ¢â‚¬â„¢s Information Specialist searched the following databases on 17 September 2020: Cochrane Oral HealthÃ¢â‚¬â„¢s Trials Register, the Cochrane Central Register of Controlled Trials (CENTRAL) (in the Cochrane Library, 2020, Issue 8), MEDLINE Ovid (from 1946); Embase Ovid (from 1980); the WHO COVIDÃ¢â‚¬Â19 Global literature on coronavirus disease; the US National Institutes of Health Trials Registry (ClinicalTrials.gov); and the Cochrane COVIDÃ¢â‚¬Â19 Study Register. We placed no restrictions on the language or date of publication. Selection criteria We included randomized controlled trials (RCTs) and controlled clinical trials (CCTs) on aerosolÃ¢â‚¬Âgenerating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randomÃ¢â‚¬Âeffects metaÃ¢â‚¬Âanalysis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colonyÃ¢â‚¬Âforming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HighÃ¢â‚¬Âvolume evacuator Use of a highÃ¢â‚¬Âvolume evacuator (HVE) may reduce bacterial contamination in aerosols less than one foot (~ 30 cm) from a patient's mouth (MD Ã¢Ë†â€™47.41, 95% CI Ã¢Ë†â€™92.76 to Ã¢Ë†â€™2.06; 3 splitÃ¢â‚¬Âmouth RCTs, 122 participants; very high heterogeneity IÃ‚Â² = 95%), but not at longer distances (MD Ã¢Ë†â€™1.00, Ã¢Ë†â€™2.56 to 0.56; 1 RCT, 80 participants). One splitÃ¢â‚¬Âmouth RCT (six participants) found that HVE may not be more effective than conventional dental suction (saliva ejector or lowÃ¢â‚¬Âvolume evacuator) at 40 cm (MD CFU Ã¢Ë†â€™2.30, 95% CI Ã¢Ë†â€™5.32 to 0.72) or 150 cm (MD Ã¢Ë†â€™2.20, 95% CI Ã¢Ë†â€™14.01 to 9.61). Dental isolation combination system One RCT (50 participants) found that there may be no difference in CFU between a combination system (Isolite) and a saliva ejector (lowÃ¢â‚¬Âvolume evacuator) during AGPs (MD Ã¢Ë†â€™0.31, 95% CI Ã¢Ë†â€™0.82 to 0.20) or after AGPs (MD Ã¢Ë†â€™0.35, Ã¢Ë†â€™0.99 to 0.29). However, an 'n of 1' design study showed that the combination system may reduce CFU compared with rubber dam plus HVE (MD Ã¢Ë†â€™125.20, 95% CI Ã¢Ë†â€™174.02 to Ã¢Ë†â€™76.38) or HVE (MD Ã¢Ë†â€™109.30, 95% CI Ã¢Ë†â€™153.01 to Ã¢Ë†â€™65.59). Rubber dam One splitÃ¢â‚¬Âmouth RCT (10 participants) receiving dental treatment, found that there may be a reduction in CFU with rubber dam at oneÃ¢â‚¬Âmetre (MD Ã¢Ë†â€™16.20, 95% CI Ã¢Ë†â€™19.36 to Ã¢Ë†â€™13.04) and twoÃ¢â‚¬Âmetre distance (MD Ã¢Ë†â€™11.70, 95% CI Ã¢Ë† 15.82 to Ã¢Ë†â€™7.58). One RCT of 47 dental students found use of rubber dam may make no difference in CFU at the forehead (MD 0.98, 95% CI Ã¢Ë†â€™0.73 to 2.70) and occipital region of the operator (MD 0.77, 95% CI Ã¢Ë†â€™0.46 to 2.00). One splitÃ¢â‚¬Âmouth RCT (21 participants) found that rubber dam plus HVE may reduce CFU more than cotton roll plus HVE on the patient's chest (MD Ã¢Ë†â€™251.00, 95% CI Ã¢Ë†â€™267.95 to Ã¢Ë†â€™234.05) and dental unit light (MD Ã¢Ë†â€™12.70, 95% CI Ã¢Ë†â€™12.85 to Ã¢Ë†â€™12.55). Air cleaning systems One splitÃ¢â‚¬Âmouth CCT (two participants) used a local standÃ¢â‚¬Âalone air cleaning system (ACS), which may reduce aerosol contamination during cavity preparation (MD Ã¢Ë†â€™66.70 CFU, 95% CI Ã¢Ë†â€™120.15 to Ã¢Ë†â€™13.25 per cubic metre) or ultrasonic scaling (MD Ã¢Ë†â€™32.40, 95% CI Ã¢â‚¬Â 51.55 to Ã¢Ë†â€™13.25). Another CCT (50 participants) found that laminar flow in the dental clinic combined with a HEPA filter may reduce contamination approximately 76 cm from the floor (MD Ã¢Ë†â€™483.56 CFU, 95% CI Ã¢Ë†â€™550.02 to Ã¢Ë†â€™417.10 per cubic feet per minute per patient) and 20 cm to 30 cm from the patient's mouth (MD Ã¢Ë†â€™319.14 CFU, 95% CI Ã¢â‚¬Â 385.60 to Ã¢Ë†â€™252.68). Disinfectants Ã¢â‚¬â€™ antimicrobial coolants Two RCTs evaluated use of antimicrobial coolants during ultrasonic scaling. Compared with distilled water, coolant containing chlorhexidine (CHX), cinnamon extract coolant or povidone iodine may reduce CFU: CHX (MD Ã¢Ë†â€™124.00, 95% CI Ã¢Ë†â€™135.78 to Ã¢Ë†â€™112.22; 20 participants), povidone iodine (MD Ã¢Ë†â€™656.45, 95% CI Ã¢Ë†â€™672.74 to Ã¢Ë†â€™640.16; 40 participants), cinnamon (MD Ã¢Ë†â€™644.55, 95% CI Ã¢Ë†â€™668.70 to Ã¢Ë†â€™620.40; 40 participants). CHX coolant may reduce CFU more than povidone iodine (MD Ã¢Ë†â€™59.30, 95% CI Ã¢Ë†â€™64.16 to Ã¢Ë†â€™54.44; 20 participants), but not more than cinnamon extract (MD Ã¢Ë†â€™11.90, 95% CI Ã¢Ë†â€™35.88 to 12.08; 40 participants). Authors' conclusions We found no studies that evaluated disease transmission via aerosols in a dental setting; and no evidence about viral contamination in aerosols. All of the included studies measured bacterial contamination using colonyÃ¢â‚¬Âforming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COVIDÃ¢â‚¬Â19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patientÃ¢â‚¬â„¢s saliva, which may also contain microÃ¢â‚¬Âorganisms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Ã¢â‚¬Â ways to decontaminate the mouth before aerosols are produced, for example by using antiÃ¢â‚¬Âmicrobial mouthwash; Ã¢â‚¬Â ways to prevent aerosols from leaving the mouth (for example, placing a rubber sheet Ã¢â‚¬â€œ known as a Ã¢â‚¬ËœdamÃ¢â‚¬â„¢ Ã¢â‚¬â€œ around the tooth that is to be treated, to isolate the treatment zone from saliva; or using a strawÃ¢â‚¬Âlike suction tube known as a saliva ejector); Ã¢â‚¬Â local ventilation using a suction device (known as a highÃ¢â‚¬Âvolume evacuator) that draws up a large volume of air and evacuates aerosols from the treatment zone; Ã¢â‚¬Â general ventilation, to reduce the concentration of aerosols in t e air, for example by keeping windows open; Ã¢â‚¬Â decontamination of airÃ¢â‚¬Âborne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Ã¢â‚¬Â highÃ¢â‚¬Âvolume evacuator (7 studies); Ã¢â‚¬Â handsÃ¢â‚¬Âfree suction device (2 studies); Ã¢â‚¬Â saliva ejector (1 study); Ã¢â‚¬Â rubber dam (3 studies); Ã¢â‚¬Â rubber dam with a highÃ¢â‚¬Âvolume evacuator (1 study); or Ã¢â‚¬Â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betterÃ¢â‚¬Âquality studies in this area. How up to date is this review? The evidence in this Cochrane Review is current to September 2020.</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</si>
  <si>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</si>
  <si>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</si>
  <si>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Â© 2019 American College of Radiology</t>
  </si>
  <si>
    <t>Study uses data from UK NHS Breast Screening Program centers.</t>
  </si>
  <si>
    <t>J1802</t>
  </si>
  <si>
    <t>PBI5 Future Trends on the Biosimilar Uptake in China, JAPAN, the US, the EU4 and the UK</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</si>
  <si>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Â© 2020</t>
  </si>
  <si>
    <t>UK is explicitly mentioned as a study setting.</t>
  </si>
  <si>
    <t>J1803</t>
  </si>
  <si>
    <t>Newborn screening for galactosaemia</t>
  </si>
  <si>
    <t>- Background Classical galactosaemia is an autosomal recessive inborn error of metabolism caused by a deficiency of the enzyme galactoseâ€1â€phosphate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soyaâ€based formula. The majority of babies will recover, however a number will not survive. There are longâ€term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nonâ€screened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nonâ€trial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longâ€term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</si>
  <si>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J1804</t>
  </si>
  <si>
    <t>Virtual reality distraction for acute pain in children</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</si>
  <si>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crossâ€over and clusterâ€RCTs, comparing VR distraction to no distraction, nonâ€VR distraction or other VR distraction. Data collection and analysis We used standard Cochrane methodological processes. Two reviewers assessed risk of bias and extracted data independently. The primary outcome was acute pain intensity (during procedure, and up to one hour postâ€procedure). Secondary outcomes were adverse effects, child satisfaction with VR, painâ€related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Selfâ€report: one study (42 participants) found no beneficial effect of nonâ€immersive VR (very lowâ€certainty evidence). Observerâ€report: no data. Behavioural measurements (observerâ€report): two studies, 62 participants; lowâ€certainty evidence. One study (n = 42) found no beneficial effect of nonâ€immersive VR. One study (n = 20) found a beneficial effect favouring immersive VR. Acute pain intensity: postâ€procedure Selfâ€report: 10 studies, 461 participants; very lowâ€certainty evidence. Four studies (n = 95) found no beneficial effect of immersive and semiâ€immersive or nonâ€immersive VR. Five studies (n = 357) found a beneficial effect favouring immersive VR. Another study (n = 9) reported less pain in the VR group. Observerâ€report: two studies (216 participants; lowâ€certainty evidence) found a beneficial effect of immersive VR, as reported by primary caregiver/parents or nurses. One study (n = 80) found a beneficial effect of immersive VR, as reported by researchers. Behavioural measurements (observerâ€report): one study (42 participants) found no beneficial effect of nonâ€immersive VR (very lowâ€certainty evidence). Adverse effects: five studies, 154 participants; very lowâ€certainty evidence. Three studies (n = 53) reported no adverse effects. Two studies (n = 101) reported mild adverse effects (e.g. nausea) in the VR group. 2: VR distraction versus other nonâ€VR distraction Acute pain intensity: during procedure Selfâ€report, observerâ€report and behavioural measurements (observerâ€report): two studies, 106 participants: Selfâ€report: one study (n = 65) found a beneficial effect favouring immersive VR and one (n = 41) found no evidence of a difference in mean pain change scores (very lowâ€certainty evidence) Observerâ€report: one study (n = 65) found a beneficial effect favouring immersive VR and one (n = 41) found no evidence of a difference in mean pain change scores (lowâ€certainty evidence). Behavioural measurements (observerâ€report): one study (n = 65) found a beneficial effect favouring immersive VR and one (n = 41) reported a difference in mean pain change scores with fewer pain behaviours in VR group (lowâ€certainty evidence). Acute pain intensity: postâ€procedure Selfâ€report: eight studies, 575 participants; very lowâ€certainty evidence. Two studies (n = 146) found a beneficial effect favouring immersive VR. Two studies (n = 252) reported a betweenâ€group difference favouring immersive VR. One study (n = 59) found no beneficial effect of immersive VR versus television and Child Life nonâ€VR distraction. One study (n = 18) found no beneficial effect of semiâ€immersive VR. Two studies (n = 100) reported no betweenâ€group difference. Observerâ€report: three studies, 187 participants; lowâ€certainty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(observerâ€report): two studies, 106 participants; lowâ€certainty evidence. One study (n = 65) found a beneficial effect favouring immersive VR. Another study (n = 41) reported no evidence of a difference in mean pain change scores. Adverse effects: six studies, 429 participants; very lowâ€certainty evidence. Three studies (n = 229) found no evidence of a difference between groups. Two studies (n = 141) reported no adverse effects in VR group. One study (n = 59) reported no beneficial effect in reducing estimated cyberâ€sickness before and after VR immersion. 3: VR distraction versus other VR distraction We did not identify any studies for this comparison. Authors' conclusions We found lowâ€certainty and very lowâ€certainty evidence of the effectiveness of VR distraction compared to no distraction or other nonâ€VR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wellâ€designed, large, highâ€quality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â€ Fullyâ€immersive: users typically wear a headset with headphones and a screen, and interact with the virtual environment as if they were really in it. â€ Semiâ€immersive: users interact with a partially virtual environment (for example, a flight simulator where the controls are real, but the windows display virtual images). â€ Nonâ€immersive: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nonâ€virtual distraction. No studies compared different types of virtual reality. During a medical procedure We cannot tell whether virtual reality reduces selfâ€reported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fullyâ€immersive virtual reality was beneficial compared to nonâ€virtual distraction, but not in the other. Fullyâ€immersive virtual reality may reduce pain assessed by an observer based on children's behaviour (for example, crying, or rubbing a body part in a way that indicates pain) more effectively than nonâ€virtual distraction (two studies) or no distraction (one study). Nonâ€immersive virtual reality was not beneficial for pain assessed by an observer based on children's behaviour compared to no distraction (one study). A fter a medical procedure We cannot tell whether virtual reality can reduce selfâ€reported pain after a medical procedure, as we have too little confidence in the evidence available (16 studies). Five studies investigated changes in pain assessed by an observer. Virtual reality was beneficial compared to no distraction in two studies, and also when compared to nonâ€virtual distraction in another two studies. However, it was no better than nonâ€virtual distraction in one study. Two studies investigating pain assessed by an observer based on children's behaviour reported conflicting findings: immersive virtual reality was beneficial compared to nonâ€virtual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wellâ€designed studies in this area. How upâ€to date is this review? The evidence in this Cochrane Review is current to October 2019.</t>
  </si>
  <si>
    <t>J1805</t>
  </si>
  <si>
    <t>Does linear equating improve prediction in mapping? Crosswalking MacNew onto EQ-5D-5L value sets</t>
  </si>
  <si>
    <t>Purpose</t>
  </si>
  <si>
    <t>J1806</t>
  </si>
  <si>
    <t>Organised inpatient (stroke unit) care for stroke: network metaâ€analysis</t>
  </si>
  <si>
    <t>- Background Organised inpatient (stroke unit) care is provided by multiâ€disciplinary teams that manage stroke patients. This can been provided in a ward dedicated to stroke patients (stroke ward), with a peripatetic stroke team (mobile stroke team), or within a generic disability service (mixed rehabilitation ward). Team members aim to provide coâ€ordinated multiâ€disciplinary care using standard approaches to manage common postâ€stroke problems. Objectives â€¢ To assess the effects of organised inpatient (stroke unit) care compared with an alternative service. â€¢ To use a network metaâ€analysis (NMA) approach to assess different types of organised inpatient (stroke unit) care for people admitted to hospital after a stroke (the standard comparator was care in a general ward). Originally, we conducted this systematic review to clarify: â€¢ The characteristic features of organised inpatient (stroke unit) care? â€¢ Whether organised inpatient (stroke unit) care provide better patient outcomes than alternative forms of care? â€¢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coâ€ordinators of the original trials, assessed risk of bias, and applied GRADE. The primary outcome was poor outcome (death or dependency (Rankin score 3 to 5) or requiring institutional care) at the end of scheduled followâ€up.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followâ€up (median one year): poor outcome (odds ratio (OR) 0.77, 95% confidence interval (CI) 0.69 to 0.87; moderateâ€quality evidence), death (OR 0.76, 95% CI 0.66 to 0.88; moderateâ€quality evidence), death or institutional care (OR 0.76, 95% CI 0.67 to 0.85; moderateâ€quality evidence), and death or dependency (OR 0.75, 95% CI 0.66 to 0.85; moderateâ€quality evidence). Evidence was of very low quality for subjective health status and was not available for patient satisfaction. Analysis of length of stay was complicated by variations in definitio and measurement plus substantial statistical heterogeneity (IÂ²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followâ€up. Outcomes appeared to be independent of patient age, sex, initial stroke severity, stroke type, and duration of followâ€up.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followâ€up (OR 0.78, 95% CI 0.68 to 0.91; moderateâ€quality evidence). Direct comparison of mobile stroke team versus general ward: two trials (438 participants) compared care from a mobile stroke team with care in general wards. Stroke team care may result in little difference in the odds of a poor outcome at the end of followâ€up (OR 0.80, 95% CI 0.52 to 1.22; lowâ€quality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followâ€up (OR 0.65, 95% CI 0.47 to 0.90; moderateâ€quality evidence). In a NMA using care in a general ward as the comparator, the odds of a poor outcome were as follows: stroke ward â€ OR 0.74, 95% CI 0.62 to 0.89, moderateâ€quality evidence; mobile stroke team â€ OR 0.88, 95% CI 0.58 to 1.34, lowâ€quality evidence; mixed rehabilitation ward â€ OR 0.70, 95% CI 0.52 to 0.95, lowâ€quality evidence. Authors' conclusions We found moderateâ€quality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â€¨Does organised inpatient (stroke unit) care improve the recovery of people with stroke in hospital compared with conventional care in general wards? Background â€¨Organised inpatient (stroke unit) care is a form of care provided in hospital by nurses, doctors, and therapists who specialise in looking after people with stroke. They aim to work as a coâ€ordinated team to provide the most appropriate care tailored to the needs of individual people with stroke. Study characteristics â€¨We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â€¨At an average of 12 months after their stroke, people who received organised inpatient (stroke unit) care were more likely to be alive (an extra two people surviving for every 100 receiving stroke unit care; moderateâ€quality evidence) and living at home (an extra six patients for every 100 receiving stroke unit care; moderateâ€quality evidence). They also were more lik ly to be independent in daily activities (an extra six patients for every 100 receiving stroke unit care; moderateâ€quality evidence). The apparent benefits were seen in men and women, older and younger patients, and people with different types of stroke and different stroke severity. Benefits were most obvious when the stroke unit was based in a discrete stroke ward. Quality of the evidence â€¨We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lowâ€quality evidence. Conclusion â€¨People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</si>
  <si>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</si>
  <si>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</si>
  <si>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faceâ€toâ€face or when added to usual care. Objectives To determine whether the use of telerehabilitation leads to improved ability to perform activities of daily living amongst stroke survivors when compared with (1) inâ€person rehabilitation (when the clinician and the patient are at the same physical location and rehabilitation is provided faceâ€toâ€face); or (2) no rehabilitation or usual care. Secondary objectives were to determine whether use of telerehabilitation leads to greater independence in selfâ€care and domestic life and improved mobility, balance, healthâ€related quality of life, depression, upper limb function, cognitive function or functional communication when compared with inâ€person rehabilitation and no rehabilitation. Additionally, we aimed to report on the presence of adverse events, costâ€effectiveness,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postâ€hospital discharge support programs, upper limb training, lower limb and mobility retraining and communication therapy for people with postâ€stroke language disorders. Studies were either conducted upon discharge from hospital or with people in the subacute or chronic phases following stroke. Primary outcome: we found moderateâ€quality evidence that there was no difference in activities of daily living between people who received a postâ€hospital discharge telerehabilitation intervention and those who received usual care (based on 2 studies with 661 participants (standardised mean difference (SMD) â€0.00, 95% confidence interval (CI) â€0.15 to 0.15)). We found lowâ€quality evidence of no difference in effects on activities of daily living between telerehabilitation and inâ€person physical therapy programmes (based on 2 studies w th 75 participants: SMD 0.03, 95% CI â€0.43 to 0.48). Secondary outcomes: we found a low quality of evidence that there was no difference between telerehabilitation and inâ€person rehabilitation for balance outcomes (based on 3 studies with 106 participants: SMD 0.08, 95%CI â€0.30 to 0.46). Pooling of three studies with 569 participants showed moderateâ€quality evidence that there was no difference between those who received postâ€discharge support interventions and those who received usual care on healthâ€related quality of life (SMD 0.03, 95% CI â€0.14 to 0.20). Similarly, pooling of six studies (with 1145 participants) found moderateâ€quality evidence that there was no difference in depressive symptoms when comparing postâ€discharge teleâ€support programs with usual care (SMD â€0.04, 95% CI â€0.19 to 0.11). We found no difference between groups for upper limb function (based on 3 studies with 170 participants: mean difference (MD) 1.23, 95% CI â€2.17 to 4.64, lowâ€quality evidence) when a computer program was used to remotely retrain upper limb function in comparison to inâ€person therapy. Evidence was insufficient to draw conclusions on the effects of telerehabilitation on mobility or participant satisfaction with the intervention. No studies evaluated the costâ€effectiveness of telerehabilitation; however, five of the studies reported health service utilisation outcomes or costs of the interventions provided within the study. Two studies reported on adverse events, although no serious trialâ€related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moderateâ€level evidence testing whether telerehabilitation is a more effective or similarly effective way to provide rehabilitation. Shortâ€term postâ€hospital discharge telerehabilitation programmes have not been shown to reduce depressive symptoms, improve quality of life, or improve independence in activities of daily living when compared with usual care. Studies comparing telerehabilitation and inâ€person therapy have also not found significantly different outcomes between groups, suggesting that telerehabilitation is not inferior. Some studies reported that telerehabilitation was less expensive to provide but information was lacking about costâ€effectiveness.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â€¨ This review aimed to gather evidence for the use of telerehabilitation after stroke. We aimed to compare telerehabilitation with therapy delivered faceâ€toâ€face and with no therapy (usual care). Background 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â€¨ As the studies were very different, it was rarely appropriate to combine results to determine overall effect. We found that people who received telerehabilitation had similar outcomes for activities of daily living function to those that received faceâ€toâ€face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costâ€effectiveness. Only two trials reported on whether or not any adverse events had occurred; these trials found no serious adverse events were related to telerehabilitation. Further trials are required. Quality of the evidence â€¨ The quality of the evidence was generally of low or moderate quality. The quality of the evidence for each outcome was limited due to small numbers of study participants and poor reporting of study details.</t>
  </si>
  <si>
    <t>J1808</t>
  </si>
  <si>
    <t>Acupuncture for glaucoma</t>
  </si>
  <si>
    <t>- Background Glaucoma is a multiâ€factorial optic neuropathy characterized by an acquired loss of retinal ganglion cells at levels beyond normal ageâ€related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acupressureï¼a nonâ€standard acupuncture techniqueï¼with the sham procedure in 33 patients. Another trial compared transcutaneous electrical nerve stimulation (TENS) with a sham procedure in 82 patients. The third trial compared 12 sessions of acupuncture on eyeâ€points versus on nonâ€eyeâ€points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betweenâ€group comparison. Because of the quantity of missing data (50%), we did not calculate a betweenâ€group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â€3.70 (95% confidence interval [CI] â€7.11 to â€0.29) for the right eye and â€4.90 (95% CI â€8.08 to â€1.72) for the left eye at four weeks, and â€1.30 mm Hg (95% CI â€4.78 to 2.18) for the right eye and â€2.30 mm Hg (95% CI â€5.73 to 1.13) for he left eye at eight weeks. For the trial comparing TENS to sham treatment, the difference reduction is estimated to be â€2.81 (95% CI â€3.8 to â€1.84) for the right eye and â€2.58 (95% CI â€3.36 to â€1.80) for the left eye immediately after treatment, â€2.93 (95% CI â€3.72 to â€2.13) for the right eye and â€3.56 (95% CI â€4.35 to 2.78) for the left eye 30 minutes after treatment, and finally â€3.61 (95% CI â€4.47 to â€2.75) for the right eye and â€3.61 (95% â€4.47 to â€2.74) for the left eye. For the trial that compared acupuncture on eyeâ€points versus nonâ€eyeâ€points, 11 out of 22 (50%) participants did not complete the treatment. One trial reported data for estimation of visual acuity. When acupressure is compared to sham treatment, the difference in uncorrected visual acuity (UCVA, measured in logMAR) is estimated to be â€0.01 (95% CI â€0.24 to 0.22) for the right eye and â€0.04 (95% CI â€0.27 to 0.19) for the left eye at four months, and â€0.03 logMAR (95% CI â€0.27 to 0.21) for the right eye and â€0.16 logMAR (95% CI â€0.43 to 0.11) for the left eye at eight months. The difference in best corrected visual acuity (BCVA) is estimated to be 0.10 (95% CI â€0.06 to 0.26) for the right eye and 0 (95% CI â€0.14 to 0.14) for the left eye at four months, and â€0.04 logMAR (95% CI â€0.09 to 0.17) for the right eye and â€0.04 logMAR (95% CI â€0.18 to 0.10) for the left eye at eight months. One trial reported progression of optic disc damage or nerve fiber layer loss without any betweenâ€group comparison. Because of the quantity of missing data (50%), we did not calculate a betweenâ€group comparison, as the quantitative results are difficult to interpret. One trial reported adverse events in two patients (out of 22) who experienced needle sensitivity. However, the study did not report betweenâ€group comparisons. Because of the quantity of missing data (50%), we did not calculate a betweenâ€group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â€¨ This review aimed to assess whether acupuncture is useful and safe in treating people with glaucoma. We included in the review three completed trials and one ongoing trial. What is the key message of this review? â€¨ At this time, it is impossible to draw reliable conclusions from available data to support the use of acupuncture for treatment of people with glaucoma. What was studied in the review? â€¨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â€¨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nonâ€standard acupuncture technique), transcutaneous electrical nerve stimulation, and acupuncture on eyeâ€points (12 sessions). Acupuncture may have a very small effect in reducing eye pressure, but the certainty of evidence is very low. One trial reported needle sensitivity. Trials provided no evidence of effect on visual field or visual acuity. How upâ€toâ€date is this review? â€¨ Cochrane Review authors searched for studies that had been published up o November 16, 2018.</t>
  </si>
  <si>
    <t>Study conducted in Taiwan and the United States.</t>
  </si>
  <si>
    <t>J1809</t>
  </si>
  <si>
    <t>Behavioural modification interventions for medically unexplained symptoms in primary care: systematic reviews and economic evaluation</t>
  </si>
  <si>
    <t>&lt;b&gt;BACKGROUND&lt;/b&gt;: The term 'medically unexplained symptoms' is used to cover a wide range of persistent bodily complaints for which adequate examination and appropriate investigations do not reveal sufficiently explanatory structural or other specified pathologies. A wide range of interventions may be delivered to patients presenting with medically unexplained symptoms in primary care. Many of these therapies aim to change the behaviours of the individual who may have worsening symptoms._x000D_
&lt;b&gt;OBJECTIVES&lt;/b&gt;: An evidence synthesis to determine the clinical effectiveness and cost-effectiveness of behavioural modification interventions for medically unexplained symptoms delivered in primary care settings was undertaken. Barriers to and facilitators of the effectiveness and acceptability of these interventions from the perspective of patients and service providers were evaluated through qualitative review and realist synthesis._x000D_
&lt;b&gt;DATA SOURCES&lt;/b&gt;: Full search strategies were developed to identify relevant literature. Eleven electronic sources were searched. Eligibility criteria - for the review of clinical effectiveness, randomised controlled trials were sought. For the qualitative review, UK studies of any design were included. For the cost-effectiveness review, papers were restricted to UK studies reporting outcomes as quality-adjusted life-year gains. Clinical searches were conducted in November 2015 and December 2015, qualitative searches were conducted in July 2016 and economic searches were conducted in August 2016. The databases searched included MEDLINE, Cumulative Index to Nursing and Allied Health Literature (CINAHL), PsycINFO and EMBASE. Updated searches were conducted in February 2019 and March 2019._x000D_
&lt;b&gt;PARTICIPANTS&lt;/b&gt;: Adult participants meeting the criteria for medically unexplained symptoms, including somatoform disorders, chronic unexplained pain and functional somatic syndromes._x000D_
&lt;b&gt;INTERVENTIONS&lt;/b&gt;: Behavioural interventions were categorised into types. These included psychotherapies, exercise-based interventions, multimodal therapies (consisting of more than one intervention type), relaxation/stretching/social support/emotional support, guided self-help and general practitioner interventions, such as reattribution. Evidence synthesis: a network meta-analysis was conducted to allow a simultaneous comparison of all evaluated interventions in a single coherent analysis. Separate network meta-analyses were performed at three time points: end of treatment, short-term follow-up (&lt; 6 months since the end of treatment) and long-term follow-up (&gt;= 6 months after the end of treatment). Outcomes included physical and psychological symptoms, physical functioning and impact of the illness on daily activities. Economic evaluation: within-trial estimates of cost-effectiveness were generated for the subset of studies where utility values (or quality-adjusted life-years) were reported or where these could be estimated by mapping from Short Form questionnaire-36 items or Short Form questionnaire-12 items outcomes._x000D_
&lt;b&gt;RESULTS&lt;/b&gt;: Fifty-nine studies involving 9077 patients were included in the clinical effectiveness review. There was a large degree of heterogeneity both between and within intervention types, and the networks were sparse across all outcomes. At the end of treatment, behavioural interventions showed some beneficial effects when compared with usual care, in particular for improvement of specific physical symptoms [(1) pain: high-intensity cognitive-behavioural therapy (CBTHI) standardised mean difference (SMD) 0.54 [95% credible interval (CrI) 0.28 to 0.84], multimodal SMD 0.52 (95% CrI 0.19 to 0.89); and (2) fatigue: low-intensity cognitive-behavioural therapy (CBTLI) SMD 0.72 (95% CrI 0.27 to 1.21), relaxation/stretching/social support/emotional support SMD 0.87 (95% CrI 0.20 to 1.55), graded activity SMD 0.51 (95% CrI 0.14 to 0.93), multimodal SMD 0.52 (95% CrI 0.14 to 0.92)] and psychological outcomes [(1) anxiety CBTHI SMD 0.52 (95% CrI 0.06 to 0.96); (2) depression CBTHI SMD 0.80 (95% CrI 0.26 to 1.38); and (3) emotional distress other psychotherapy SMD 0.58 (95% CrI 0.05 to 1.13), relaxation/stretching/social support/emotional support SMD 0.66 (95% CrI 0.18 to 1.28) and sport/exercise SMD 0.49 (95% CrI 0.03 to 1.01)]. At short-term follow-up, behavioural interventions showed some beneficial effects for specific physical symptoms [(1) pain: CBTHI SMD 0.73 (95% CrI 0.10 to 1.39); (2) fatigue: CBTLI SMD 0.62 (95% CrI 0.11 to 1.14), relaxation/stretching/social support/emotional support SMD 0.51 (95% CrI 0.06 to 1.00)] and psychological outcomes [(1) anxiety: CBTHI SMD 0.74 (95% CrI 0.14 to 1.34); (2) depression: CBTHI SMD 0.93 (95% CrI 0.37 to 1.52); and (3) emotional distress: relaxation/stretching/social support/emotional support SMD 0.82 (95% CrI 0.02 to 1.65), multimodal SMD 0.43 (95% CrI 0.04 to 0.91)]. For physical functioning, only multimodal therapy showed beneficial effects: end-of-treatment SMD 0.33 (95% CrI 0.09 to 0.59); and short-term follow-up SMD 0.78 (95% CrI 0.23 to 1.40). For impact on daily activities, CBTHI was the only behavioural intervention to show beneficial effects [end-of-treatment SMD 1.30 (95% CrI 0.59 to 2.00); and short-term follow-up SMD 2.25 (95% CrI 1.34 to 3.16)]. Few effects remained at long-term follow-up. General practitioner interventions showed no significant beneficial effects for any outcome. No intervention group showed conclusive beneficial effects for measures of symptom load (somatisation). A large degree of heterogeneity was found across individual studies in the assessment of cost-effectiveness. Several studies suggested that the interventions produce fewer quality-adjusted life-years than usual care. For those interventions that generated quality-adjusted life-year gains, the mid-point incremental cost-effectiveness ratios (ICERs) ranged from 1397 to 129,267, but, where the mid-point ICER fell below 30,000, the exploratory assessment of uncertainty suggested that it may be above 30,000._x000D_
&lt;b&gt;LIMITATIONS&lt;/b&gt;: Sparse networks meant that it was not possible to conduct a metaregression to explain between-study differences in effects. Results were not consistent within intervention type, and there were considerable differences in characteristics between studies of the same type. There were moderate to high levels of statistical heterogeneity. Separate analyses were conducted for three time points and, therefore, analyses are not repeated-measures analyses and do not account for correlations between time points._x000D_
&lt;b&gt;CONCLUSIONS&lt;/b&gt;: Behavioural interventions showed some beneficial effects for specific medically unexplained symptoms, but no one behavioural intervention was effective across all medically unexplained symptoms. There was little evidence that these interventions are effective for measures of symptom load (somatisation). General practitioner-led interventions were not shown to be effective. Considerable heterogeneity in interventions, populations and sparse networks mean that results should be interpreted with caution. The relationship between patient and service provider is perceived to play a key role in facilitating a successful intervention. Future research should focus on testing the therapeutic effects of the general practitioner-patient relationship within trials of behavioural interventions, and explaining the observed between-study differences in effects within the same intervention type (e.g. with more detailed reporting of defined mechanisms of the interventions under study)._x000D_
&lt;b&gt;STUDY REGISTRATION&lt;/b&gt;: This study is registered as PROSPERO CRD42015025520._x000D_
&lt;b&gt;FUNDING&lt;/b&gt;: This project was funded by the National Institute for Health Research (NIHR) Health Technology Assessment programme and will be published in full in Health Technology Assessment; Vol. 24, No. 46. See the NIHR Journals Library website for further project information.</t>
  </si>
  <si>
    <t>Cost-effectiveness review restricted to UK studies.</t>
  </si>
  <si>
    <t>J1810</t>
  </si>
  <si>
    <t>Behavioural modification interventions for medically unexplained symptoms in primary care: Systematic reviews and economic evaluation</t>
  </si>
  <si>
    <t>BACKGROUND</t>
  </si>
  <si>
    <t>J1811</t>
  </si>
  <si>
    <t>Alcohol misuse and patient outcomes following admission to the intensive care unit at royal preston hospital-are we making good use of medical resources?</t>
  </si>
  <si>
    <t>A number of factors have led to the increased prevalence of alcohol misuse in the UK for the past few decades (1-3). Alcohol-related harm is now a leading cause of death (3,4), and has become a significant burden, especially to our healthcare system (1). A small number of these patients require admission to the intensive care unit (ICU) but their prognosis remains uncertain. There is inconsistent use of ICU regarding such individuals, which have inevitably impacted on the quality of patient care in this cohort. In this retrospective audit study, we attempted to a) investigate the on-unit and long-term survival of patients who had been admitted to the ICU at Royal Preston Hospital as a result of alcohol misuse; b) explore various factors which might have contributed to such outcomes; c) discuss, in the context of the wider society, in order to explore the ethical implications of admitting such patients to the ICU, and how the decision making will inevitably impact on efficacy of treatment and resource allocation. We reviewed 79 patients who were admitted to the ICU of Royal Preston Hospital following alcoholrelated harm against their survival outcomes. Receiver Operating Characteristic Curves, logistical Regression and Kaplan-Meier Survival Curves were used to determine the association between patient markers and their prognoses. These admissions were shown to be costly (approximately 900,432 over the 18-month period), and generally carried a poor prognosis (mortality rate=38%). Child-Pugh scores and the Model for End-Stage Liver Disease (MELD) were associated with good prognostic power. In addition, several factors were demonstrated to be associated with worse survival outcomes: female gender (odds ratio=6.67, p=0.0002), hypoglycaemia (odds ratio=4.33, p=0.0044), hypothermia (odds ratio=4.90, p=0.0048), raised lactate (odds ratio= 7.25, p=0.0004), raised alkaline phosphatase (ALP, odds ratio=4.03, p=0.0078). Many patients from this cohort would have benefited from end of life care, of which the stronger focus on symptom relief is in agreement with the principle of beneficence and non-maleficence. We noted that pre-agreed care plans that reflects individual patients' realistic prognoses would have played an important role in guiding such admissions to protect their autonomy. The question of resource allocation and social justice has become more important amid deteriorating national performance in cancer treatment (5). Elective cancer operations required shorter ICU stays (p=0.0028) and came with a possible lower mortality rate (p=0.5505). The bed days from alcohol-related admissions could have in theory accommodated 108 elective cancer surgeries per annum. Preventative strategies and personal lifestyle choice alterations are urgently needed to combat alcoholrelated harm. For the unfortunate patients who have become seriously ill from alcohol misuse, Child-Pugh scores, MELD scores, female gender, hypoglycaemia, hypothermia, raised lactate, raised alkaline phosphatase are found to be associated with adverse outcomes after admission to the intensive care unit.</t>
  </si>
  <si>
    <t>Study conducted at Royal Preston Hospital, UK.</t>
  </si>
  <si>
    <t>J1812</t>
  </si>
  <si>
    <t>Are low and middle-income countries prioritising high-value healthcare interventions?</t>
  </si>
  <si>
    <t>&lt;b&gt;Introduction&lt;/b&gt;: Since resources are finite, investing in services that produce the highest health gain 'return on investment' is critical. We assessed the extent to which low and middle-income countries (LMIC) have included cost-saving interventions in their national strategic health plans._x000D_
&lt;b&gt;Methods&lt;/b&gt;: We used the Tufts Medical Center Global Health Cost-Effectiveness Analysis Registry, an open-source database of English-language cost-per-disability-adjusted life year (DALY) studies, to identify analyses published in the last 10 years (2008-2017) of cost-saving health interventions in LMICs. To assess whether countries prioritised cost-saving interventions within their latest national health strategic plans, we identified 10 countries, all in sub-Saharan Africa, with the highest measures on the global burden of disease scale and reviewed their national health priority plans._x000D_
&lt;b&gt;Results&lt;/b&gt;: We identified 392 studies (63%) targeting LMICs that reported 3315 cost-per-DALY ratios, of which 207 ratios (6%) represented interventions reported to be cost saving. Over half (53%) of these targeted sub-Saharan Africa. For the 10 countries we investigated in sub-Saharan Africa, 58% (79/137) of cost-saving interventions correspond with priorities identified in country plans. Alignment ranged from 95% (21/22 prioritised cost-saving ratios) in South Africa to 17% (2/12 prioritised cost-saving ratios) in Cameroon. Human papillomavirus vaccination was a noted priority in 70% (7/10) of national health prioritisation plans, while 40% (4/10) of countries explicitly included prenatal serological screening for syphilis. HIV prevention and treatment were stated priorities in most country health plans, whereas 40% (2/5) of countries principally outlined efforts for lymphatic filariasis. From our sample of 45 unique interventions, 36% of interventions (16/45) included costs associated directly with the implementation of the intervention._x000D_
&lt;b&gt;Conclusion&lt;/b&gt;: Our findings indicate substantial variation across country and disease area in incorporating economic evidence into national health priority plans in a sample of sub-Saharan African countries. To make health economic data more salient, the authors of cost-effectiveness analyses must do more to reflect implementation costs and other factors that could limit healthcare delivery.</t>
  </si>
  <si>
    <t>J1813</t>
  </si>
  <si>
    <t>Routine Health Information System (RHIS) improvements for strengthened health system management</t>
  </si>
  <si>
    <t>- Background A wellâ€functioning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â€˜similar articlesâ€™ search in PubMed. Selection criteria Randomised and nonâ€randomised trials, controlled beforeâ€after studies and timeâ€series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beforeâ€after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webâ€based electronic TB laboratory information system probably reduces the length of time to reporting of TB test results, and probably reduces the overall rate of recording errors of TB test results, compared to a paperâ€based system (moderate certainty evidence). We are uncertain about the effect of the electronic laboratory information system on the recording rate of serious (misidentification) errors for TB test results compared to a paperâ€based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handâ€held electronic device probably improves the length of time to report TB test results, and probably reduces the total frequency of recording errors in TB test results between the laboratory notebook and the electronic information record system, compared to a paperâ€based system (moderateâ€certainty evidence). We are, however, uncertain about the effect of the intervention on the frequency of serious (misidentification) errors in recording between the laboratory notebook and the electronic information record, compared to a paperâ€based system (very low certainty evidence). We are uncertain about the effect of a hospital electronic health information system on service quality (length of time outpatients spend at hospital, length of hospital stay, a d hospital revenue collection), compared to a paperâ€based system (very low certainty evidence). Highâ€intensity brief text messaging (SMS) may make little or no difference to data quality (in terms of completeness of documentation of pregnancy outcomes), compared to lowâ€intensity brief text messaging (lowâ€certainty evidence). We are uncertain about the effect of electronic drug stock notification (with either data management support or product transfer support) on service quality (in terms of transporting stock and stock levels), compared to paperâ€based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dataâ€informed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decisionâ€making,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paperâ€based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patientsâ€™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â€œroutine health information systemâ€. It is often a paperâ€based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paperâ€based systems. Some of the studies also looked at other ways of improving the system, for instance by using SMS mobileâ€phone systems to help health workers and other staff notify central systems about supply levels, register patients, or monitor patientsâ€™ health. What effect do these types of systems have on the quality and use of the information that is collected and on health service and systems quality? â€ When healthcare staff use electronic and digital information systems to document and communicate tuberculosis (TB) laboratory test results, compared to paperâ€based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â€ When community health workers are sent frequent textâ€messages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</si>
  <si>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Study conducted in Africa and South America, not UK-based.</t>
  </si>
  <si>
    <t>J1814</t>
  </si>
  <si>
    <t>Effect of Adding a Work-Focused Intervention to Integrated Care for Depression in the Veterans Health Administration: A Randomized Clinical Trial</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</si>
  <si>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Â© 2020 American Medical Association. All rights reserved.</t>
  </si>
  <si>
    <t>Study conducted in the Veterans Health Administration, not UK-based</t>
  </si>
  <si>
    <t>J3595</t>
  </si>
  <si>
    <t>Impact of video-assisted thoracoscopic lobectomy versus open lobectomy for lung cancer on recovery assessed using self-reported physical function: VIOLET RCT</t>
  </si>
  <si>
    <t>&lt;b&gt;BACKGROUND&lt;/b&gt;: Lung cancer is the leading cause of cancer death. Surgery remains the main method of managing early-stage disease. Minimal-access video-assisted thoracoscopic surgery results in less tissue trauma than open surgery; however, it is not known if it improves patient outcomes._x000D_
&lt;b&gt;OBJECTIVE&lt;/b&gt;: To compare the clinical effectiveness and cost-effectiveness of video-assisted thoracoscopic surgery lobectomy with open surgery for the treatment of lung cancer._x000D_
&lt;b&gt;DESIGN, SETTING AND PARTICIPANTS&lt;/b&gt;: A multicentre, superiority, parallel-group, randomised controlled trial with blinding of participants (until hospital discharge) and outcome assessors conducted in nine NHS hospitals. Adults referred for lung resection for known or suspected lung cancer, with disease suitable for both surgeries, were eligible. Participants were followed up for 1 year._x000D_
&lt;b&gt;INTERVENTIONS&lt;/b&gt;: Participants were randomised 1 : 1 to video-assisted thoracoscopic surgery lobectomy or open surgery. Video-assisted thoracoscopic surgery used one to four keyhole incisions without rib spreading. Open surgery used a single incision with rib spreading, with or without rib resection._x000D_
&lt;b&gt;MAIN OUTCOME MEASURES&lt;/b&gt;: The primary outcome was self-reported physical function (using the European Organisation for Research and Treatment of Cancer Quality of Life Questionnaire Core 30) at 5 weeks. Secondary outcomes included upstaging to pathologic node stage 2 disease, time from surgery to hospital discharge, pain in the first 2 days, prolonged pain requiring analgesia at &gt; 5 weeks, adverse health events, uptake of adjuvant treatment, overall and disease-free survival, quality of life (Quality of Life Questionnaire Core 30, Quality of Life Questionnaire Lung Cancer 13 and EQ-5D) at 2 and 5 weeks and 3, 6 and 12 months, and cost-effectiveness._x000D_
&lt;b&gt;RESULTS&lt;/b&gt;: A total of 503 patients were randomised between July 2015 and February 2019 (video-assisted thoracoscopic surgery, n = 247; open surgery, n = 256). One participant withdrew before surgery. The mean age of patients was 69 years; 249 (49.5%) patients were men and 242 (48.1%) did not have a confirmed diagnosis. Lobectomy was performed in 453 of 502 (90.2%) participants and complete resection was achieved in 429 of 439 (97.7%) participants. Quality of Life Questionnaire Core 30 physical function was better in the video-assisted thoracoscopic surgery group than in the open-surgery group at 5 weeks (video-assisted thoracoscopic surgery, n = 247; open surgery, n = 255; mean difference 4.65, 95% confidence interval 1.69 to 7.61; p = 0.0089). Upstaging from clinical node stage 0 to pathologic node stage 1 and from clinical node stage 0 or 1 to pathologic node stage 2 was similar (p &gt;= 0.50). Pain scores were similar on day 1, but lower in the video-assisted thoracoscopic surgery group on day 2 (mean difference -0.54, 95% confidence interval -0.99 to -0.09; p = 0.018). Analgesic consumption was 10% lower (95% CI -20% to 1%) and the median hospital stay was less (4 vs. 5 days, hazard ratio 1.34, 95% confidence interval 1.09, 1.65; p = 0.006) in the video-assisted thoracoscopic surgery group than in the open-surgery group. Prolonged pain was also less (relative risk 0.82, 95% confidence interval 0.72 to 0.94; p = 0.003). Time to uptake of adjuvant treatment, overall survival and progression-free survival were similar (p &gt;= 0.28). Fewer participants in the video-assisted thoracoscopic surgery group than in the open-surgery group experienced complications before and after discharge from hospital (relative risk 0.74, 95% confidence interval 0.66 to 0.84; p &lt; 0.001 and relative risk 0.81, 95% confidence interval 0.66 to 1.00; p = 0.053, respectively). Quality of life to 1 year was better across several domains in the video-assisted thoracoscopic surgery group than in the open-surgery group. The probability that video-assisted thoracoscopic surgery is cost-effective at a willingness-to-pay threshold of 20,000 per quality-adjusted life-year is 1._x000D_
&lt;b&gt;LIMITATIONS&lt;/b&gt;: Ethnic minorities were under-represented compared with the UK population (&lt; 5%), but the cohort reflected the lung cancer population._x000D_
&lt;b&gt;CONCLUSIONS&lt;/b&gt;: Video-assisted thoracoscopic surgery lobectomy was associated with less pain, fewer complications and better quality of life without any compromise to oncologic outcome. Use of video-assisted thoracoscopic surgery is highly likely to be cost-effective for the NHS._x000D_
&lt;b&gt;FUTURE WORK&lt;/b&gt;: Evaluation of the efficacy of video-assisted thoracoscopic surgery with robotic assistance, which is being offered in many hospitals._x000D_
&lt;b&gt;TRIAL REGISTRATION&lt;/b&gt;: This trial is registered as ISRCTN13472721._x000D_
&lt;b&gt;FUNDING&lt;/b&gt;: This project was funded by the National Institute for Health and Care Research ( NIHR ) Health Technology Assessment programme and will be published in full in Health Technology Assessment; Vol. 26, No. 48. See the NIHR Journals Library website for further project information.</t>
  </si>
  <si>
    <t>Conducted in NHS hospitals, UK setting</t>
  </si>
  <si>
    <t>J3596</t>
  </si>
  <si>
    <t>J3597</t>
  </si>
  <si>
    <t>Cost-effectiveness and epidemiological impact of gender-neutral HPV vaccination in Spain</t>
  </si>
  <si>
    <t>All EU countries have introduced Human papilloma virus (HPV) vaccination for adolescent girls and many countries are expanding the strategy to include adolescent boys. There is uncertainty about the cost-effectiveness and epidemiological impact of a gender-neutral HPV vaccination strategy. Here we present the results of an economic model adapted for Spain. Five vaccination strategies were compared from the Spanish healthcare system perspective, combining two vaccines (4-valent and 9-valent) in a gender-neutral or girls-only programme in a dynamic population-based model with a discrete-time Markov approach. Costs and benefits were discounted at 3%. The benefits of immunization were measured with quality-adjusted life years (QALYs), which are achieved by reducing the incidence of diseases attributable to HPV. Incremental cost-effectiveness ratio (ICER) was compared with the willingness-to-pay threshold in Spain. The two most effective strategies were compared: gender-neutral 9-valent vaccination vs. girls-only 9-valent vaccination, resulting in an ICER of 34,040/QALY, and an important number of prevented cases of invasive cancers and anogenital warts. The sensitivity analysis revealed that gender-neutral 9-valent vaccination would become cost-effective if protection against oropharyngeal and penile cancers was included or if the price per dose decreased from 45 to 28. The gender-neutral 9-valent HPV vaccination in Spain offers more benefits than any other modeled strategy, although in the conservative base case it is not cost-effective. However, certain plausible assumptions would turn it into an efficient strategy, which should be borne in mind by the decision makers together with equity and justice arguments.</t>
  </si>
  <si>
    <t>Study is specific to Spain, not UK-based or applied.</t>
  </si>
  <si>
    <t>J3598</t>
  </si>
  <si>
    <t>Incident and recurrent myocardial infarction (MI) in relation to comorbidities: Prediction of outcomes using machine-learning algorithms</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</si>
  <si>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Â© 2022 Stichting European Society for Clinical Investigation Journal Foundation. Published by John Wiley &amp; Sons Ltd."</t>
  </si>
  <si>
    <t>Study conducted on US patients</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</si>
  <si>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</si>
  <si>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</si>
  <si>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</si>
  <si>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Study conducted in community pharmacies in the north of England.</t>
  </si>
  <si>
    <t>J3600</t>
  </si>
  <si>
    <t>A Cost-Effectiveness Analysis of the Etonogestrel Implant in British Columbia, Canada</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</si>
  <si>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Â© 2022</t>
  </si>
  <si>
    <t>Study conducted in British Columbia, Canada, not UK.</t>
  </si>
  <si>
    <t>J3601</t>
  </si>
  <si>
    <t>Traditional Chinese herbal medicine in treating amenorrhea caused by antipsychotic drugs: Meta-analysis and systematic review</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</si>
  <si>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Â© 2022</t>
  </si>
  <si>
    <t>No UK setting or context mentioned</t>
  </si>
  <si>
    <t>J3602</t>
  </si>
  <si>
    <t>The Cost Effectiveness of Taxation of Sugary Foods and Beverages: A Systematic Review of Economic Evaluations</t>
  </si>
  <si>
    <t>J3603</t>
  </si>
  <si>
    <t>Topical pharmacologic interventions versus placebo for epidemic keratoconjunctivitis</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</si>
  <si>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immuneâ€modulating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steroidâ€containing control treatment or artificial tears. Six trials contributed to the comparisons of topical interventions (povidoneâ€iodine [PVPâ€I],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PVPâ€I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PVPâ€I or ganciclovir prevented the development of subepithelial infiltrates (SEI) when compared with artificial tears within 30 days of treatment (RR 0.24, 95% CI 0.10 to 0.56). Four studies compared topical interventions (tacrolimus, cyclosporin A [CsA], trifluridine, PVPâ€I + dexamethasone) with topical steroids, and one trial compared fluorometholone (FML) plus polyvinyl alcohol iodine (PVAâ€I) with FML plus levofloxacin. Evidence from one trial showed that more eyes receiving PVPâ€I 1.0% plus dexamethasone 0.1% had symptoms resolved by day seven compared with those receiving dexamethason alone (RR 9.00, 95% CI 1.23 to 66.05; 52 eyes). In two trials, fewer eyes treated with PVPâ€I or PVAâ€I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PVPâ€I alone resolves signs and symptoms by seven days relative to artificial tears. PVPâ€I or PVAâ€I,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highâ€level certainty from trials with larger sample sizes, enrollment of participants with similar durations of signs and symptoms, and validated methods to assess shortâ€ and longâ€term outcomes. Plain language summary What are the benefits and risks of topical medications for treating epidemic keratoconjunctivitis? What is epidemic keratoconjunctivitis? â€¨Epidemic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â€¨Treatment is usually supportive with cool compresses, artificial tears, and sometimes steroids. What did we want to find out? â€¨We wanted to know whether any existing topical medication can relieve symptoms or signs and prevent complications, and if these medications were wellâ€tolerated. What we did â€¨We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â€¨We found 10 studies that involved 892 people with epidemic keratoconjunctivitis (9 to 82 years old); studies lasted from 7 days to 18 months. When compared with artificial tears, antiviral agents appeared to shorten the duration of symptoms or signs. Povidoneâ€iodine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â€¨Nearly all of the included studies had flawed study methods and were reported poorly. These weaknesses raised our concerns about the study findings and reduced our confidence in the overall evidence summarized in the review. How upâ€toâ€date is the evidence? â€¨The evidence is current to April 2021.</t>
  </si>
  <si>
    <t>J3604</t>
  </si>
  <si>
    <t>Topical corticosteroids for dry eye</t>
  </si>
  <si>
    <t>- Background Dry eye disease (DED), arising from various etiologic factors, leads to tear film instability, ocular surface damage, and neurosensory changes. DED causes symptoms such as ocular dryness, burning, itching, pain, and visual impairment. Given their wellâ€established antiâ€inflammatory effects, topical steroid preparations have been widely used as a shortâ€term treatment option for DED. Because of potential risks of ocular hypertension, cataracts, and infections associated with the longâ€term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nonâ€steroidal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coâ€sponsored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patientâ€reported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breakâ€up time (TBUT) slightly (mean difference [MD] 0.70 s, 95% CI 0.06 to 1.34; low certainty evidence) but not tear osmolarity (MD 1.60 mOsm/kg, 95% CI âˆ’10.47 to 13.67; very low certainty evidence). Six trials examined topical steroids, either alone or in combination with CsA, against CsA alone. Low certainty evidence indicates that steroidâ€based interventions may have a small to moderate effect on improving participants' symptoms (SMD âˆ’0.33, 95% CI âˆ’0.51 to âˆ’0.15), but little to no effect on corneal staining scores (SMD 0.05, 95% CI âˆ’0.25 to 0.35) as compared with CsA. The effect of topical steroids compared to CsA alone on TBUT (MD 0.37 s, 95% CI âˆ’0.13 to 0.87) or tear osmolarity (MD 5.80 mOsm/kg, 95% CI âˆ’0.94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shortâ€term use and study duration (four weeks or less) to observe longerâ€term adverse effects. Authors' conclusions Overall, the evidence for the specified review outcomes was of moderate to very low certainty, mostly due to high risk of bias associated with selective results reporting. For dry eye patients whose symptoms require antiâ€inflammatory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timeâ€dependent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antiâ€inflammatory agents, such as corticosteroids and cyclosporine A. Corticosteroids eye drops aim to reduce the inflammatory process and provide symptom relief with shortâ€term use. High eye pressure and cataract formation are common concerns with longerâ€term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patientâ€reported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upâ€toâ€date is this evidence? The evidence is upâ€toâ€date as of August 2021.</t>
  </si>
  <si>
    <t>Study conducted in USA, Italy, Spain, China, South Korea, and India.</t>
  </si>
  <si>
    <t>J3605</t>
  </si>
  <si>
    <t>Interventions for the eradication of meticillinâ€resistant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</si>
  <si>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Meticillinâ€resistant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quasiâ€randomised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quasiâ€RCTs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threeâ€week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lowâ€certainty evidence). However, by day 168 of followâ€up, there was no difference between groups in the proportion of participants who remained MRSAâ€negative (OR 1.17, 95% CI 0.31 to 4.42; lowâ€certainty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lowâ€certainty evidence) or the change from baseline in lung function or weight (both very lowâ€certainty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lowâ€certainty evidence). No differences between groups were seen in lung function or adverse effects (lowâ€certainty evidence), in quality of life (very lowâ€certainty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MRSAâ€negative respiratory cultures at day 28. However, followâ€up at three or six months showed no difference between treatment and control in the proportion of participants remaining MRSAâ€negative. Moreover, the longerâ€term clinical consequences â€“ in terms of lung function, mortality and cost of care â€“ remain unclear. Using GRADE methodology, we judged the certainty of the evidence provided by this review to be very low to low, due to potential biases from the openâ€label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meticillinâ€resistant Staphylococcus aureus (MRSA) from the lungs of people with cystic fibrosis Review question We looked for evidence for the effects of different ways of clearing meticillinâ€resistant Staphylococcus aureus (MRSA), a soâ€called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(coâ€trimoxazole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flareâ€ups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longerâ€term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</si>
  <si>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</si>
  <si>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</si>
  <si>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Â© 2022 Logan et al.</t>
  </si>
  <si>
    <t>Study conducted in UK care homes</t>
  </si>
  <si>
    <t>J3607</t>
  </si>
  <si>
    <t>Standard threshold laser versus subthreshold micropulse laser for adults with diabetic macular oedema: the DIAMONDS non-inferiority RCT</t>
  </si>
  <si>
    <t>J3608</t>
  </si>
  <si>
    <t>HTA186 Cost-Effectiveness Analysis of Tirbanibulin for the Treatment of Actinic Keratosis From a Scottish NHS Perspective</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</si>
  <si>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Â© 2022</t>
  </si>
  <si>
    <t>Study conducted from a Scottish NHS perspective</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</si>
  <si>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</si>
  <si>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</si>
  <si>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CVCâ€related bloodstream infections and CVCâ€related colonisation, mortality, haemorrhage, heparinâ€induced thrombocytopaenia, CVCâ€related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metaâ€analysis were available from all RCTs. We noted differences in methods used by the included studies and variation in heparin concentrations (10 to 5000 IU/mL), time to followâ€up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â€0.10 to 0.99; 6 studies; 1788 participants; lowâ€certainty evidence). Secondary outcomes We found no clear evidence of a difference in the following outcomes: CVCâ€related bloodstream infections (RR 0.66, 95% CI 0.08 to 5.80; 3 studies; 1127 participants; very lowâ€certainty evidence); mortality (RR 0.76, 95% CI 0.44 to 1.31; 3 studies; 1100 participants; very lowâ€certainty evidence); haemorrhage (RR 1.54, 95% CI 0.41 to 5.74; 3 studies; 1197 participants; very lowâ€certainty evidence); or heparinâ€induced thrombocytopaenia (RR 0.21, 95% CI 0.01 to 4.27; 3 studies; 443 participants; very lowâ€certainty evidence). The main reasons for downgrading the certainty of evidence for the primary and secondary outcomes were unclear allocation concealment, suspicion of publication bias, imprecision and inconsistency. Authors' conclusions Given the lowâ€certainty evidence, we are uncertain whether intermittent locking with heparin results in fewer central venous catheter occlusions than intermittent locking with normal saline in adults. Lowâ€certainty evidence suggests that heparin may have little or no effect on catheter patency duration. Although we found no evidence of differences in safety (CVCâ€related bloodstream infections, mortality, or haemorrha e), the combined studies were not powered to detect rare adverse events such as heparinâ€induced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wellâ€designed, largeâ€scale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</si>
  <si>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</si>
  <si>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</si>
  <si>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</si>
  <si>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References British National Formulary, indicating UK setting.</t>
  </si>
  <si>
    <t>J3611</t>
  </si>
  <si>
    <t>Pharmacist and Homeless Outreach Engagement and Non-medical Independent prescribing Rx (PHOENIx): A study protocol for a pilot randomised controlled trial</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</si>
  <si>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Â© Author(s) (or their employer(s)) 2022.</t>
  </si>
  <si>
    <t>Study approved by South East Scotland NHS Ethics Committee</t>
  </si>
  <si>
    <t>J3612</t>
  </si>
  <si>
    <t>Improving the health of people experiencing homelessness with recent drug overdose: rationale for and design of the Pharmacist and Homeless Outreach worker Engagement Non-medical Independent prescribing Rx (PHOENIx) pilot randomised controlled trial</t>
  </si>
  <si>
    <t>Introduction Numbers of People Experiencing Homelessness (PEH) are increasing worldwide. Systematic reviews show high levels of multimorbidity and mortality due to treatable diseases including drug overdose. Integrated health and social care outreach interventions may improve outcomes. No previous studies have targeted PEH with recent drug overdose despite their high recorded levels of drug related deaths. There are few data on health and social care problems. Feasibility work suggests a collaborative health and social care intervention (Pharmacist and Homeless Outreach Engagement Non-medical Independent prescriber Rx-PHOENIx) is potentially beneficial. We describe the methods of a pilot randomised controlled trial(RCT) with parallel process and economic evaluation in PEH with at least one drug-related overdose in the preceding 6 months. Methods Detailed health and social care information will be collected at baseline before 1:1 randomisation to: care-as-usual plus visits from a pharmacist and homeless outreach worker (PHOENIx) for 6-9 months; or care-as-usual. The main outcomes are rate of presentations to emergency department(ED) for overdose or other causes and whether to progress to a definitive RCT based on: recruitment of &gt;= 100 participants within 4 months;&gt;= 60% patients remaining in the study at 6 and 9 months follow up;&gt;= 60% of patients in the PHOENIx group receiving the intervention; and&gt;= 80% of patients with data collected. Secondary outcomes include: hospitalisations; treatment uptake and patient reported measures. Semi-structured interviews will explore future implementation of PHOENIx, and reasons for overdose and protective factors. An economic evaluation will assess the feasibility of conducting a cost effectiveness analysis in a subsequent definitive trial. Discussion(s): The study will determine whether to proceed to a definitive RCT for PEH aiming to fulfil unmet health and social care needs of those experiencing homelessness and at risk of drug related harms and deaths while providing useful insights into barriers and facilitators to PHOENIx and characterising the health and social care needs of PEH. Ethics and dissemination: The trial was approved by the South East Scotland National Health Service Research Ethics Committee 01. Results will be available in the last quarter of 2022. Copyright The copyright holder for this preprint is the author/funder, who has granted medRxiv a license to display the preprint in perpetuity. It is made available under a CC-BY 4.0 International license.</t>
  </si>
  <si>
    <t>J3613</t>
  </si>
  <si>
    <t>CREATION of A MULTI-DISCIPLINARY TEAM (MDT) RHEUMATOLOGY CLINIC at UNIVERSITY COLLEGE LONDON HOSPITAL (UCLH) to TACKLE the BACKLOG of PATIENTS WAITING for TREATMENT AS A RESULT of the COVID-19 PANDEMIC</t>
  </si>
  <si>
    <t>Background: Covid-19 has consumed hospital resources since January 2020. In the UK, routine care has been disrupted with an estimated 30 million fewer outpatient attendances (2020/21) and over 6 million patients waiting for consultant led care (1). The British Society for Rheumatology 'Rheumatology Workforce: a crisis in numbers (2021)' highlights the challenges facing National Health Service rheumatology departments in managing rising caseloads (2). In 2021, UCLH wait time for follow up rheumatology appointments was 9 months. We were inundated with patients requiring urgent treatment. Innovative ways of running outpatients were required which led to the formation of an MDT clinic. Objective(s): Create a Rheumatology MDT clinic to: Reduce follow up time Increase clinic capacity Reduce number of hospital attendances Add value to each clinic encounter Methods: The consultant lead identifed an existing clinical nurse specialist (CNS) interested in supporting the MDT. With a UCLH Outpatient Transformation grant of 15,000 we recruited an advanced physiotherapy practitioner (APP) and administrator for a 6 month trial period. Managerial support was provided by the board. We met weekly to agree aims and allocate responsibilities. We did the following: Reviewed clinic lists for 6 months to identify duplicate appointments. Identifed patients with CNS and consultant follow up scheduled in a short time frame and cancelled unnecessary appointments. Reviewed the clinic list weekly to identify patients suitable for APP management. This allowed overbooking of urgent cases. Embedded hand ultrasound appointments in the clinic template. Created CNS 'Zoom' virtual drop-ins for routine enquiries to reduce the administrative burden of patient emails/phone calls occurring outside the clinic. Organised patient participation sessions to help shape the service and collected patient feedback questionnaires. Result(s): We reduced our waiting time for follow up appointments from 9 months to 2 months. Pre-MDT the average wait from consultant referral to physiotherapist appointment was 55 days. The MDT allows for same day assessment (reducing 2-3 patient journeys a clinic) and where suitable, facilitates discharge or onwards referral to the appropriate service i.e. pain management, hand therapy, APP-led hypermobility programme. A dedicated MDT CNS has shortened treatment times, reduced email traffic between CNS and consultant and allows for same day, joint decision making resulting in fewer appointments. Patients welcomed the Zoom sessions as an efficient, reliable method of raising concerns/queries. Our administrator helps to facilitate communication between patients and clinicians and streamline MDT processes. Embedding point of care ultrasound reduces hospital visits and enhances treatment decision making thereby reducing follow up attendances. Conclusion(s): Our MDT model has reduced waiting lists, decreased treatment delays and cut the number of hospital visits. Performing ultrasound in clinic helped prevent patients being sent for scans at private providers. This cost saving likely covers the APP, ensuring the project is close to cost neutral. Shared decision making added value to outpatient attendances, refected in patients positive feedback. The MDT enhances the role of APP and CNS, utilising their unique skill set. Administrative support is crucial, enhances team working and places added value on this often underappreciated role. We encourage other Rheumatology departments to adopt an MDT approach to tackle the backlog of patients awaiting treatment, add value to clinic encounters and maximise the skill set of clinicians involved in patient care.</t>
  </si>
  <si>
    <t>Study conducted at University College London Hospital, UK</t>
  </si>
  <si>
    <t>J3614</t>
  </si>
  <si>
    <t>Social prescribing for frequent attenders in primary care: An economic analysis</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</si>
  <si>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Â© 2022 Lynch and Jones.</t>
  </si>
  <si>
    <t>Study conducted in Wales, part of the UK.</t>
  </si>
  <si>
    <t>J3615</t>
  </si>
  <si>
    <t>Effectiveness and cost-effectiveness of text messages with or without endowment incentives for weight management in men with obesity (Game of Stones): study protocol for a randomised controlled trial</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</si>
  <si>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Â© 2022, The Author(s).</t>
  </si>
  <si>
    <t>Study conducted in UK (Belfast, Bristol, Glasgow).</t>
  </si>
  <si>
    <t>J3616</t>
  </si>
  <si>
    <t>Cost-utility analysis of robotic-assisted radical cystectomy for bladder cancer compared to open radical cystectomy in the United Kingdom</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</si>
  <si>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Â© 2022 Machleid et al. This is an open access article distributed under the terms of the Creative Commons Attribution License, which permits unrestricted use, distribution, and reproduction in any medium, provided the original author and source are credited.</t>
  </si>
  <si>
    <t>Study conducted in the UK setting (NHS England).</t>
  </si>
  <si>
    <t>J3617</t>
  </si>
  <si>
    <t>Critical Factors and Economic Methods for Regulatory Impact Assessment in the Medical Device Industry</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</si>
  <si>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Â© 2022 Maci and Maresova."</t>
  </si>
  <si>
    <t>J3618</t>
  </si>
  <si>
    <t>'Pn for Pn': Parenteral Nutrition for Preterm Neonates: Perspectives of a District General Hospital in Implementation of Nice Guidelines - a Quality Improvement Project</t>
  </si>
  <si>
    <t>Aims Early administration of parenteral nutrition in preterm infants is recommended with regional guidelines using absolute criterion based around gestation or birthweight to determine the need for this form of nutrition. In 2020, NICE updated their guidance for administration of parental nutrition in preterm neonates, advocating a gestational cut-off of less than 31 weeks and introducing an 8 hour administration window. We used the PDSA framework to guide the implementation of these changes. In this quality improve project, we describe the process and challenges of implementing these recommendations in our level two unit, which admits babies with a gestation greater than 27 weeks. Methods Prior to implementation, a GAP analysis was performed comparing local practice to the new NICE recommendations. This highlighted several areas that would need addressing if these guidelines were to be adopted. Retrospective and prospective quantitative data was collected from 01/12/2019 to 30/9/2021 to identify the impact of any changes made. Forty-five neonates who were started on parenteral nutrition were identified and their records reviewed. Of these, twenty-three were excluded as they were ex-utero transfers or above the gestational age threshold. Results Figure 1 summarises the results of the GAP analysis, and steps taken to address each area in the PDSA framework. Following collaboration with multiple teams from trust governance, to pharmacy and infection control, a new standard operating procedure was created for the safe preparation and administration of neonatal parenteral nutrition. Table 1 compares the management of these preterm neonates before and after the implementation of this operating procedure. Conclusion The results highlight the feasibility of application and adherence to the updated guidelines in a level two neonatal unit. Practical challenges from safe storage to prescription were addressed through collaborative working with the trust pharmacy committee allowing for a cost-effective, safe and successful protocol to be implemented. However, there is still room for improvement, with the average time for PN administration out of hours varying from 8-10hours. It would be interesting to compare our experiences to similar intensity units across the UK or tertiary neonatal units and share the good practice. (Table Presented).</t>
  </si>
  <si>
    <t>Mentions NICE guidelines, indicating a UK setting.</t>
  </si>
  <si>
    <t>J3619</t>
  </si>
  <si>
    <t>WILL (When to Induce Labour to Limit risk in pregnancy hypertension): a multicentre randomised controlled trial - adaptations to deliver a timing-of-birth trial during the COVID-19 international pandemic</t>
  </si>
  <si>
    <t>&lt;b&gt;BACKGROUND&lt;/b&gt;: As a pragmatic randomised timing-of-birth trial, WILL adapted its trial procedures in response to the COVID-19 pandemic. These are reviewed here to inform post-pandemic trial methodology._x000D_
&lt;b&gt;METHODS&lt;/b&gt;: The trial (internal pilot) paused in March 2020, re-opened in July 2020, and is currently recruiting in 37 UK NHS consultant-led maternity units. We evaluated pandemic adaptations made to WILL processes and surveyed sites for their views of these changes (20 sites, videoconference)._x000D_
&lt;b&gt;RESULTS&lt;/b&gt;: Despite 88% of sites favouring an electronic investigator site file (ISF), information technology requirements and clinical trial unit (CTU) operating procedures mandated the ongoing use of paper ISFs; site start-up delays resulted from restricted access to the CTU. Site initiation visits (SIVs) were conducted remotely; 50% of sites preferred remote SIVs and 44% felt that it was trial-dependent, while few preferred SIVs in-person as standard procedure. The Central team felt remote SIVs provided scheduling and attendance flexibility (for sites and trial staff), the option of recording discussions for missing or future staff, improved efficiency by having multiple sites attend, and time and cost savings; the negative impact on rapport-building and interaction was partially mitigated over time with more familiarity with technology and new ways-of-working. Two methods of remote consent were developed and used by 30/37 sites and for 54/156 recruits. Most (86%) sites using remote consenting felt it improved recruitment. For remote data monitoring (5 sites), advantages were primarily for the monitor (e.g. flexibility, no time constraints, reduced cost), and disadvantages primarily for the sites (e.g. document and access preparation, attendance at a follow-up meeting), but 81% of sites desired having the option of remote monitoring post-pandemic._x000D_
&lt;b&gt;CONCLUSIONS&lt;/b&gt;: COVID adaptations to WILL trial processes improved the flexibility of trial delivery, for Central and site staff, and participants. Flexibility to use these strategies should be retained post-pandemic._x000D_
&lt;b&gt;TRIAL REGISTRATION&lt;/b&gt;: ISRCTN77258279. Registered on 05 December 2018.</t>
  </si>
  <si>
    <t>Study conducted in UK NHS maternity units.</t>
  </si>
  <si>
    <t>J3620</t>
  </si>
  <si>
    <t>J3621</t>
  </si>
  <si>
    <t>Video Pre-Assessment in Endoscopy- a Quality Improvement Pilot Study in Response to Covid- 19</t>
  </si>
  <si>
    <t>Introduction Social distancing, staff shortages and patient isolation due to the Covid-19 pandemic has caused significant challenges in the National Health Service. The British Society of Gastroenterology warns that unavoidable delays to surveillance colonoscopy due to the pandemic risks delayed cancer diagnosis.1 We undertook a quality improvement initiative to assess if virtual pre-assessment can be adopted as an alternative to face to face (F2F) clinic, thereby improving efficiency whilst reducing patient and staff risk. Methods The current situation was assessed, change identified, and quality improvement (QI) designed2 utilising a Plan-Do- Study-Act (PDSA) method to increase clinic capacity by 10% from 90% to 100% within 8 weeks. Key stakeholders working with the systems were engaged. A single practitioner trialled and evaluated accuRX video consultation remotely. Patients required a smart phone with video capabilities. Telephone consultations were conducted here patients were unable to connect. Patients received text message links to the video platform within 24hrs of appointment. 30-minute appointment slots were allocated to gather patient health history, obtain consent and educate on bowel preparation. 10 minutes was allocated for completion of electronic records and processing of bowel prep for postage. Nursing records were completed electronically and saved securely on hospital shared drive. Results The 10% target was achieved within 8 weeks. 13 virtual clinics provided 84 clinic appointment; 78 patients (age range 18 to 92) attended clinic (45 video &amp; 33 telephone) with 2 later converted to F2F appt. 6 DNA clinic appointment. Reasons for conversion to telephone clinic are outlined in table 1. 64 patients completed procedures, 4 awaiting test, 5 declined, 3 unwell and 2 not suitable. 94% of colonoscopy reported excellent, good, or fair bowel preparation. Patient experience was not formally measured. Conclusions Our results indicate video pre-assessment to be an alternative to F2F long-term. Strategies to improve uptake need consideration prior to wide scale implementation. Formal data is required to measure patient experience and preference. Furthermore, as we move toward a greener approach to endoscopic working the reduction of carbon footprint by minimising F2F appointments should also be acknowledged.</t>
  </si>
  <si>
    <t>Mentions NHS and British Society of Gastroenterology, indicating UK setting.</t>
  </si>
  <si>
    <t>J3622</t>
  </si>
  <si>
    <t>Transfer of thawed frozen embryo versus fresh embryo to improve the healthy baby rate in women undergoing IVF: the E-Freeze RCT</t>
  </si>
  <si>
    <t>&lt;b&gt;BACKGROUND&lt;/b&gt;: Freezing all embryos, followed by thawing and transferring them into the uterine cavity at a later stage (freeze-all), instead of fresh-embryo transfer may lead to improved pregnancy rates and fewer complications during in vitro fertilisation and pregnancies resulting from it._x000D_
&lt;b&gt;OBJECTIVE&lt;/b&gt;: We aimed to evaluate if a policy of freeze-all results in a higher healthy baby rate than the current policy of transferring fresh embryos._x000D_
&lt;b&gt;DESIGN&lt;/b&gt;: This was a pragmatic, multicentre, two-arm, parallel-group, non-blinded, randomised controlled trial._x000D_
&lt;b&gt;SETTING&lt;/b&gt;: Eighteen in vitro fertilisation clinics across the UK participated from February 2016 to April 2019._x000D_
&lt;b&gt;PARTICIPANTS&lt;/b&gt;: Couples undergoing their first, second or third cycle of in vitro fertilisation treatment in which the female partner was aged &lt; 42 years._x000D_
&lt;b&gt;INTERVENTIONS&lt;/b&gt;: If at least three good-quality embryos were present on day 3 of embryo development, couples were randomly allocated to either freeze-all (intervention) or fresh-embryo transfer (control)._x000D_
&lt;b&gt;OUTCOMES&lt;/b&gt;: The primary outcome was a healthy baby, defined as a live, singleton baby born at term, with an appropriate weight for their gestation. Secondary outcomes included ovarian hyperstimulation, live birth and clinical pregnancy rates, complications of pregnancy and childbirth, health economic outcome, and State-Trait Anxiety Inventory scores._x000D_
&lt;b&gt;RESULTS&lt;/b&gt;: A total of 1578 couples were consented and 619 couples were randomised. Most non-randomisations were because of the non-availability of at least three good-quality embryos (n = 476). Of the couples randomised, 117 (19%) did not adhere to the allocated intervention. The rate of non-adherence was higher in the freeze-all arm, with the leading reason being patient choice. The intention-to-treat analysis showed a healthy baby rate of 20.3% in the freeze-all arm and 24.4% in the fresh-embryo transfer arm (risk ratio 0.84, 95% confidence interval 0.62 to 1.15). Similar results were obtained using complier-average causal effect analysis (risk ratio 0.77, 95% confidence interval 0.44 to 1.10), per-protocol analysis (risk ratio 0.87, 95% confidence interval 0.59 to 1.26) and as-treated analysis (risk ratio 0.91, 95% confidence interval 0.64 to 1.29). The risk of ovarian hyperstimulation was 3.6% in the freeze-all arm and 8.1% in the fresh-embryo transfer arm (risk ratio 0.44, 99% confidence interval 0.15 to 1.30). There were no statistically significant differences between the freeze-all and the fresh-embryo transfer arms in the live birth rates (28.3% vs. 34.3%; risk ratio 0.83, 99% confidence interval 0.65 to 1.06) and clinical pregnancy rates (33.9% vs. 40.1%; risk ratio 0.85, 99% confidence interval 0.65 to 1.11). There was no statistically significant difference in anxiety scores for male participants (mean difference 0.1, 99% confidence interval -2.4 to 2.6) and female participants (mean difference 0.0, 99% confidence interval -2.2 to 2.2) between the arms. The economic analysis showed that freeze-all had a low probability of being cost-effective in terms of the incremental cost per healthy baby and incremental cost per live birth._x000D_
&lt;b&gt;LIMITATIONS&lt;/b&gt;: We were unable to reach the original planned sample size of 1086 and the rate of non-adherence to the allocated intervention was much higher than expected._x000D_
&lt;b&gt;CONCLUSION&lt;/b&gt;: When efficacy, safety and costs are considered, freeze-all is not better than fresh-embryo transfer._x000D_
&lt;b&gt;TRIAL REGISTRATION&lt;/b&gt;: This trial is registered as ISRCTN61225414._x000D_
&lt;b&gt;FUNDING&lt;/b&gt;: This project was funded by the National Institute for Health and Care Research (NIHR) Health Technology Assessment programme and will be published in full in Health Technology Assessment; Vol. 26, No. 25. See the NIHR Journals Library website for further project information.</t>
  </si>
  <si>
    <t>Study conducted in the UK with UK clinics.</t>
  </si>
  <si>
    <t>J3623</t>
  </si>
  <si>
    <t>Elective freezing of embryos versus fresh embryo transfer in IVF: A multicentre randomized controlled trial in the UK (E-Freeze)</t>
  </si>
  <si>
    <t>STUDY QUESTION</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</si>
  <si>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</si>
  <si>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</si>
  <si>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</si>
  <si>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Study conducted at a high-volume UK centre.</t>
  </si>
  <si>
    <t>J3625</t>
  </si>
  <si>
    <t>A Social Return on Investment Evaluation of the Pilot Social Prescribing EmotionMind Dynamic Coaching Programme to Improve Mental Wellbeing and Self-Confidence</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</si>
  <si>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Â© 2022 by the authors.</t>
  </si>
  <si>
    <t>Study conducted in South Wales, UK setting.</t>
  </si>
  <si>
    <t>J3626</t>
  </si>
  <si>
    <t>Short stay hospital admissions for an acutely unwell child: A qualitative study of outcomes that matter to parents and professionals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</si>
  <si>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Â© 2022 Malcolm et al. This is an open access article distributed under the terms of the Creative Commons Attribution License, which permits unrestricted use, distribution, and reproduction in any medium, provided the original author and source are credited.</t>
  </si>
  <si>
    <t>Study conducted in Scotland, UK setting confirmed.</t>
  </si>
  <si>
    <t>J3627</t>
  </si>
  <si>
    <t>Neonatal Discharge after Cardiac Surgery, Can It Be Any Safer?</t>
  </si>
  <si>
    <t>BACKGROUND AND AIM: In the United Kingdom, as per the New-born and Infant Physical Examination; NIPE programme, all new-borns are expected to be examined within 72 hours of birth, unless they are too unwell. Primary and secondary care are expected to achieve 95% compliance with this. Our project aimed to assess and improve local compliance with these guidelines in the East Midlands Congenial Heart Centre EMCHC, University Hospitals of Leicester. METHOD(S): Data was retrospectively collected from the admissions book for neonates admitted with in 72 hours of life over one year period. NIPE status was checked on the national registry. After presenting initial results in the local quality improvement meeting, several measures were put into place to improve compliance. A re-audit was carried out and showed an overall improvement. RESULT(S): 61 neonates were admitted within 72 hours of birth between August 2019 and August 2020. After exclusion of the deceased patients (n = 3) and patients with no records (n = 1), 50% (n = 28) had NIPE done before discharge. The percentage was lower, 24% when excluding the babies who had NIPE done before transfer to the cardiac centre. This spotted the improvement opportunity. Staff education sessions and presentations were conducted. Re-audit in January 2021 for admissions (n = 21) showed significant improvement in compliance to 76% (n = 16). CONCLUSION(S): Our project not only improved local compliance with the national guidelines, but was also a step forward towards safe patient discharge resulting in being a cost effective measure for the hospital.</t>
  </si>
  <si>
    <t>Study conducted in the UK, mentions NHS and UK guidelines.</t>
  </si>
  <si>
    <t>J3628</t>
  </si>
  <si>
    <t>An ethnographic evaluation of a speciality training pathway for general practice nursing in the UK</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</si>
  <si>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Â© 2022 The Authors. Published by Elsevier Ltd.. All rights reserved.</t>
  </si>
  <si>
    <t>J3629</t>
  </si>
  <si>
    <t>Does Early Integration of Palliative Care with Acute Oncology Services Improve Cancer Patient Outcomes Following Acute Hospital Admission? A Rapid Review</t>
  </si>
  <si>
    <t>Introduction Cardiff and Vale tertiary care and cancer centre</t>
  </si>
  <si>
    <t>Study conducted in Cardiff, Wales, UK.</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</si>
  <si>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</si>
  <si>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</si>
  <si>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Â© 2021, The Author(s).</t>
  </si>
  <si>
    <t>Study conducted in the UK with NHS Scotland data.</t>
  </si>
  <si>
    <t>J3631</t>
  </si>
  <si>
    <t>Cost effectiveness and budget impact of universal varicella vaccination in Russia</t>
  </si>
  <si>
    <t>This economic evaluation assesses the cost-effectiveness and budget impact of introducing a two-dose varicella vaccine in the Russian national immunization program. A static Markov model followed a simulated 2019 Russian cohort over its lifetime and compared outcomes and costs of three varicella vaccination strategies: strategy I (doses given at 12 and 15 months of age), strategy II (doses given at 1 year and 6 years of age), and a no vaccination scenario. Inputs on age-dependent clinical pathways, associated costs, and related health outcomes were collected from national sources and published literature. Results are presented as incremental cost-effectiveness ratio (ICER) from the healthcare payer and societal perspective over the lifetime of the birth cohort and the budget impact over a 10 years' time horizon. Vaccination strategies I and II resulted in an ICER of approximately 1.7 million rubles per quality-adjusted life years gained from the healthcare payer perspective and were cost-saving from the societal perspective. From the healthcare payer perspective, the costs per varicella case averted were 5,989 and 7,140 rubles per case for strategies I and II, respectively. However, from the societal perspective, vaccination is a dominant strategy and the budget impact analysis shows significant healthcare savings over 10 years, with strategy I realizing savings of ~2 billion rubles more than strategy II. From a public health impact perspective, varicella vaccination of children at 12 and 15 months of age through the Russian NIP is expected to be cost-effective with an affordable budget impact compared to no vaccination.</t>
  </si>
  <si>
    <t>Study conducted in Russia, not UK-based</t>
  </si>
  <si>
    <t>J3632</t>
  </si>
  <si>
    <t>Economic evaluations of health care interventions in oropharyngeal dysphagia after stroke: protocol for a systematic review</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</si>
  <si>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Â© 2022, The Author(s).</t>
  </si>
  <si>
    <t>J3633</t>
  </si>
  <si>
    <t>Extended-release pharmacotherapy for opioid use disorder (EXPO): protocol for an open-label randomised controlled trial of the effectiveness and cost-effectiveness of injectable buprenorphine versus sublingual tablet buprenorphine and oral liquid methadone</t>
  </si>
  <si>
    <t>J3634</t>
  </si>
  <si>
    <t>Interventions for treating supracondylar elbow fractures in children</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</si>
  <si>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quasiâ€randomised controlled trials comparing different interventions for the treatment of supracondylar elbow fractures in children. We included studies investigating surgical interventions (different fixation techniques and different reduction techniques), surgical versus nonâ€surgical treatment, traction types, methods of nonâ€surgical intervention, and timing and location of treatment. Data collection and analysis We used standard methodological procedures expected by Cochrane. We collected data and conducted GRADE assessment for five critical outcomes: functional outcomes, treatment failure (requiring reâ€intervention),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Southâ€East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miniâ€open technique or inserted percutaneously; buried versus nonâ€buried wires; external versus internal fixation; open versus closed reduction; surgical fixation versus nonâ€surgical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lowâ€certainty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lowâ€certainty evidence). For functional status (1 study, 35 children), treatment failure requiring reâ€intervention (1 study, 60 children), and cosmetic deformity (2 studies, 95 children), ther was very lowâ€certainty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reâ€intervention, or cosmetic deformity. The four studies in this comparison used direct visualisation during surgery. One additional study used a joystick technique for reduction, and we did not combine data from this study in analyses. Surgical fixation using wires versus nonâ€surgical immobilisation using a cast (3 studies, 140 children) There was very lowâ€certainty evidence showing little or no difference between interventions for treatment failure requiring reâ€intervention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patientâ€reported measures. Evaluation of the effectiveness of traction compared with surgical fixation would provide a valuable addition to this clinical field. Plain language summary What are the benefits and risks of different treatments for elbow fractures in children? Key messages â€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â€ Because we did not find enough studies about other treatments for these elbow fractures, their benefits and risks are unclear. â€ More, wellâ€designed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dayâ€toâ€day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â€ which types of treatments work best to heal the bone effectively; and â€ whether these treatments are associated with any unwanted effects. What did we do? We searched for studies that compared a range of treatments. The most common treatments were: â€ surgical treatments using different types of metal wires after the bone has been put back into position; â€ open reduction or closed reduction; â€ surgery or nonâ€surgical treatments; and â€ different nonâ€surgical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Southâ€East Asia. Very few studies reported how they were funded. Main results â€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longâ€term elbow deformity (where the elbow is no longer the normal shape). â€ The initial method used to move the bone back into position may make little or no difference to the risk of nerve injury. However, children may have fewer pin site infections when closed reduction is used. â€ There may be little or no difference between using metal wires to fix the bone or holding the bone in place with a cast in the need for additional surgery, nerve injury, pin site infections, or elbow deformity. But we are uncertain of these findings. â€ We do not know if a plaster cast compared to a sling has any effect on the risk of nerve injury or pin site infections. What are the limitations of the evidence? Most of the studies were either not wellâ€designed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</si>
  <si>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Study conducted in South-East Asia, not UK-based.</t>
  </si>
  <si>
    <t>J3635</t>
  </si>
  <si>
    <t>Mosquito aquatic habitat modification and manipulation interventions to control malaria</t>
  </si>
  <si>
    <t>- Background Larval source management (LSM) may help reduce Plasmodium parasite transmission in malariaâ€endemic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nonâ€randomized intervention studies comparing mosquito aquatic habitat modification or manipulation (or both) to no treatment or another active intervention. We also included uncontrolled beforeâ€after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ROBINSâ€I tool for nonâ€randomized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beforeâ€after (CBA) study design, three used a nonâ€randomized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lowâ€certainty evidence), and spillways across streams may reduce densities of adult mosquitoes compared to no intervention (lowâ€certainty evidence). However, the effect of habitat manipulation on malaria parasite prevalence and clinical malaria incidence is uncertain (very lowâ€certainty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lowâ€certainty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lowâ€certainty evidence), and preventing water stagnating using drainage of canals, removal of debris, land levelling, and filling ditches may reduce the density of immature mosquitoes compared to no intervention (ranged from 10% to 55% reductions; lowâ€certainty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(moderateâ€certainty evidence). However, filling or draining water bodies probably makes little or no difference to malaria parasite prevalence, haemoglobin levels, or entomological inoculation rate when delivered with larviciding compared to no intervention (moderateâ€certainty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nonâ€randomized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</si>
  <si>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Study conducted in Africa and Asia, not UK-based</t>
  </si>
  <si>
    <t>J3636</t>
  </si>
  <si>
    <t>Evolving strategies for meningococcal vaccination in Europe: Overview and key determinants for current and future considerations</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</si>
  <si>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Â© 2021 GlaxoSmithKline Biologicals S.A. Published by Informa UK Limited, trading as Taylor &amp; Francis Group.</t>
  </si>
  <si>
    <t>Study includes UK-specific vaccination strategies.</t>
  </si>
  <si>
    <t>J3637</t>
  </si>
  <si>
    <t>The Payer License Agreement, or Netflix model," for hepatitis C virus therapies enables universal treatment access, lowers costs and incentivizes innovation and competition"</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</si>
  <si>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Â© 2022 The Authors. Liver International published by John Wiley &amp; Sons Ltd.</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</si>
  <si>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</si>
  <si>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</si>
  <si>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Â© 2022 The Authors</t>
  </si>
  <si>
    <t>Study conducted in Sheffield, UK with NHS setting.</t>
  </si>
  <si>
    <t>J3639</t>
  </si>
  <si>
    <t>Monitoring bisphosphonate treatment in primary care: PINP and osteoporosis in Sheffield evaluation (pose study)</t>
  </si>
  <si>
    <t>Study mentions Sheffield, a UK city</t>
  </si>
  <si>
    <t>J3640</t>
  </si>
  <si>
    <t>In Search for Comparability: The PECUNIA Reference Unit Costs for Health and Social Care Services in Europe</t>
  </si>
  <si>
    <t>Improving the efficiency of mental healthcare service delivery by learning from international best-practice examples requires valid data, including robust unit costs, which currently often lack cross-country comparability. The European ProgrammE in Costing, resource use measurement and outcome valuation for Use in multi-sectoral National and International health economic evaluAtions (PECUNIA) aimed to harmonize the international unit cost development. This article presents the methodology and set of 36 externally validated, standardized reference unit costs (RUCs) for five health and social care services (general practitioner, dentist, help-line, day-care center, nursing home) in Austria, England, Germany, Hungary, The Netherlands, and Spain based on unambiguous service definitions using the extended DESDE PECUNIA coding framework. The resulting PECUNIA RUCs are largely comparable across countries, with any causes for deviations (e.g., country-specific scope of services) transparently documented. Even under standardized methods, notable limitations due to data-driven divergences in key costing parameters remain. Increased cross-country comparability by adopting a uniform methodology and definitions can advance the quality of evidence-based policy guidance derived from health economic evaluations. The PECUNIA RUCs are available free of charge and aim to significantly improve the quality and feasibility of future economic evaluations and their transferability across mental health systems.</t>
  </si>
  <si>
    <t>Includes England as a study site.</t>
  </si>
  <si>
    <t>J3641</t>
  </si>
  <si>
    <t>Includes England as a study site</t>
  </si>
  <si>
    <t>J3642</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</si>
  <si>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</si>
  <si>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Â© 2021</t>
  </si>
  <si>
    <t>Study conducted in the UK with NHS references</t>
  </si>
  <si>
    <t>J3643</t>
  </si>
  <si>
    <t>Diagnostic test accuracy and costâ€effectiveness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</si>
  <si>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(PCR)â€based loss of heterozygosity (LOH) assays (also known as PCRâ€based short tandem repeat or microsatellite analysis). Many other tests are available. None of the tests is perfect, although PCRâ€based LOH is expected to have very high sensitivity. Objectives To estimate the sensitivity and specificity and costâ€effectiveness of different deoxyribonucleic acid (DNA)â€based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crossâ€sectional studies in adults with glioma or any subtype of glioma, presenting raw data or crossâ€tabulations of two or more DNAâ€based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QUADASâ€2. Metaâ€analyses used the hierarchical summary ROC model to estimate and compare test accuracy. We used FISH and PCRâ€based LOH as alternate reference standards to examine how tests compared with those in common use, and conducted a latent class analysis comparing FISH and PCRâ€based LOH. We constructed an economic model to evaluate costâ€effectiveness. Main results We included 53 studies examining: PCRâ€based LOH, FISH, single nucleotide polymorphism (SNP) array, nextâ€generation sequencing (NGS), comparative genomic hybridisation (CGH), array comparative genomic hybridisation (aCGH), multiplexâ€ligationâ€dependent probe amplification (MLPA), realâ€time PCR, chromogenic in situ hybridisation (CISH), mass spectrometry (MS), restriction fragment length polymorphism (RFLP) analysis, Gâ€banding,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PCRâ€based LOH as the reference and 262 participants to analyses of comparisons between methods from studies not including FISH or PCRâ€based LOH. Most evidence was available for comparison of FISH with PCRâ€based LOH (15 studies, 915 participants): PCRâ€based LOH detected 94% of FISHâ€determined codeletions (95% credible interval (CrI) 83% to 98%) and FISH detected 91% of codeletions determined by PCRâ€based LOH (CrI 78% to 97%). Of tumours determined not to have a deletion by FISH, 94% (CrI 87% to 98%) had a deletion detected by PCRâ€based LOH, and of those determined not to have a deletion by PCRâ€based LOH, 96% (CrI 90% to 99%) had a deletion detected by FISH. The latent class analysis suggested that PCRâ€based LOH may be slightly more accurate than FISH. Most other techniques appeared to have high sensitivity (i.e. produced few falseâ€negative resul s) for detection of 1p/19q codeletion when either FISH or PCRâ€based LOH was considered as the reference standard, although there was limited evidence. There was some indication of differences in specificity (falseâ€positive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PCRâ€based LOH was considered the reference standard, although with much more uncertainty as these results were based on fewer studies (just one study with 49 participants for NGS and two studies with 33 participants for SNP array). Gâ€banding had low sensitivity and specificity when PCRâ€based LOH was the reference standard. Although MS had very high sensitivity and specificity when both FISH and PCRâ€based LOH were considered the reference standard, these results were based on only one study with a small number of participants. Realâ€time PCR also showed high specificity with FISH as a reference standard, although there were only two studies including 40 participants. We found no relevant economic evaluations. Our economic model using FISH as the reference standard suggested that the resourceâ€optimising test depends on which measure of diagnostic accuracy is most important. With FISH as the reference standard, MLPA is likely to be costâ€effective if society was willing to pay GBP 1000 or less for a true positive detected. However, as the value placed on a true positive increased, CISH was most costâ€effective. Findings differed when the outcome measure changed to either true negative detected or correct diagnosis. When PCRâ€based LOH was used as the reference standard, MLPA was likely to be costâ€effective for all measures of diagnostic accuracy at lower threshold values for willingness to pay. However, as the threshold values increased, none of the tests were clearly more likely to be considered costâ€effective. Authors' conclusions In our review, most techniques (except Gâ€banding) appeared to have good sensitivity (few false negatives) for detection of 1p/19q codeletions in glioma against both FISH and PCRâ€based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costâ€effective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PCRâ€based LOH, realâ€time PCR, LPA, SNP array, CGH array and NGS. None of these tests is perfect, so there is no 'gold standard' against which to compare them. The two most commonly used tests (FISH and PCRâ€based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'falseâ€positives'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upâ€toâ€date is this review? The latest search for studies took place in August 2019.</t>
  </si>
  <si>
    <t>Mentions NHS Economic Evaluation Database</t>
  </si>
  <si>
    <t>J3644</t>
  </si>
  <si>
    <t>A systematic review of economic evaluations of preoperative smoking cessation for preventing surgical complications</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</si>
  <si>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Â© 2022 IJS Publishing Group Ltd</t>
  </si>
  <si>
    <t>Study settings are US, France, and Spain</t>
  </si>
  <si>
    <t>Introduction Internationally, breast cancer is the second most diagnosed cancer with approximately 2.3 million people diagnosed each year. 40% will require a mastectomy which has an average length of hospital stay of 1–2 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</si>
  <si>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 The Author(s) 2025.</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</si>
  <si>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 2024 The Author(s). Journal of Child Psychology and Psychiatry published by John Wiley &amp; Sons Ltd on behalf of Association for Child and Adolescent Mental Health.</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</si>
  <si>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 2025</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</si>
  <si>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 2024</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</si>
  <si>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 2025</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</si>
  <si>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 2025 The American Society of PeriAnesthesia Nurses. Published by Elsevier Inc. All rights reserved.</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</si>
  <si>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stepped‐wedge designs, and non‐randomized studies of interventions (NRSIs), including interrupted time series (ITS) studies, controlled before‐after (CBA) studies, and follow‐up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WHO‐recommended guidelines for PPH prevention, detection, and treatment; PPH ≥ 500 mL; PPH ≥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cluster‐RCTs and 4 NRSIs) with a total of 1,027,273 births and more than 4373 birth attendants. The included studies were conducted in 17 different countries. Most trials were conducted in resource‐limited settings. None of the included studies reported data on the use of additional uterotonics within 24 hours after birth or adverse effects. Synthesis of results Single‐component implementation strategies versus usual care for PPH prevention, detection, and treatment We do not know if single‐component implementation strategies have any effect on adherence to WHO PPH prevention recommendations, PPH ≥ 500 mL, PPH ≥ 1000 mL, or blood transfusion (very low‐certainty evidence). Low‐certainty evidence suggests that single‐component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 500 mL, blood transfusion, or severe morbidity relating to surgical outcomes (very low‐certainty evidence). Multicomponent implementation strategies may have little to no effect on matern l death (274,008 births, 2 trials; low‐certainty evidence) compared to usual care. No trials in this comparison measured the effect on adherence to WHO PPH prevention recommendations, PPH ≥ 1000 mL, or severe morbidity (outcomes related to ICU admission). Multicomponent implementation strategies versus enhanced usual care for PPH prevention, detection, and treatment Low‐certainty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moderate‐certainty evidence), severe morbidity related to ICU admission (224,850 births, 2 trials; moderate‐certainty evidence), and surgical morbidity (210,132 births, 1 trial; moderate‐certainty evidence) compared to enhanced usual care. We do not know if multicomponent implementation strategies affect PPH ≥ 500 mL, PPH ≥ 1000 mL, or blood transfusion (very low‐certainty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single‐component implementation strategies affect adherence to WHO PPH prevention recommendations, blood loss, or blood transfusion. Single‐component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single‐component implementation strategies affect adherence to WHO PPH prevention recommendations, blood loss, or blood transfusion. Single‐component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PPH‐related illness or death. It remains unknown whether multiple strategies work in a real‐world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up‐to‐date is this evidence? The evidence is current to 25 April 2024.</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</si>
  <si>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 2025 The Author(s). Journal of Evaluation in Clinical Practice published by John Wiley &amp; Sons Ltd.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</si>
  <si>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 The Author(s) 2025.</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</si>
  <si>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platinum‐based chemotherapy before cytoreductive surgery with platinum‐based chemotherapy following cytoreductive surgery. Outcomes We extracted data on overall (OS) and progression‐free survival (PFS), adverse events, surgically related mortality and morbidity, and quality of life outcomes. Risk of bias We used the Cochrane RoB 1 tool to assess risk of bias in RCTs. Synthesis methods We conducted meta‐analyses using random‐effects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meta‐analyses (1692 participants). Synthesis of results Survival We found little or no difference between groups in OS (HR 0.96, 95% CI 0.86 to 1.08; P = 0.49; I 2 = 0%; 4 studies; 1692 women; high‐certainty evidence) and likely little or no difference between groups in PFS (HR 0.98, 95% CI 0.88 to 1.08; P = 0.62; I 2 = 0%; 4 studies; 1692 women; moderate‐certainty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moderate‐certainty evidence). Organ resection NACT probably results in a large reduction in the need for stoma formation (5.8% in the NACT group versus 20.4% in the PCRS group) (RR 0.29, 95% CI 0.12 to 0.74; P = 0.009; I 2 = 70%; 2 studies; 632 women; moderate‐certainty evidence) and probably reduces the risk of needing bowel resection at the time of surgery (13.0% in the NACT group versus 26.6% in the PCRS group) (RR 0.47, 95% CI 0.27 to 0.81; P = 0.007; I 2 84%; 4 studies; 1578 women; moderate‐certainty evidence). Quality of life Global quality of life on the EORTC QLQ‐C30 produced imprecise results in three studies, with high levels of heterogeneity (quality of life at six months: MD 6.62, 95% CI −2.89 to 16.13; P = 0.17; I 2 = 92%; 3 studies; 559 women; low‐certainty evidence). Overall, functional and symptom scores may be slightly improved for NACT at 6 months, but similar by 12 months, although the differences might not be clinically meaningful. Authors' conclusions The available high‐ to moderate‐certainty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up‐to‐date is the evidence? The evidence is current to 21 March 2024.</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</si>
  <si>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 Author(s) (or their employer(s)) 2025.</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</si>
  <si>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 2025 Elsevier Inc. All rights reserved.</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</si>
  <si>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PCOS‐related infertility involves earlier retrieval of immature oocytes at the germinal‐vesicle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I² = 45%; 2 studies, 739 participants; moderate‐certainty evidence). As for congenital anomalies, one study reported no events, while another showed an uncertain effect of IVM (OR 0.33, 95% CI 0.01 to 8.24; 1 study, 351 participants; low‐certainty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high‐certainty evidence shows that IVM increases miscarriage per clinical pregnancy and reduces the incidence of moderate or severe OHSS in women with PCOS compared to IVF after a GnRH antagonist protocol. Regarding the rest of the outcomes, low‐ to moderate‐certainty evidence showed little to no difference in preterm birth and risk of congenital anomalies between the two modalities. We eagerly anticipate further evidence from high‐quality trials in the field (we found five ongoing trials). Plain language summary What is the best therapy for women who produce too many eggs when having fertility treatment? Key messages –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 In vitro maturation increases miscarriage and reduces ovarian hyperstimulation syndrome (painful condition where the ovaries produce too many eggs) in women with polycystic ovarian syndrome compared to in vitro fertilisation. –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</si>
  <si>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Gonadotropin‐releasing hormone agonist protocols for pituitary suppression in assisted reproduction</t>
  </si>
  <si>
    <t>- Background Gonadotropin‐releasing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I² = 0%; 5 studies, 381 women; low‐certainty evidence). For the same comparison, there was evidence that the long protocol may improve clinical pregnancy rates when compared to the short protocol (OR 1.56, 95% CI 1.01 to 2.40; I² = 23%; 8 studies, 552 women; low‐certainty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low‐certainty evidence); long luteal versus long follicular phase (OR 1.89, 95% CI 0.87 to 4.10; 1 study, 223 women; very low‐certainty evidence); GnRHa reduced‐dose versus GnRHa same‐dose continued in the long protocol (OR 1.59, 95% CI 0.66 to 3.87; 1 study, 96 women; very low‐certainty evidence); GnRHa administration for two versus three weeks before stimulation (OR 0.88, 95% CI 0.37 to 2.05; 1 study, 85 women; very low‐certainty evidence); GnRHa continued versus discontinued after human chorionic gonadotropin (HCG) administration in the long protocol (OR 0.89, 95% CI 0.49 to 1.64; 1 study, 181 women; very low‐certainty evidence); and 500 µg dose versus 80 µg dose in the short protocol (OR 0.31, 95% CI 0.10 to 0.98; 1 study, 200 women; very low‐certainty evidence). Clinical pregnancy rates may improve with a 100 µg dose compared to a 25 µg dose in the short protocol (OR 2.30, 95% CI 1.06 to 5.00; 2 studies, 133 women; low‐certainty evidence). Only four of the 40 included studies reported adverse events. We are uncertain of any difference in OHSS rate in the GnRHa reduced‐dose versus GnRHa same‐dose regimen in the long protocol (OR 0.47, 95% CI 0.04 to 5.35 1 study, 96 women; very low‐certainty evidence) or when administration of GnRHa lasted for two versus three weeks before stimulation (OR 0.93, 95% CI 0.06 to 15.37; 1 study, 85 women; very low‐certainty evidence). Regarding miscarriage rates, we are uncertain of any difference when the GnRHa long protocol was administered for two versus three weeks before stimulation (OR 0.93, 95% CI 0.18 to 4.87; 1 study, 85 women; very low‐certainty evidence) and when a 500 µg dose was compared with an 80 µg dose in the short protocol (OR 3.15, 95% CI 0.32 to 31.05; 1 study, 131 women; very low‐certainty evidence). No studies reported on cost‐effectiveness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cost‐effectiveness and acceptability of the different treatment protocols. Plain language summary Which hormone (GnRHa) medications work best with ovarian stimulation hormones in assisted conception cycles? Key messages • When comparing long versus short gonadotropin‐releasing hormone agonists (GnRHa) treatment, there was little to no difference between groups for live birth and ongoing pregnancy rates, but the long treatment may result in a higher clinical pregnancy rate (where the foetus can be seen or heard). • We are uncertain if there is any difference in live birth and clinical pregnancy rates for the other comparisons studied, except for the comparison 100 µg dose versus 25 µg dose in a short treatment, which showed that clinical pregnancy may improve with a 100 µg dose. • Further research is needed to look at the cost‐effectiveness and acceptability of the different treatments. What did we want to find out? Gonadotropin‐releasing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µg dose versus 25 µg dose in a short treatment, which showed that clinical pregnancy may improve with a 100 µg dose. We are uncertain if there is any difference in OHSS rates and pregnancy loss, which were reported by only two studies each. There was not enough evidence to reach any conclusions regarding other harmful effects. Further research is needed to look at the cost‐effectiveness and acceptability of the different treatments. What are the limitations of the evidence? We have low to very low confidence in the evidence. The main limitations in the evidence were non‐reporting of live birth or ongoing pregnancy in half of the studies, poor reporting of study methods, unclear findings, very few studies reporting on unwanted effects such as OHSS, and lack of data regarding other harmful events, cost‐effectiveness, and acceptability of the treatments. Only eight of the 40 included studies were conducted within the last 10 years. How up‐to‐date is this evidence? The evidence is current to December 2022.</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</si>
  <si>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 2024</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</si>
  <si>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 The Author(s), under exclusive licence to Springer Nature Switzerland AG 2025.</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</si>
  <si>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 Author(s) (or their employer(s)) 2025.</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</si>
  <si>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 2025</t>
  </si>
  <si>
    <t>Stakeholders’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</si>
  <si>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Krogsbøll and colleagues. Search methods We searched MEDLINE (Ovid) and CINAHL (EBSCO) and conducted citation‐based searches (e.g. reference lists, effectiveness review‐associated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GRADE‐CERQual (Confidence in the Evidence from Reviews of Qualitative Research) approach to assess our confidence in each finding. Main results One hundred and forty‐six studies met the inclusion criteria, and we sampled 36 of these for our analysis. While most of the studies were set in high‐income countries in Europe, nearly a third (11/36) were set in culturally diverse middle‐income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 decision‐making.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 We found less information about healthcare funders and providers, so we do not fully understand what drives their decisions about funding or delivering general health checks. •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policy‐makers, healthcare managers and providers, and clients to fund, provide and attend general health checks. What did we do? We searched for studies where policy‐makers, healthcare managers, healthcare providers and clients shared their views and experiences. We evaluated the quality of each study individually and summarised the findings. What did we find? We found 146 studies, and selected 36 of them to analyse. Most studies took place in high‐income European countries, with a third from middle‐income countries in Eastern Europe, South and Southeast Asia, and Latin America. Most clients, healthcare providers and policy‐makers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 Clients’ perceptions of the disease, prevention and risk affect uptake. • Both healthcare providers and clients believe that people who provide general health checks need to be skilled and understand the clients' culture. 2. We have moderate confidence in the evidence of the following findings. • Many clients see general health checks as a way to get an objective health assessment, reassurance from health professionals and motivation for healthier living. • Clients who fear bad results or who only seek care when they have symptoms are less likely to attend. • Some clients feel a duty to their families or society to attend health checks, believing it helps maintain or improve their health. • Interaction with healthcare providers can either encourage or discourage attendance. • Availability, accessibility and clear information are crucial in clients' decision‐making process. • Factors like time, money and health insurance affect whether people attend. •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 Healthcare funders, managers, providers and clients have different views on how beneficial general health checks actually are. • Healthcare providers and clients feel that raising awareness of general health checks, including their benefits and risks, requires clear information, effective invitation systems and educational efforts. 3. We have low or very low confidence in the following findings. • Clients prefer a broad range of tests, while healthcare providers favour more tailored testing, based on the person's needs. • For clients, clear explanations of test results and recommendations are important. Everyone agrees that follow‐up care is essential to make general health checks meaningful. • Clients report that cultural background, social norms, religion, gender and language shape how people perceive prevention and disease, which influences their decision to attend general health checks. • Policy‐makers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up‐to‐date is this evidence? We searched for studies in January 2022 and August 2022. The studies that we analysed were published between 1995 and 2021.</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</si>
  <si>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 2025 Wiley Periodicals LLC.</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</si>
  <si>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 2025 Taylor &amp; Francis Group, LLC.</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</si>
  <si>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 The Author(s) 2024.</t>
  </si>
  <si>
    <t>- Background Antipsychotic drugs are the mainstay of treatment for schizophrenia. Even though several novel second‐generation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risk‐to‐benefit ratio of the 'latest' second‐generation antipsychotics compared to the typical agents of 'established stature'. Objectives To systematically review the efficacy and safety of lurasidone versus typical antipsychotics for adults with schizophrenia or schizophrenia‐related disorders. Search methods We searched the Cochrane Schizophrenia Group’s Study‐Based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low‐certainty evidence); and the Positive and Negative Syndrome Scale (PANSS) (MD 6.68, 95% CI 2.45 to 10.91; 1 RCT, 281 participants; very low‐certainty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 We compared lurasidone, a newer antipsychotic, with traditional antipsychotics like haloperidol to treat schizophrenia. • Based on two studies, we are uncertain w ether lurasidone improves schizophrenia symptoms or causes fewer unwanted effects compared to traditional medications. •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 Is more effective than traditional antipsychotic medications, such as haloperidol, in reducing schizophrenia symptoms. • Causes fewer unwanted effects. •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 Symptoms of schizophrenia: It is unclear whether lurasidone improves symptoms as measured by common scales (e.g., the Brief Psychiatric Rating Scale). One study suggested a slight improvement, but we are very uncertain about these results. • Unwanted effects: It is unclear whether lurasidone causes fewer or more unwanted effects compared to haloperidol. •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</si>
  <si>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quasi‐RCTs. Synthesis methods We synthesised the results for each outcome in a meta‐analysis using the random‐effects model, except for the Peto odds ratio, which only has a fixed‐effect model. We planned to use the Synthesis Without Meta‐analysis (SWiM) approach to report studies when it was not possible to undertake a meta‐analysis of effect estimates. We used GRADE to assess the certainty of evidence for each outcome. Included studies We included eight studies (five RCTs and three quasi‐RCTs) with a total of 739 paediatric and adult participants, of which 370 participants were randomised to the drainage group and 369 participants to the no‐drainage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no‐drainage group. There were seven deaths in the drainage group (N = 291) compared with one in the no‐drainage group (N = 290); abdominal drainage probably increases the risk of 30‐day mortality (Peto odds ratio 4.88, 95% CI 1.18 to 20.09; 6 studies, 581 participants; moderate‐certainty evidence) in paediatric and adult partic pants undergoing open appendectomy for complicated appendicitis. Abdominal drainage may increase hospital stay by 1.58 days (95% CI 0.86 to 2.31; 5 studies, 516 participants; very low‐certainty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CSTB2022NSCQ‐MSX0058, cstc2021jcyj‐msxmX0294), Medical Research Projects of Chongqing (Grant No. 2018MSXM132, 2023ZDXM003, 2024jstg028), and the Kuanren Talents Program of the Second Affiliated Hospital of Chongqing Medical University. Registration Registration: not available.  Protocol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 Use of drain after open removal of the appendix probably increases the death rate in children and adults with complicated appendicitis. •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 abdominal abscess rate; • wound infection rate; • overall complication rate; • death rate; •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 abdominal abscess rate (9 more abdominal abscesses per 1000 participants); • wound infection rate; or •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up‐to‐date is this evidence? This review updates our previous review. The evidence is current to October 2023.</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</si>
  <si>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 The Author(s) 2024.</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</si>
  <si>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 2024 The Author(s). Movement Disorders Clinical Practice published by Wiley Periodicals LLC on behalf of International Parkinson and Movement Disorder Society.</t>
  </si>
  <si>
    <t>Interventions to reduce non‐prescription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</si>
  <si>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non‐prescription antimicrobial sales in the community setting. Objectives To assess the effects of interventions for reducing non‐prescription antimicrobial sales by pharmacists and non‐pharmacists in community pharmacies, drugstores, and other medicine outlets. To assess whether the effects of interventions differ according to types of interventions (single or multicomponent), community pharmacy personnel (pharmacists or non‐pharmacists), and countries (low to lower‐middle‐income and upper‐middle to high income). Search methods We searched five databases, including CENTRAL, MEDLINE, and Embase, and two trial registers to 26 September 2022. We also conducted reference checking and citation searches. Selection criteria We included randomized trials, cluster‐randomized trials, and quasi‐randomized trials evaluating interventions targeted at pharmacists and non‐pharmacists in community pharmacies, drugstores, and other medicine outlets. Our primary outcomes were non‐prescription antimicrobial sales, symptomatic or asymptomatic infections caused by antimicrobial‐resistant pathogens among pharmacy clients or community residents, and adverse events associated with non‐prescription antimicrobial drug use in pharmacy clients. Our secondary outcomes were history taking and provision of advice to pharmacy clients, and knowledge of pharmacists and non‐pharmacists.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non‐pharmacists. One study conducted in Scotland was a four‐arm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peer‐monitoring) with a control of no intervention. Only non‐prescription antimicrobial sales, history taking and provision of advice to pharmacy clients, and knowledge of pharmacists and non‐pharmacists were assessed in the included studies; no study assessed other outcomes. We judged the overall risk of bias for non‐prescription antimicrobial sales to be high risk and for the other two outcomes to be some concerns. One study conducted in Scotland assessed single‐component interventions (in two intervention arms) versus a control of written guidelines, and reported one primary outcome and one secondary outcome. Non‐prescription antimicrobial sales: the study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non‐pharmacists: the study reported knowledge scores at baseline and follow‐up, but did not compare the scores between t o single‐component intervention arms and the control arm at both time points. Four studies assessed multicomponent interventions versus a control of written guidelines or no intervention, and reported one primary outcome and two secondary outcomes. Non‐prescription antimicrobial sales: two studies conducted in Uganda, Thailand, and Vietnam involving 337 randomized community pharmacies and drugstores reported the proportion of non‐prescription antimicrobial sales to the total number of requests using a simulated client method. Based on vote counting, both studies favored the intervention, that is multicomponent interventions reduced the sales of non‐prescription antimicrobial drugs by pharmacists and non‐pharmacists. The information in the other two studies was inadequate to address this primary outcome. One study in Portugal reported that total antibiotic consumption at the municipal level (comprising both prescribed and non‐prescribed antibiotic sales) was reduced after a multicomponent intervention. The study conducted in Scotland assessed a multicomponent intervention (in one intervention arm) and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non‐pharmacists in the intervention groups, while Uganda reported a paradoxical decline. Knowledge of pharmacists and non‐pharmacists: the study conducted in Scotland reported knowledge scores at baseline and follow‐up, but did not compare the scores between the multicomponent intervention arm and control arm at both time points. Authors' conclusions No firm conclusions can be drawn about the effects of single‐component interventions due to limited evidence. Multicomponent interventions may not reduce the sales of non‐prescription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 There is no clear evidence that the single‐component interventions targeted at pharmacists and non‐pharmacists in community pharmacies and drugstores are effective. • When multicomponent interventions are used, the sale of antimicrobial drugs without a prescription may not be reduced, but we are very uncertain about the results. • Better‐quality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doctor’s prescription, but some pharmacists and non‐pharmacists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non‐p armacists reduce the sale of antimicrobial drugs without a prescription in countries where laws do not permit the sale of antimicrobial drugs without a prescription. What did we want to find out? In this review we looked at whether interventions that target pharmacists and non‐pharmacists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peer‐monitoring for reducing the sales of antimicrobial drugs without a prescription by pharmacists and non‐pharmacists.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non‐pharmacists, and peer‐monitoring on antimicrobial drug sales. When pharmacists and non‐pharmacists in community pharmacies and drugstores received more than one intervention component, the number of sales of antimicrobial drugs without a prescription may not be reduced, but we are very uncertain about the results. No studies measured drug‐resistant infections or unwanted effects of antimicrobial drugs in pharmacy users. Further studies on this topic are needed, particularly looking at the effects of single‐component interventions. How up‐to‐date is this review? The evidence is current to September 2022.</t>
  </si>
  <si>
    <t>Differences in the effectiveness of individual‐level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</si>
  <si>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individual‐level smoking cessation interventions. It is not known whether any intervention performs differently across socioeconomically‐diverse populations and contexts. Objectives To assess whether the effects of individual‐level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follow‐up (≥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follow‐up (≥ six months). Where possible, we calculated ratios of odds ratios (ROR) with 95% confidence intervals (CIs) for each study, comparing lower to higher SES. We pooled RORs by intervention type in random‐effects meta‐analyses, using the generic inverse‐variance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single‐form nicotine replacement therapy on relative quit rates by SES. No studies on varenicline versus control were included. Behavioural interventions We found low‐certainty evidence of lower quit rates in lower compared to higher SES groups for print‐based self‐help (ROR 0.85, 95% CI 0.52 to 1.38; 3 studies, 4440 participants) and text‐messaging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low‐certainty evidence of no difference in quit rates by SES for face‐to‐face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people’s socioeconomic background? Key messages • We have little or no confidence in the evidence for all treatments. This means there is no clear evidence to support using different stop‐smoking interventions for people from lower versus higher socioeconomic groups, or that any one intervention would have an effect on health inequalities. However, this conclusion may change as more research becomes available. •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Seventy‐three studies were conducted in high‐income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print‐based self‐help materials, text‐messaging, and financial incentives to stop smoking suggested lower quit rates in lower socioeconomic groups compared to higher groups. This suggests that these interventions have a possibly negative impact on health equality, compared to control. Evidence on face‐to‐face counselling suggested no difference between socioeconomic groups, while telephone counselling and internet‐based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</si>
  <si>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 Author(s) (or their employer(s)) 2025. Re-use permitted under CC BY-NC. No commercial re-use. See rights and permissions. Published by BMJ Group.</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</si>
  <si>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 The Author(s) 2024.</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</si>
  <si>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low‐certainty evidence) and motor function (SMD 1.01, 95% CI 0.80 to 1.22; 50 studies, 5669 participants; low‐certainty evidence). There was evidence of long‐term benefits for these outcomes. Physical rehabilitation may improve balance (MD 4.54, 95% CI 1.36 to 7.72; 9 studies, 452 participants; low‐certainty evidence) and likely improves gait velocity (SMD 0.23, 95% CI 0.05 to 0.42; 18 studies, 1131 participants; moderate‐certainty evidence), but with no evidence of long‐term benefits. Is physical rehabilitation more effective than attention control? The evidence is very uncertain about the effects of physical rehabilitation, as compared to attention control, on IADL (SMD 0.91, 95% CI 0.06 to 1.75; 2 studies, 106 participants), motor function (SMD 0.13, 95% CI ‐0.13 to 0.38; 5 studies, 237 participants), and balance (MD 6.61, 95% CI ‐0.45 to 13.66; 4 studies, 240 participants). Physical rehabilitation likely improves gait speed when compared to attention control (SMD 0.34, 95% CI 0.14 to 0.54; 7 studies, 405 participants; moderate‐certainty evidence). Does additional physical rehabilitation improve outcomes? Additional physical rehabilitation may improve IADL (SMD 1.26, 95% CI 0.82 to 1.71; 21 studies, 1972 participants; low‐certainty evidence) and motor function (SMD 0.69, 95% CI 0.46 to 0.92; 22 studies, 1965 participants; low‐certainty evidence). Very few studies assessed these outcomes at long‐term follow‐up. Additional physical rehabilitation may improve balance (MD 5.74, 95% CI 3.78 to 7.71; 15 studies, 795 participants; low‐certainty evidence) and gait velocity (SMD 0.59, 95% CI 0.26 to 0.91; 19 studies, 1004 participants; low‐certainty evidence). Very few studies assessed these outcomes at long‐term follow‐up. Is any one approach to physical rehabilitation more effective than any other approach? Compared to other approaches, those that focus on functional task training may improve IADL (SMD 0.58, 95% CI 0.29 to 0.87; 22 studies, 1535 participants; low‐certainty evidence) and motor function (SMD 0.72, 95% CI 0.21 to 1.22; 20 studies, 1671 participants; very low‐certainty evidence) but the evidence in the latter is very uncertain. The benefit was sustained long‐term. The evidence is very uncertain about the effect of functional task training on balance (MD 2.16, 95% CI ‐0.24 to 4.55) and gait velocity (SMD 0.28, 95% CI ‐0.01 to 0.56). Compared to other approaches, neurophysiological approaches may be less effective than other approaches in improving IADL (SMD ‐0.34, 95% CI ‐0.63 to ‐0.06; 14 studies, 737 participants; low‐certainty evidence), and there may be no difference in improving motor function (SMD ‐0.60, 95% CI ‐1.32 to 0.12; 13 studies, 663 participants; low‐certainty evidence), balance (MD ‐0.60, 95% CI ‐5.90 to 6.03; 9 studies, 292 participants; low‐certainty evidence), and gait velocity (SMD ‐0.17, 95% CI ‐0.62 to 0.27; 16 studies, 630 participants; very low‐certainty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decision‐making. Plain language summary How effective are different physical rehabilitation approaches in the recovery of function, balance, and walking after stroke? Key messages For people who have had a stroke: ‐ Physical rehabilitation may improve daily activities, moving legs, balance, and walking, when compared to no physical rehabilitation. There may be greater benefits when more than 2.5 hours/week of physical rehabilitation is delivered. ‐ Extra physical rehabilitation, given in addition to 'usual' physical rehabilitation, may also improve outcomes. The greater the amount of extra physical rehabilitation, the greater the benefit may be. ‐ Physical rehabilitation focussed on functional task training (the active practice of real‐life tasks with the aim of acquiring ‐ or reacquiring ‐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‘Bobath’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 Are physical rehabilitation approaches effective in the recovery of function and mobility in people with stroke? ‐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Ninety‐two studies compared different physical rehabilitation approaches. There were many variations in the types and amount of physical rehabilitation, and the types of people (e.g. different lengths of time post‐stroke).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long‐term follow‐up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up‐to‐date is this evidence? The evidence is up‐to‐date to November 2022. It is unlikely that any studies published since November 2022 would alter our conclusions.</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</si>
  <si>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 2025"</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</si>
  <si>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 Author(s) (or their employer(s)) 2025. Re-use permitted under CC BY. Published by BMJ Group.</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</si>
  <si>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 2024"</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</si>
  <si>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 2024</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</si>
  <si>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 2025 Elsevier Ltd</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</si>
  <si>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 2025. The Author(s).</t>
  </si>
  <si>
    <t>Post‐incident debriefing for people with schizophrenia after coercive measures</t>
  </si>
  <si>
    <t>- Background Schizophrenia and schizophrenia‐type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post‐incident debriefing is recommended, the limited evidence supporting its efficacy and concerns about its impact on psychological well‐being prompt a comprehensive analysis of existing literature. Objectives To investigate the effects of post‐incident debriefing after coercive measures for people with schizophrenia or schizophrenia‐type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post‐incident debriefing after coercive measures in adult psychiatric care with participants diagnosed with schizophrenia or schizophrenia‐type psychosis, encompassing various clinical states and stages. We considered studies if the post‐incident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post‐coercion review that was conducted until the discharge of the participant. For the primary outcome, we found that there may be an increased risk of being secluded again for those receiving post‐incident debriefing compared to treatment as usual, but the evidence is very uncertain (RR 1.32, 95% CI 0.74 to 2.33; 1 study, 109 participants; very low‐certainty evidence). No evidence was found that post‐incident debriefing had an effect in reducing peritraumatic distress (MD ‐1.62, 95% CI ‐7.47 to 4.23; 1 study, 82 participants; very low‐certainty evidence) or increasing satisfaction with care (perceived coercion: MD ‐0.37, 95% CI ‐1.59 to 0.85; 1 study, 109 participants; coercion experience: MD ‐1.61, 95% CI ‐13.36 to 10.14; 1 study, 109 participants; very low‐certainty evidence) compared to treatment as usual. The evidence is very uncertain about the effect of post‐incident debriefing on these outcomes. No usable data were available for change in patient behaviour or adverse effects. Authors' conclusions Considering the available evidence, it is not possible to arrive at definitive conclusions that post‐incident debriefing after coercive measures is effective for people with schizophrenia or schizophrenia‐type psychosis. F rther high‐quality studies are warranted to evaluate the effects of post‐incident debriefing in psychiatric inpatient care. Plain language summary Is post‐incident debriefing after coercive measures for people with schizophrenia effective? Key messages • Due to a lack of evidence, the benefits of post‐incident debriefing after coercive measures (seclusion: locking someone in a separate room, or restraint: preventing them from moving) for people with schizophrenia or schizophrenia‐type psychosis are unclear. • Future research is needed into the effects of post‐incident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post‐incident debriefing after coercive measures for people with schizophrenia or schizophrenia‐type psychosis. What did we do? We carried out a comprehensive search in specialised databases to identify studies in which people with schizophrenia were randomly assigned to two or more treatment groups to assess post‐incident debriefing in adult psychiatric care. What did we find? We found one relevant study with data for 109 people. This study involved standardised post‐incident debriefing until the person left hospital. People who received post‐incident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post‐incident debriefing is common practice in clinical settings, the evidence is currently not available to support it in current forms. The findings of this review therefore suggest caution in its use. The review highlights the need for further high‐quality studies to thoroughly assess the effects of post‐incident debriefing in psychiatric inpatient care. Any post‐incidence debriefing measures should be clearly defined and described so that people know how and why to use them in daily practice. How up to date is this evidence? This evidence is current to February 2023.</t>
  </si>
  <si>
    <t>Ankle‐foot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</si>
  <si>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ankle‐foot‐orthoses (AFOs). Since we are not aware of an up‐to‐date and complete overview of the effects of AFOs used for calf muscle weakness in slowly progressive neuromuscular disorders, we reviewed the evidence for the effectiveness of AFOs to improve walking in this patient group, in order to support clinical decision‐making. Objectives To review the evidence for the effects of ankle‐foot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cross‐over studies and quasi‐RCTs, and non‐randomised studies (NRSs) that examined the effects of AFO interventions compared with shoes‐only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meta‐analysis where possible. We used the GRADE approach to rate the certainty of the evidence. Main results We included four randomised cross‐over studies and six NRSs with 186 participants in total (the smallest study had 8 participants and the largest had 37). All studies were designed as self‐controlled studies and examined the effects of custom‐made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three‐week or three‐month follow‐up.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−0.86 J/kg/m, 95% confidence interval (CI) −1.33 to −0.39; 2 studies, 45 participants; low‐certainty evidence), and may increase walking speed (MD 0.19 m/s, 95% CI 0.11 to 0.27; 4 studies, 71 participants; low‐certainty evidence) compared to shoes‐only walking. We found that leather AFOs may increase walking speed (MD 0.25 m/s, 95% CI 0.07 to 0.43; 1 study, 11 participants; low‐certainty evidence). Little or no effect on walking speed was found with polypropylene AFOs (MD 0.00 m/s, 95% CI −0.11 to 0.11; 2 studies, 25 participants; low‐certainty evidence) and elastic AFOs (MD 0.03 m/s, 95% CI −0.12 to 0.18; 1 study, 14 participants; low‐certainty evidence). Carbon AFOs may also enhance satisfaction while walking (1 study, 16 participants; low‐certainty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(low‐certainty evidence). Authors' conclusions The available evidence for ankle‐foot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Ankle‐foot orthoses to improve walking in people with weakness of the calf muscles due to neuromuscular disorders Key messages Ankle‐foot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Ankle‐foot orthoses are devices that can be provided to improve walking in people with neuromuscular disorders. There are many different types of ankle‐foot orthoses and their effects on walking vary considerably. To help healthcare professionals and patients make informed decisions about the use of ankle‐foot orthoses, we wanted to review the available evidence about their effects on walking. What did we do? We searched the medical literature for all relevant studies that compared walking with ankle‐foot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cross‐over design; the other six studies were not randomised. Outcomes were assessed at different time points, and most studies did not include follow‐up assessments. The ankle‐foot orthosis types that were examined varied in their design and material. Most ankle‐foot‐orthosis types, in particular the ankle‐foot orthoses that were made of carbon, were custom‐made; the remainder were prefabricated. These factors reduced our confidence in the evidence. How up to date is this review? We searched for studies published up to February 2023.</t>
  </si>
  <si>
    <t>Pre‐emptive treatment for cytomegalovirus viraemia to prevent cytomegalovirus disease in solid organ transplant recipients</t>
  </si>
  <si>
    <t>- Background Cytomegalovirus (CMV) is a significant cause of morbidity and death in solid organ transplant recipients. Pre‐emptive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quasi‐RCTs comparing pre‐emptive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pre‐emptive treatment versus placebo or standard care, 12 looked at pre‐emptive treatment versus antiviral prophylaxis, one study investigated oral versus intravenous pre‐emptive treatment, one investigated pre‐emptive valganciclovir versus pre‐emptive ganciclovir, and one investigated letermovir 40 mg twice/day versus 80 mg once/day. Studies were conducted in Australia, Brazil, the Czech Republic, Germany, Italy, Japan, Norway, Spain, South Korea, and the USA. Organ transplant recipients included kidney, liver, heart, lung, and kidney‐pancreas. Thirteen studies were single‐centre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pre‐emptive treatment probably reduces the risk of CMV disease (7 studies, 315 participants: RR 0.29, 95% CI 0.11 to 0.80; I 2 = 54%; moderate‐certainty evidence) but may result in little or no difference in death (any cause) (3 studies, 176 participants: RR 1.23, 95% CI 0.35 to 4.30; I 2 = 0%; low‐certainty evidence). Pre‐emptive treatment may result in little or no difference in CMV organ involvement, CMV‐associated symptoms, acute rejection, graft loss, other infections or leucopenia. Compared to prophylaxis, pre‐emptive treatment may make little or no difference to the risk of developing CMV disease (11 studies, 1322 participants: RR 0.97, 95% CI 0.47 to 2.01; I 2 = 54%; low‐certainty evidence) and probably makes little or no difference to death (any cause) (9 studies, 1098 participants: RR 0.95, 95% CI 0.60 to 1.52; I 2 = 0%; moderate‐certainty evidence). Pre‐emptive treatment may increase the risk of CMV infection (8 studies, 867 participants: RR 1.97, 95% CI 1.48 to 2.61; I 2 = 66%; low‐certainty evidence). The risk of leucopenia (7 studies, 869 participants: RR 0.57, 95% CI 0.38 to 0.87; I 2 = 33%; moderate‐certainty evidence) and neutropenia (5 studies, 859 participants: RR 0.63, 95% CI 0.44 to 0.90; I 2 = 0% moderate certainty evidence) probably decreases w th pre‐emptive therapy. There may be little or no difference in the risks of acute rejection, graft loss, and infections other than CMV. Single studies were identified for comparisons between different pre‐emptive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Pre‐emptive treatment probably reduces the risk of CMV disease compared with placebo or standard care. There were no clear differences between pre‐emptive treatment and prophylaxis to prevent CMV disease or reduce the risk of death (any cause). The risk of CMV infection may be higher for patients receiving pre‐emptive therapy, but the risk of adverse events, such as leucopenia, is probably lower. Plain language summary Does pre‐emptive treatment with antiviral agents help to reduce the risk of cytomegalovirus disease in transplant recipients? Key messages •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laboratory‐confirmed evidence of infection (pre‐emptive treatment). • Compared to placebo or standard care, pre‐emptive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 Compared to antiviral prophylaxis, pre‐emptive treatment probably reduces the risk of low white blood cells and probably makes little or no difference to the risk of death. However, we are less confident pre‐emptive treatment may increase the risk of CMV infection or may make little or no difference to risks of acute rejection, graft loss, or infections other than CMV. What is cytomegalovirus?  Cytomegalovirus (CMV, a herpes virus related to chickenpox) is a common virus, with the majority of people being exposed by adulthood. Once a person becomes infected, the virus remains alive but usually inactive (dormant) within that person’s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laboratory‐confirmed evidence of infection (pre‐emptive treatment). What did we want to find out? We wanted to find out if pre‐emptive treatment aimed at transplant recipients who are at risk of developing CMV disease, rather than administering universal prophylaxis, including those who are unlikely to develop CMV disease, prevents the development of CMV disease, death and adverse events. What did we do?  We searched for all trials that assessed the benefits and harms of pre‐emptive treatment with antiviral agents in preventing CMV disease in solid organ transplant recipients. We compared and summarised the results of the trials and rated our confidence in the information based on factors such as trial methods and size. What did we find?  We found 22 studies involving 1883 people (adults and children) who had received a kidney, liver, heart, lung, or kidney‐pancreas transplant. Studies were conducted in Australia, Brazil, the Czech Republic, Germany, Italy, Japan, Norway, Spain, South Korea, and the USA. The number of people enrolled ranged from 12 to 296. Studies compared pre‐emptive treatment with placebo or standard care (7 studies), pre‐emptive treatment versus antiviral prophylaxis (12), pre‐emptive oral versus intravenous ganciclovir treatment (1), pre‐emptive valganciclovir versus pre‐emptive ganciclovir (1), and two different pre‐emptive dosing strategies of letermovir (1). Compared to placebo or standard care, pre‐emptive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pre‐emptive treatment may make little or no difference to the risk of developing CMV disease and probably makes little or no difference to the risk of death. CMV infection may increase with pre‐emptive treatment, while the risk of low white blood cells probably decreases. There may be little or no difference in the risks of acute rejection, graft loss, and infections other than CMV. What are the limitations of the evidence?  We are moderately confident that, compared to placebo or standard care, pre‐emptive treatment reduces the risk of CMV disease; however, we are less confident in the results for other outcomes. We are moderately confident that, compared to antiviral prophylaxis, pre‐emptive treatment probably reduces the risk of low white blood cells; however, we are less confident pre‐emptive treatment may increase the risk of CMV infection. How up to date is the evidence? The evidence is current to 17 December 2024.</t>
  </si>
  <si>
    <t>- Rationale Cancerâ€related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faceâ€toâ€face (via video tools or in person). We excluded studies with fewer than 20 randomised participants per group and where only an abstract was available. Outcomes Our critical outcomes were: shortâ€, mediumâ€, longâ€term CRF and QoL. Important outcomes were adverse events, and shortâ€, mediumâ€, longâ€term anxiety and depression. Risk of bias We used the Cochrane RoB 1 tool to assess bias in RCTs. Synthesis methods We used standard Cochrane methodology. We synthesised results for each outcome using metaâ€analysis where possible (inverse variance or Mantelâ€Haenszel; randomâ€effects model). We pooled data for the respective assessment periods above. We used GRADE to assess certainty of evidence for each outcome. Included studies We included 23 RCTs with 2135 participants, of whom 96.6% originated from highâ€income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shortâ€term CRF slightly (mean difference (MD) 2.85, 95% confidence interval (CI) 1.16 to 4.55, on the Functional Assessment of Cancer Therapy â€“ Fatigue (FACTâ€F), scale 0 to 52, higher values mean better outcome; minimally important difference (MID) 3; 6 studies, 593 participants) and probably results in little to no difference in shortâ€term QoL (MD 3.56, 95% CI 0.21 to 6.90, on the European Organisation for Research and Treatment of Cancer Quality of Life Questionnaire C30 (EORTC QLQ Câ€30), scale 0 to 100, higher values mean better outcome, MID 10; 6 studies, 612 participants) (both moderateâ€certainty evidence). We are uncertain about the effects on mediumâ€term CRF (MD 2.67, 95% CI âˆ’2.58 to 7.92, on FACTâ€F; MID 3; 1 study, 62 participants), longâ€term CRF (MD 0.41, 95% CI âˆ’2.24 to 3.05, on FACTâ€F; MID 3; 2 studies, 230 participants), mediumâ€term QoL (MD 6.79, 95% CI âˆ’4.39 to 17.97, on EORTC QLQ Câ€30; MID 10; 1 study, 62 participants), and longâ€term QoL (MD 1.51, 95% CI âˆ’3.40 to 6.42, on EORTC QLQ Câ€30; MID 10; 2 studies, 230 participants) (all very lowâ€certainty evidence). For adverse events (any grade and followâ€up), we did not perform metaâ€analysis due to heterogeneous definitions, reporting, and measurement (9 RCTs, 955 participants; very lowâ€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shortâ€term CRF (MD 3.62, 95% CI 0 to 7.13, on FACTâ€F; MID 3; 6 studies, 497 participants), longâ€term CRF (MD âˆ’0.80, 95% CI âˆ’1.72 to 0.13, on the Fatigue Symptom Inventory (FSI), scale 1 to 10, higher values mean worse outcome; MID 1; 2 studies, 262 participants), shortâ€term QoL (MD 3.70, 95% CI âˆ’0.14 to 7.41, on the Functional Assessment of Cancer Therapy â€“ General (FACTâ€G), scale 0 to 108, higher values mean better outcome; MID 4; 8 studies, 642 participants), longâ€term QoL (MD 3.10, 95% CI âˆ’1.12 to 7.32, on FACTâ€G; MID 4; 1 study, 201 participants), and adverse events (risk ratio (RR) 2.71, 95% CI 0.58 to 12.67; 1 study, 50 participants) (all very lowâ€certainty evidence). There were no data for mediumâ€term CRF and QoL . Authors' conclusions Moderateâ€certainty evidence shows that cardiovascular training by people with cancer during their anticancer therapy slightly reduces shortâ€term CRF and results in little to no difference in shortâ€term QoL . We do not know whether cardiovascular training increases or decreases mediumâ€term CRF/QoL , and longâ€term CRF/QoL . There is very lowâ€certainty evidence (due to heterogeneous definitions, reporting and measurement) evaluating whether the training increases or decreases adverse events . In people with cancer who perform cardiovascular training after anticancer therapy, we are uncertain about the effects on shortâ€term CRF/QoL , longâ€term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cancerâ€related fatigue before, during, or after anticancer therapy? Key messages Cardiovascular training during anticancer therapy probably reduces cancerâ€related fatigue slightly for up to 12 weeks. The longerâ€term effects of cardiovascular training on cancerâ€related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cancerâ€related fatigue? Cancerâ€related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cancerâ€related fatigue? Cancerâ€related fatigue is linked to the body's response to cytokines, which regulate how tissues and organs increase in size (called cell growth). Cancer or cancer therapy may produce proteins called proâ€inflammatory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cancerâ€related fatigue or quality of life, or both. The cardiovascular training had to have at least five sessions of exercise and had to be given by faceâ€toâ€face instruction (either by video or in person). We did not consider studies with fewer than 20 people per group, or that were available in a short summary form only. What did we find? We found 23 studies with 2135 people. Most studies were conducted in highâ€income countries (97%; where people have easy access to goodâ€quality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shortâ€term cancerâ€related fatigue slightly (6 studies, 593 people); probably results in little to no difference in shortâ€term quality of life (6 studies, 612 people); we do not know if cardiovascular training increases or decreases mediumâ€ and longâ€term cancerâ€related fatigue and quality of life , and any unwanted effects. Cardiovascular training after anticancer therapy versus no training: we do not know if cardiovascular training increases or decreases shortâ€ and longâ€term cancerâ€related fatigue and quality of life , and any unwanted effects; we could not find any data for mediumâ€term cancerâ€related fatigue and quality of life. What are the limitations of the evidence? We are moderately confident in the evidence about the effect of cardiovascular training during anticancer therapy on shortâ€term cancerâ€related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mediumâ€term cancerâ€related fatigue and quality of life . How up to date is this evidence? Our evidence is up to date to 16 October 2023.</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</si>
  <si>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 2024</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</si>
  <si>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 The Author(s) 2024.</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</si>
  <si>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 2024 The Author(s)</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</si>
  <si>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 2024 The Authors</t>
  </si>
  <si>
    <t>- Rationale Ovulation induction with follicle‐stimulating hormone (FSH) is a second‐line treatment in women with polycystic ovary syndrome (PCOS) who do not ovulate or conceive on clomiphene citrate or letrozole, though induction protocols and types of gonadotropins used vary greatly. Objectives To compare the effectiveness and safety of gonadotropins as a second‐line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urinary‐derived gonadotropins, including urofollitropin in purified FSH (uFSH) or highly purified FSH (HP‐FSH) form, human menopausal gonadotropin (HMG) and highly purified human menopausal gonadotropin (HP‐HMG), or recombinant FSH (rFSH) were eligible. We included trials reporting on ovulation induction followed by intercourse or intrauterine insemination. We excluded studies that described co‐treatment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meta‐analysis was possible, we combined data using a fixed‐effect model to calculate the risk ratio (RR) or mean difference. We summarised the overall certainty of evidence for the main outcomes using GRADE criteria. Included studies We included 15 studies with 2348 women. Ten trials compared rFSH with urinary‐derived gonadotropins (one compared rFSH with human menopausal gonadotropin (HMG), and nine compared rFSH with urinary FSH). Three trials compared HMG with purified FSH (uFSH). One trial compared HP‐FSH with purified FSH (uFSH) and one trial compared gonadotropins with continued clomiphene citrate. Synthesis of results Recombinant FSH (rFSH) versus urinary‐derived gonadotropins There may be little or no difference in the birth rate between rFSH and urinary‐derived gonadotropins (RR 1.21, 95% confidence interval (CI) 0.83 to 1.78; 5 RCTs, 505 participants; low‐certainty evidence). This suggests that if the observed average live birth per woman who used urinary‐derived gonadotropins is 16%, the chance of live birth with rFSH is between 13% and 28%. There may be little or no difference between groups in multiple pregnancy (RR 0.86, 95% CI 0.46 to 1.61; 8 RCTs, 1368 participants; low‐certainty evidence), clinical pregnancy rate (RR 1.05, 95% CI 0.88 to 1.27; 8 RCTs, 1330 participants; low‐certainty evidence), or miscarriage rate (RR 1.20, 95% CI 0.71 to 2.04; 7 RCTs, 970 participants; low‐certainty evidence). We are uncertain whether rFSH reduces ectopic pregnancy (RR 2.81, 95% CI 0.12 to 67.90; 1 RCT, 151 participants; very‐low certainty evidence) or the incidence of OHSS (RR 1.48, 95% CI 0.82 to 2.65; 10 RCTs, 1565 participants; very low‐certainty evidence) when compared to urinary‐derived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low‐certainty evidence). Gonadotropins probably result in more clinical pregnancies than continued clomiphene citrate (RR 1.31, 95% CI 1.13 to 1.52; 1 RCT, 661 participants; moderate‐certainty evidence), and may result in more miscarriages (RR 2.23, 95% CI 1.11 to 4.47; 1 RCT, 661 participants; low‐certainty evidence). We are uncertain if there is a difference in ectopic pregnancy between the groups (RR 0.51, 95% CI 0.09 to 2.77; 1 RCT, 661 participants; very low‐certainty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urinary‐derived gonadotropins (derived from urine from menopausal women) and recombinant follicle‐stimulating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follicle‐stimulating hormone. Finally, recombinant follicle‐stimulating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urinary‐derived gonadotropins. Three trials compared human menopausal gonadotropin with purified urinary follicle‐stimulating hormone and one trial compared gonadotropins with continued clomiphene citrate. Main results There may be little or no difference in live birth, multiple pregnancy, clinical pregnancy, or miscarriage rate between purified urinary‐derived gonadotropins and recombinant follicle‐stimulating hormone. We are uncertain whether human menopausal gonadotropin improves pregnancy outcomes in women with PCOS compared to urinary follicle‐stimulating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</si>
  <si>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T‐score (‐2.5 or lower), and 75 years old or older. If a study population met none of those criteria, we classified it as a primary prevention study. Outcomes Our major outcomes were clinical vertebral, non‐vertebral,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fixed‐effect model for meta‐analysis and estimated effects using the risk ratio (RR) for dichotomous outcomes. Our base case analyses included all eligible placebo‐controlled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low‐certainty evidence) and non‐vertebral fractures (RR 0.83, 95% CI 0.72 to 0.97; ARR 1.6% fewer, 95% CI 2.6% fewer to 0.3% fewer; low‐certainty evidence). However, clinically important differences were not observed for the following outcomes: hip fractures (RR 0.76, 95% CI 0.43 to 1.32; ARR 0.2% fewer, 95% CI 0.4% fewer to 0.2% more; low‐certainty evidence); wrist fractures (RR 1.12, 95% CI 0.84 to 1.49; ARR 0.3% more, 95% CI 0.4% fewer to 1.1 more; low‐certainty evidence); withdrawals due to adverse events (RR 1.03, 95% CI 0.89 to 1.18; ARR 0.2% more, 95% CI 0.9% fewer to 1.5% more; low‐certainty evidence); and serious adverse events (RR 1.08, 95% CI 0.82 to 1.43; ARR 0.5% more, 95% CI 1.2% fewer to 2.8% more; low‐certainty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moderate‐certainty evidence). It may lead to a clinically important reduction in non‐vertebral fractures (RR 0.80, 95% CI 0.64 to 0.99; ARR 2.8% fewer, 95% CI 5.1% fewer to 0.1% fewer; low‐certainty evidence); hip fractures (RR 0.49, 95% CI 0.25 to 0.96; ARR 1.0% fewer, 95% CI 1.5% fewer to 0.1% fewer; low‐certainty evidence); wrist fractures (RR 0.54, 95% CI 0.33 to 0.90; ARR 1.8% fewer, 95% CI 2.6% fewer to 0.4% fewer; low‐certainty evidence); and serious adverse events (RR 0.75, 95% CI 0.59 to 0.96; ARR 3.5% fewer, 95% CI 5.8% fewer to 0.6% fewer; low‐certainty evidence). However, the effects of alendronate for withdrawals due to adverse events are uncertain (RR 0.95, 95% CI 0.78 to 1.16; ARR 0.4% fewer, 95% CI 1.7% fewer to 1.3% more; very low‐certainty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non‐vertebral fractures, but it might make little or no difference to hip and wrist fractures, withdrawals due to adverse events, and serious adverse events. For secondary prevention, alendronate probably reduces clinical vertebral fractures, and may reduce non‐vertebral,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 Alendronate used for up to five years may prevent spinal fractures in women who are at lower risk for fractures, or in those who have not yet had a fracture of the spine. •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</si>
  <si>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platelet‐rich plasma injections (two trials), oral acetaminophen (paracetamol) (one trial), non‐steroidal anti‐inflammatory drugs plus physical therapy plus hyaluronic acid injection (one trial) and stem cell injection plus intra‐articular co‐intervention versus co‐intervention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follow‐up. At the end of follow‐up,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 Compared with placebo injection, stem cell injection for people with knee osteoarthritis may slightly improve pain and function. •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intra‐articular glucocorticoid injection (1 study, 33 participants), hyaluronic acid injection (7 studies, 429 participants), platelet‐rich plasma injection (2 studies, 142 participants), oral acetaminophen (paracetamol; 1 study, 51 participants), NSAIDs (non‐steroidal anti‐inflammatory drugs) plus physical therapy plus hyaluronic acid injection (1 study, 57 participants) and stem cell injection plus intra‐articular co‐intervention versus co‐intervention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 People who had stem cell injection rated their pain as 3.3 points. • People who had placebo injection rated their pain as 4.5 points. Function measured on a 0 to 100 scale (0 is best function) at six months was 14.2 points better with stem cell injection. • People who had stem cell injection rated their function as 32.1 points. • People who had placebo injection rated their function as 46.3 points. Quality of life measured on a 0 to 100 scale (0 is best function) at six months was 22.8 points better with stem cell injection. • People who had stem cell injection rated their quality of life as 68.1 points. • People who had placebo injection rated their quality of life as 45.3 points. After stem cell injection, 153 more people per 1000 rated their treatment a success at 12 months. • 683 per 1000 reported treatment success with stem cell injection. • 530 per 1000 reported treatment success with placebo injection. After stem cell injection, seven fewer people per 1000 had serious adverse events at 12 months. • 16 per 1000 people experienced a serious adverse event with stem cell injection. •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up‐to‐date is this evidence? The evidence is up‐to‐date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</si>
  <si>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 Author(s) (or their employer(s)) 2025.</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</si>
  <si>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cluster‐randomised trials, or controlled non‐randomised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Non‐randomized Studies of Interventions (ROBINS‐I) tool. Synthesis methods We synthesised results for each outcome within each comparison using meta‐analysis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 to two‐unit RBCs versus no transfusion Among women with moderate blood loss, low‐certainty evidence from one NRSI found that transfusing 1 to 2 units of RBCs to treat PPH may increase severe maternal morbidity – composite excluding intensive care unit (ICU) admission (risk ratio (RR) 7.00, 95% confidence interval (CI) 2.75 to 17.80; 2130 women) and severe maternal morbidity –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low‐certainty evidence). Fibrinogen concentrate probably results in little to no difference in severe maternal morbidity – ICU admission (RR 1.09,0 95% CI 0.80 to 1.49; 2 studies, 485 women; moderate‐certainty evidence). The evidence is very uncertain about the effect of fibrinogen concentrate on severe maternal morbidity – arterial embolisation (1 study, 430 women; very low‐certainty evidence). One RCT (430 women) and one NRSI (730 women) reported severe maternal morbidity – hysterectomy , each of which reported different directions of effect with low‐certainty evidence. Fibrinogen concentrate may result in little to no difference in adverse effect – thromboembolic events (RR 0.19, 95% CI 0.01 to 3.95; 2 studies, 674 women; l w‐certainty evidence). The evidence is very uncertain about the effects of fibrinogen concentrate on additional adverse effects, such as shivering or fever (1 study, 244 women; very low‐certainty evidence). Cryoprecipitate versus no cryoprecipitate The evidence is very uncertain about the effect of cryoprecipitate on maternal death . One RCT (0 deaths; 180 women; very low‐certainty evidence) and one NRSI (0 deaths; 157 women; very low‐certainty evidence) reported this outcomes. The evidence is also very uncertain about the effects of cryoprecipitate on severe maternal morbidity – ICU admission , severe maternal morbidity – any organ failure , severe maternal morbidity – laparotomy , or severe maternal morbidity – uterine artery embolisation (1 study, 180 women; very low‐certainty evidence). One RCT (180 women; very low‐certainty evidence) and one NRSI (157 women; very low‐certainty evidence) reported severe maternal morbidity – hysterectomy and the evidence is very uncertain. The evidence is also very uncertain about the effects of cryoprecipitate on adverse effects, such as thromboembolic events or transfusion‐related reactions (1 study, 180 women; very low‐certainty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</si>
  <si>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 Rationale Chronic hepatitis B is a major worldwide public health concern. Entecavir, one nucleos(t)ide analogue antiviral therapy option, is recommended as the first‐line drug for chronic hepatitis B in many clinical guidelines. However, none of the guideline recommendations are based on the findings of a systematic review with meta‐analysis, where entecavir versus no treatment or placebo are compared directly. Objectives To evaluate the benefits and harms of entecavir versus no treatment or placebo in children and adults with chronic hepatitis B, who are either hepatitis B e‐antigen (HBeAg)‐positive or HBeAg‐negative. Search methods We searched the Cochrane Hepato‐Biliary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co‐infections. We allowed co‐interventions when administered equally to all intervention groups. Outcomes The outcomes reported in this abstract and in the summary of findings table are all‐cause mortality, health‐related quality of life, and proportion of people with serious adverse events at the longest follow‐up. Risk of bias We used the Cochrane RoB 2 tool to assess risk of bias in the included trials. Synthesis methods We used a random‐effects model to meta‐analyse outcome results, where possible, and presented the results as a risk ratio (RR) with 95% confidence interval (CI). Where there was considerable heterogeneity, we performed a narrative analysis. We used a fixed‐effect model for sensitivity analysis. We used GRADE to evaluate the certainty of evidence. Included studies We included 22 randomised clinical trials (published from 2005 to 2022) with 2940 participants diagnosed with chronic hepatitis B. All trials had a parallel‐group design. The experimental intervention was oral entecavir, with a follow‐up duration of 5 weeks to 228 weeks. The comparator in 12 trials was no treatment, and in 10 trials was placebo. Fourteen trials equally administered co‐interventions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all‐cause mortality with a mean follow‐up duration of 48.9 weeks (range 5 to 100 weeks). The result was not estimable because no deaths occurred in any of the entecavir and no treatment or placebo groups. None of the trials provided data on health‐related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low‐certainty evidence). The mean follow‐up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all‐cause mortality and serious adverse events. There is a lack of data on health‐related quality of life. Given the first‐line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</si>
  <si>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 Author(s) (or their employer(s)) 2025. Re-use permitted under CC BY. Published by BMJ Group.</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</si>
  <si>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 Author(s) (or their employer(s)) 2025. Re-use permitted under CC BY-NC. No commercial re-use. See rights and permissions. Published by BMJ Group.</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</si>
  <si>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 2025. The Author(s).</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</si>
  <si>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 2025</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</si>
  <si>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 2025 Fundacion Clinica Medica Sur, A.C.</t>
  </si>
  <si>
    <t>- Background Antisocial personality disorder (AsPD) is associated with rule‐breaking,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low‐certainty evidence). The study authors also reported that no important side effects were detectable via blood cell counts or liver enzyme tests (very low‐certainty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family‐social domain of the Addiction Severity Index (scores range from zero to one, with higher values indicating worse social functioning), at endpoint (12 weeks) (very low‐certainty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List‐90 (SCL‐90) Global Severity Index (GSI; mean of subscale scores, ranging from zero to four, with higher scores indicating greater severity of symptoms), at endpoint (six months) in men with alcohol dependency (very low‐certainty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SCL‐90 at endpoint (six months) (very low‐certainty evidence). The study did not provide data on adverse effects, but reported that 12 patients randomised to the bromocriptine group experienced severe side effects, five of whom dropped out of the study in the first two days due to nausea and severe flu‐like symptoms (very low‐certainty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</si>
  <si>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 2020, The Author(s).</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</si>
  <si>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 2020 The British Pharmacological Society</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</si>
  <si>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 2020, The Author(s).</t>
  </si>
  <si>
    <t>- Background Atopic keratoconjunctivitis (AKC) and vernal keratoconjunctivitis (VKC) are severe and potentially sight‐threatening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patient‐reported aspects of the condition and treatments. Plain language summary What medicines, taken by mouth or given as an injection, work best to treat severe allergic eye disease in children and young people under 16 years old? What is allergic eye disease?  An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anti‑inflammatory medicines and antibodies. Why we did this Cochrane Review  We wanted to find out which systemic treatments work best for severe allergic eye disease in children and young people. What did we do?  We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</si>
  <si>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 Author(s) (or their employer(s)) 2020. Re-use permitted under CC BY. Published by BMJ.</t>
  </si>
  <si>
    <t>Antibiotic prophylaxis to prevent spontaneous bacterial peritonitis in people with liver cirrhosis: a network meta‐analysis</t>
  </si>
  <si>
    <t>- Background Approximately 2.5% of all hospitalisations in people with liver cirrhosis are for spontaneous bacterial peritonitis. Spontaneous bacterial peritonitis is associated with significant short‐term mortality; therefore, it is important to prevent spontaneous bacterial peritonitis in people at high risk of developing it. Antibiotic prophylaxis forms the mainstay preventive method, but this has to be balanced against the development of drug‐resistant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intention‐to‐treat analysis), and use clinically important outcomes such as mortality, health‐related quality of life, and decompensation events. Plain language summary Use of antibiotics to prevent spontaneous bacterial peritonitis in people with advanced liver disease What was the aim of this Cochrane Review? People with advanced liver disease (liver cirrhosis, or late‐stage scarring of the liver with complications) are at risk of developing an abnormal build‐up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Twenty‐three studies with 2587 participants provided data for analyses. The follow‐up in the trials ranged from 1 to 12 months. The review shows that: ‐ of the 10 different antibiotics compared in the trials, norfloxacin and rifaximin were most commonly used;  ‐ 15 of every 100 people died within 12 months, and 10 of every 100 people developed spontaneous bacterial peritonitis;  ‐ giving preventive antibiotics may make no difference to the percentage of deaths or people with serious complications; however, potentially important differences cannot be ruled out;  ‐ none of the trials reported quality of life or symptomatic development of spontaneous bacterial peritonitis;  ‐ there was evidence showing that the percentage of people who developed spontaneous bacterial peritonitis as per laboratory criteria may be reduced with sulfonamides compared with no use of antibiotics (difficult to estimate how much reduction);  ‐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are;  ‐ future well‐designed trials are needed. Quality of the evidence We cannot draw any conclusions from these trials due to the sparse data.</t>
  </si>
  <si>
    <t>Measures implemented in the school setting to contain the COVID‐19 pandemic: a rapid scoping review</t>
  </si>
  <si>
    <t>- Background In response to the spread of SARS‐CoV‐2 and the impact of COVID‐19,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mid‐April 2020, 192 countries had closed schools, affecting more than 90% of the world’s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Meta‐Analyses extension for Scoping Reviews (PRISMA‐ScR) checklist and was registered with the Open Science Framework. Objectives To identify and comprehensively map the evidence assessing the impacts of measures implemented in the school setting to reopen schools, or keep schools open, or both, during the SARS‐CoV‐2/COVID‐19 pandemic, with particular focus on the types of measures implemented in different school settings, the outcomes used to measure their impacts and the study types used to assess these. Search methods We searched the Cochrane COVID‐19 Study Register, MEDLINE, Embase, the CDC COVID‐19 Research Articles Downloadable Database for preprints, and the WHO COVID‐19 Global literature on coronavirus disease on 8 October 2020. Selection criteria We included studies that assessed the impact of measures implemented in the school setting. Eligible populations were populations at risk of becoming infected with SARS‐CoV‐2, or developing COVID‐19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mixed‐methods studies, and diagnostic studies that assessed the impact of relevant interventions beyond diagnostic test accuracy. Broad outcome categories of interest included infectious disease transmission‐related outcomes, other harmful or beneficial health‐related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quasi‐experimental designs. Studies conducted in real‐world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SARS‐CoV‐2 (n = 36), structural/environmental measures to reduce transmission of SARS‐CoV‐2 (n = 11), and surveillance and response measures to detect SARS‐CoV‐2 infections (n = 19). Most studies assessed SARS‐CoV‐2 transmission‐related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school‐based measures designed to contain the COVID‐19 pandemic have been evaluated to date, and how were they evaluated? Why is this question important? To combat the spread of SARS‐CoV‐2 and the impact of COVID‐19, countries worldwide have taken a variety of public health measures. In many countries, shutting schools was one of the earliest responses. By mid‐April 2020, 192 countries had closed schools, affecting more than 90% of the world’s student population. This severely disrupted school, family and work life, with likely negative impacts including: ‐ a worsening of children’s and adolescents’ health and well‐being; ‐ increases in inequalities between children and adolescents from disadvantaged and more privileged backgrounds; ‐ possible decreased parental income and job security; ‐ possible loss of parental economic productivity. Given the potential negative consequences of school closures, many countries have since reopened schools. To avoid disease transmission among students, between staff and students, and beyond, a range of school‐based measures have been put in place. These include: ‐ students and staff wearing face masks and regularly washing their hands; ‐ adapting school activities (for example, not singing in music classes); ‐ improving ventilation systems; and ‐ screening suspected cases of infection. To date, we know little about which school‐based measures designed to contain COVID‐19 have been evaluated, and how they have been evaluated. It is important to find this out, so that, in time, we can compare the effectiveness of different measures and inform future policy guidelines. We set out to identify and map the evidence on school‐based measures to contain COVID‐19.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COVID‐19. We considered all types of studies, and a broad range of outcomes, including: ‐ infectious disease transmission; ‐ other harmful or beneficial effects on health; ‐ wider implications for society, the economy, and the population. We then grouped studies according to how similar or different they were. This allowed us to gauge: ‐ which types of study have been used to evaluate measures to date; ‐ where studies have been conducted; ‐ which types of intervention have been evaluated; and ‐ which outcomes have been studied. What did we find? We found 42 studies. Type of study Thirty‐one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SARS‐CoV‐2 (36 studies): these included: ‐ measures designed to limit risks of disease transmission between people who come into contact with each other (such as face‐masks and physical distancing policies); and ‐ measures to reduce opportunities for contact (for example, staggered arrival, break and departure times). 2. Structural or environmental measures to reduce transmission of SARS‐CoV‐2 (11 studies): for example, dividing up school playgrounds or improving air circulation. 3. Surveillance and response measures to detect SARS‐CoV‐2 infections (19 studies): these included: ‐ testing, tracing, and symptom screening; and ‐ isolation of confirmed cases or quarantine of suspected cases. Outcomes studied Studies assessed the effects of measures on: ‐ SARS‐CoV‐2 transmission (29 studies), including the number of new cases or the average number of people to whom one infected person will pass the virus (reproduction number R); ‐ healthcare use (8 studies), for example, the number of hospitalizations; ‐ other health outcomes (3 studies), for example, the risk of developing hand eczema (a skin condition); and ‐ societal, economic, and other population‐level outcomes (5 studies), including cost. What are the implications of our findings? A wide range of school‐based measures designed to contain COVID‐19 have been evaluated to date. To evaluate these, researchers have used different methods and investigated different outcomes. This review is an important first step in gauging what evidence is available, and will inform future rapid reviews on this topic.</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</si>
  <si>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 The Author(s) 2020.</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</si>
  <si>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 2020</t>
  </si>
  <si>
    <t>- Background Many dental procedures produce aerosols (droplets, droplet nuclei and splatter) that harbour various pathogenic microâ€organisms and may pose a risk for the spread of infections between dentist and patient. The COVIDâ€19 pandemic has led to greater concern about this risk. Objectives To assess the effectiveness of methods used during dental treatment procedures to minimize aerosol production and reduce or neutralize contamination in aerosols. Search methods Cochrane Oral Healthâ€™s Information Specialist searched the following databases on 17 September 2020: Cochrane Oral Healthâ€™s Trials Register, the Cochrane Central Register of Controlled Trials (CENTRAL) (in the Cochrane Library, 2020, Issue 8), MEDLINE Ovid (from 1946); Embase Ovid (from 1980); the WHO COVIDâ€19 Global literature on coronavirus disease; the US National Institutes of Health Trials Registry (ClinicalTrials.gov); and the Cochrane COVIDâ€19 Study Register. We placed no restrictions on the language or date of publication. Selection criteria We included randomized controlled trials (RCTs) and controlled clinical trials (CCTs) on aerosolâ€generating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randomâ€effects metaâ€analysis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Highâ€volume evacuator Use of a highâ€volume evacuator (HVE) may reduce bacterial contamination in aerosols less than one foot (~ 30 cm) from a patient's mouth (MD âˆ’47.41, 95% CI âˆ’92.76 to âˆ’2.06; 3 splitâ€mouth RCTs, 122 participants; very high heterogeneity IÂ² = 95%), but not at longer distances (MD âˆ’1.00, âˆ’2.56 to 0.56; 1 RCT, 80 participants). One splitâ€mouth RCT (six participants) found that HVE may not be more effective than conventional dental suction (saliva ejector or lowâ€volume evacuator) at 40 cm (MD CFU âˆ’2.30, 95% CI âˆ’5.32 to 0.72) or 150 cm (MD âˆ’2.20, 95% CI âˆ’14.01 to 9.61). Dental isolation combination system One RCT (50 participants) found that there may be no difference in CFU between a combination system (Isolite) and a saliva ejector (lowâ€volume evacuator) during AGPs (MD âˆ’0.31, 95% CI âˆ’0.82 to 0.20) or after AGPs (MD âˆ’0.35, âˆ’0.99 to 0.29). However, an 'n of 1' design study showed that the combination system may reduce CFU compared with rubber dam plus HVE (MD âˆ’125.20, 95% CI âˆ’174.02 to âˆ’76.38) or HVE (MD âˆ’109.30, 95% CI âˆ’153.01 to âˆ’65.59). Rubber dam One splitâ€mouth RCT (10 participants) receiving dental treatment, found that there may be a reduction in CFU with rubber dam at oneâ€metre (MD âˆ’16.20, 95% CI âˆ’19.36 to âˆ’13.04) and twoâ€metre distance (MD âˆ’11.70, 95% CI âˆ 15.82 to âˆ’7.58). One RCT of 47 dental students found use of rubber dam may make no difference in CFU at the forehead (MD 0.98, 95% CI âˆ’0.73 to 2.70) and occipital region of the operator (MD 0.77, 95% CI âˆ’0.46 to 2.00). One splitâ€mouth RCT (21 participants) found that rubber dam plus HVE may reduce CFU more than cotton roll plus HVE on the patient's chest (MD âˆ’251.00, 95% CI âˆ’267.95 to âˆ’234.05) and dental unit light (MD âˆ’12.70, 95% CI âˆ’12.85 to âˆ’12.55). Air cleaning systems One splitâ€mouth CCT (two participants) used a local standâ€alone air cleaning system (ACS), which may reduce aerosol contamination during cavity preparation (MD âˆ’66.70 CFU, 95% CI âˆ’120.15 to âˆ’13.25 per cubic metre) or ultrasonic scaling (MD âˆ’32.40, 95% CI â€ 51.55 to âˆ’13.25). Another CCT (50 participants) found that laminar flow in the dental clinic combined with a HEPA filter may reduce contamination approximately 76 cm from the floor (MD âˆ’483.56 CFU, 95% CI âˆ’550.02 to âˆ’417.10 per cubic feet per minute per patient) and 20 cm to 30 cm from the patient's mouth (MD âˆ’319.14 CFU, 95% CI â€ 385.60 to âˆ’252.68). Disinfectants â€’ antimicrobial coolants Two RCTs evaluated use of antimicrobial coolants during ultrasonic scaling. Compared with distilled water, coolant containing chlorhexidine (CHX), cinnamon extract coolant or povidone iodine may reduce CFU: CHX (MD âˆ’124.00, 95% CI âˆ’135.78 to âˆ’112.22; 20 participants), povidone iodine (MD âˆ’656.45, 95% CI âˆ’672.74 to âˆ’640.16; 40 participants), cinnamon (MD âˆ’644.55, 95% CI âˆ’668.70 to âˆ’620.40; 40 participants). CHX coolant may reduce CFU more than povidone iodine (MD âˆ’59.30, 95% CI âˆ’64.16 to âˆ’54.44; 20 participants), but not more than cinnamon extract (MD âˆ’11.90, 95% CI âˆ’35.88 to 12.08; 40 participants). Authors' conclusions We found no studies that evaluated disease transmission via aerosols in a dental setting; and no evidence about viral contamination in aerosols. All of the included studies measured bacterial contamination using colonyâ€forming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patientâ€™s saliva, which may also contain microâ€organisms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â€ ways to decontaminate the mouth before aerosols are produced, for example by using antiâ€microbial mouthwash; â€ ways to prevent aerosols from leaving the mouth (for example, placing a rubber sheet â€“ known as a â€˜damâ€™ â€“ around the tooth that is to be treated, to isolate the treatment zone from saliva; or using a strawâ€like suction tube known as a saliva ejector); â€ local ventilation using a suction device (known as a highâ€volume evacuator) that draws up a large volume of air and evacuates aerosols from the treatment zone; â€ general ventilation, to reduce the concentration of aerosols in t e air, for example by keeping windows open; â€ decontamination of airâ€borne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â€ highâ€volume evacuator (7 studies); â€ handsâ€free suction device (2 studies); â€ saliva ejector (1 study); â€ rubber dam (3 studies); â€ rubber dam with a highâ€volume evacuator (1 study); or 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betterâ€quality studies in this area. How up to date is this review? The evidence in this Cochrane Review is current to September 2020.</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</si>
  <si>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 2019 American College of Radiology</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</si>
  <si>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 2020</t>
  </si>
  <si>
    <t>- Background Classical galactosaemia is an autosomal recessive inborn error of metabolism caused by a deficiency of the enzyme galactose‐1‐phosphate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soya‐based formula. The majority of babies will recover, however a number will not survive. There are long‐term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</si>
  <si>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cross‐over and cluster‐RCTs, comparing VR distraction to no distraction, non‐VR distraction or other VR distraction. Data collection and analysis We used standard Cochrane methodological processes. Two reviewers assessed risk of bias and extracted data independently. The primary outcome was acute pain intensity (during procedure, and up to one hour post‐procedure). Secondary outcomes were adverse effects, child satisfaction with VR, pain‐related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Self‐report: one study (42 participants) found no beneficial effect of non‐immersive VR (very low‐certainty evidence). Observer‐report: no data. Behavioural measurements (observer‐report): two studies, 62 participants; low‐certainty evidence. One study (n = 42) found no beneficial effect of non‐immersive VR. One study (n = 20) found a beneficial effect favouring immersive VR. Acute pain intensity: post‐procedure Self‐report: 10 studies, 461 participants; very low‐certainty evidence. Four studies (n = 95) found no beneficial effect of immersive and semi‐immersive or non‐immersive VR. Five studies (n = 357) found a beneficial effect favouring immersive VR. Another study (n = 9) reported less pain in the VR group. Observer‐report: two studies (216 participants; low‐certainty evidence) found a beneficial effect of immersive VR, as reported by primary caregiver/parents or nurses. One study (n = 80) found a beneficial effect of immersive VR, as reported by researchers. Behavioural measurements (observer‐report): one study (42 participants) found no beneficial effect of non‐immersive VR (very low‐certainty evidence). Adverse effects: five studies, 154 participants; very low‐certainty evidence. Three studies (n = 53) reported no adverse effects. Two studies (n = 101) reported mild adverse effects (e.g. nausea) in the VR group. 2: VR distraction versus other non‐VR distraction Acute pain intensity: during procedure Self‐report, observer‐report and behavioural measurements (observer‐report): two studies, 106 participants: Self‐report: one study (n = 65) found a beneficial effect favouring immersive VR and one (n = 41) found no evidence of a difference in mean pain change scores (very low‐certainty evidence) Observer‐report: one study (n = 65) found a beneficial effect favouring immersive VR and one (n = 41) found no evidence of a difference in mean pain change scores (low‐certainty evidence). Behavioural measurements (observer‐report): one study (n = 65) found a beneficial effect favouring immersive VR and one (n = 41) reported a difference in mean pain change scores with fewer pain behaviours in VR group (low‐certainty evidence). Acute pain intensity: post‐procedure Self‐report: eight studies, 575 participants; very low‐certainty evidence. Two studies (n = 146) found a beneficial effect favouring immersive VR. Two studies (n = 252) reported a between‐group difference favouring immersive VR. One study (n = 59) found no beneficial effect of immersive VR versus television and Child Life non‐VR distraction. One study (n = 18) found no beneficial effect of semi‐immersive VR. Two studies (n = 100) reported no between‐group difference. Observer‐report: three studies, 187 participants; low‐certainty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(observer‐report): two studies, 106 participants; low‐certainty evidence. One study (n = 65) found a beneficial effect favouring immersive VR. Another study (n = 41) reported no evidence of a difference in mean pain change scores. Adverse effects: six studies, 429 participants; very low‐certainty evidence. Three studies (n = 229) found no evidence of a difference between groups. Two studies (n = 141) reported no adverse effects in VR group. One study (n = 59) reported no beneficial effect in reducing estimated cyber‐sickness before and after VR immersion. 3: VR distraction versus other VR distraction We did not identify any studies for this comparison. Authors' conclusions We found low‐certainty and very low‐certainty evidence of the effectiveness of VR distraction compared to no distraction or other non‐VR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well‐designed, large, high‐quality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 Fully‐immersive: users typically wear a headset with headphones and a screen, and interact with the virtual environment as if they were really in it. ‐ Semi‐immersive: users interact with a partially virtual environment (for example, a flight simulator where the controls are real, but the windows display virtual images). ‐ Non‐immersive: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non‐virtual distraction. No studies compared different types of virtual reality. During a medical procedure We cannot tell whether virtual reality reduces self‐reported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fully‐immersive virtual reality was beneficial compared to non‐virtual distraction, but not in the other. Fully‐immersive virtual reality may reduce pain assessed by an observer based on children's behaviour (for example, crying, or rubbing a body part in a way that indicates pain) more effectively than non‐virtual distraction (two studies) or no distraction (one study). Non‐immersive virtual reality was not beneficial for pain assessed by an observer based on children's behaviour compared to no distraction (one study). A fter a medical procedure We cannot tell whether virtual reality can reduce self‐reported pain after a medical procedure, as we have too little confidence in the evidence available (16 studies). Five studies investigated changes in pain assessed by an observer. Virtual reality was beneficial compared to no distraction in two studies, and also when compared to non‐virtual distraction in another two studies. However, it was no better than non‐virtual distraction in one study. Two studies investigating pain assessed by an observer based on children's behaviour reported conflicting findings: immersive virtual reality was beneficial compared to non‐virtual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well‐designed studies in this area. How up‐to date is this review? The evidence in this Cochrane Review is current to October 2019.</t>
  </si>
  <si>
    <t>Organised inpatient (stroke unit) care for stroke: network meta‐analysis</t>
  </si>
  <si>
    <t>- Background Organised inpatient (stroke unit) care is provided by multi‐disciplinary teams that manage stroke patients. This can been provided in a ward dedicated to stroke patients (stroke ward), with a peripatetic stroke team (mobile stroke team), or within a generic disability service (mixed rehabilitation ward). Team members aim to provide co‐ordinated multi‐disciplinary care using standard approaches to manage common post‐stroke problems. Objectives • To assess the effects of organised inpatient (stroke unit) care compared with an alternative service. • To use a network meta‐analysis (NMA) approach to assess different types of organised inpatient (stroke unit) care for people admitted to hospital after a stroke (the standard comparator was care in a general ward). Originally, we conducted this systematic review to clarify: • The characteristic features of organised inpatient (stroke unit) care? • Whether organised inpatient (stroke unit) care provide better patient outcomes than alternative forms of care? •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co‐ordinators of the original trials, assessed risk of bias, and applied GRADE. The primary outcome was poor outcome (death or dependency (Rankin score 3 to 5) or requiring institutional care) at the end of scheduled follow‐up.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follow‐up (median one year): poor outcome (odds ratio (OR) 0.77, 95% confidence interval (CI) 0.69 to 0.87; moderate‐quality evidence), death (OR 0.76, 95% CI 0.66 to 0.88; moderate‐quality evidence), death or institutional care (OR 0.76, 95% CI 0.67 to 0.85; moderate‐quality evidence), and death or dependency (OR 0.75, 95% CI 0.66 to 0.85; moderate‐quality evidence). Evidence was of very low quality for subjective health status and was not available for patient satisfaction. Analysis of length of stay was complicated by variations in definitio and measurement plus substantial statistical heterogeneity (I²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follow‐up. Outcomes appeared to be independent of patient age, sex, initial stroke severity, stroke type, and duration of follow‐up.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follow‐up (OR 0.78, 95% CI 0.68 to 0.91; moderate‐quality evidence). Direct comparison of mobile stroke team versus general ward: two trials (438 participants) compared care from a mobile stroke team with care in general wards. Stroke team care may result in little difference in the odds of a poor outcome at the end of follow‐up (OR 0.80, 95% CI 0.52 to 1.22; low‐quality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follow‐up (OR 0.65, 95% CI 0.47 to 0.90; moderate‐quality evidence). In a NMA using care in a general ward as the comparator, the odds of a poor outcome were as follows: stroke ward ‐ OR 0.74, 95% CI 0.62 to 0.89, moderate‐quality evidence; mobile stroke team ‐ OR 0.88, 95% CI 0.58 to 1.34, low‐quality evidence; mixed rehabilitation ward ‐ OR 0.70, 95% CI 0.52 to 0.95, low‐quality evidence. Authors' conclusions We found moderate‐quality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 Does organised inpatient (stroke unit) care improve the recovery of people with stroke in hospital compared with conventional care in general wards? Background  Organised inpatient (stroke unit) care is a form of care provided in hospital by nurses, doctors, and therapists who specialise in looking after people with stroke. They aim to work as a co‐ordinated team to provide the most appropriate care tailored to the needs of individual people with stroke. Study characteristics  We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 At an average of 12 months after their stroke, people who received organised inpatient (stroke unit) care were more likely to be alive (an extra two people surviving for every 100 receiving stroke unit care; moderate‐quality evidence) and living at home (an extra six patients for every 100 receiving stroke unit care; moderate‐quality evidence). They also were more lik ly to be independent in daily activities (an extra six patients for every 100 receiving stroke unit care; moderate‐quality evidence). The apparent benefits were seen in men and women, older and younger patients, and people with different types of stroke and different stroke severity. Benefits were most obvious when the stroke unit was based in a discrete stroke ward. Quality of the evidence  We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low‐quality evidence. Conclusion  People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</si>
  <si>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face‐to‐face or when added to usual care. Objectives To determine whether the use of telerehabilitation leads to improved ability to perform activities of daily living amongst stroke survivors when compared with (1) in‐person rehabilitation (when the clinician and the patient are at the same physical location and rehabilitation is provided face‐to‐face); or (2) no rehabilitation or usual care. Secondary objectives were to determine whether use of telerehabilitation leads to greater independence in self‐care and domestic life and improved mobility, balance, health‐related quality of life, depression, upper limb function, cognitive function or functional communication when compared with in‐person rehabilitation and no rehabilitation. Additionally, we aimed to report on the presence of adverse events, cost‐effectiveness,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post‐hospital discharge support programs, upper limb training, lower limb and mobility retraining and communication therapy for people with post‐stroke language disorders. Studies were either conducted upon discharge from hospital or with people in the subacute or chronic phases following stroke. Primary outcome: we found moderate‐quality evidence that there was no difference in activities of daily living between people who received a post‐hospital discharge telerehabilitation intervention and those who received usual care (based on 2 studies with 661 participants (standardised mean difference (SMD) ‐0.00, 95% confidence interval (CI) ‐0.15 to 0.15)). We found low‐quality evidence of no difference in effects on activities of daily living between telerehabilitation and in‐person physical therapy programmes (based on 2 studies w th 75 participants: SMD 0.03, 95% CI ‐0.43 to 0.48). Secondary outcomes: we found a low quality of evidence that there was no difference between telerehabilitation and in‐person rehabilitation for balance outcomes (based on 3 studies with 106 participants: SMD 0.08, 95%CI ‐0.30 to 0.46). Pooling of three studies with 569 participants showed moderate‐quality evidence that there was no difference between those who received post‐discharge support interventions and those who received usual care on health‐related quality of life (SMD 0.03, 95% CI ‐0.14 to 0.20). Similarly, pooling of six studies (with 1145 participants) found moderate‐quality evidence that there was no difference in depressive symptoms when comparing post‐discharge tele‐support programs with usual care (SMD ‐0.04, 95% CI ‐0.19 to 0.11). We found no difference between groups for upper limb function (based on 3 studies with 170 participants: mean difference (MD) 1.23, 95% CI ‐2.17 to 4.64, low‐quality evidence) when a computer program was used to remotely retrain upper limb function in comparison to in‐person therapy. Evidence was insufficient to draw conclusions on the effects of telerehabilitation on mobility or participant satisfaction with the intervention. No studies evaluated the cost‐effectiveness of telerehabilitation; however, five of the studies reported health service utilisation outcomes or costs of the interventions provided within the study. Two studies reported on adverse events, although no serious trial‐related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moderate‐level evidence testing whether telerehabilitation is a more effective or similarly effective way to provide rehabilitation. Short‐term post‐hospital discharge telerehabilitation programmes have not been shown to reduce depressive symptoms, improve quality of life, or improve independence in activities of daily living when compared with usual care. Studies comparing telerehabilitation and in‐person therapy have also not found significantly different outcomes between groups, suggesting that telerehabilitation is not inferior. Some studies reported that telerehabilitation was less expensive to provide but information was lacking about cost‐effectiveness.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This review aimed to gather evidence for the use of telerehabilitation after stroke. We aimed to compare telerehabilitation with therapy delivered face‐to‐face and with no therapy (usual care). Background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As the studies were very different, it was rarely appropriate to combine results to determine overall effect. We found that people who received telerehabilitation had similar outcomes for activities of daily living function to those that received face‐to‐face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cost‐effectiveness. Only two trials reported on whether or not any adverse events had occurred; these trials found no serious adverse events were related to telerehabilitation. Further trials are required. Quality of the evidence   The quality of the evidence was generally of low or moderate quality. The quality of the evidence for each outcome was limited due to small numbers of study participants and poor reporting of study details.</t>
  </si>
  <si>
    <t>- Background Glaucoma is a multi‐factorial optic neuropathy characterized by an acquired loss of retinal ganglion cells at levels beyond normal age‐related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acupressure－a non‐standard acupuncture technique－with the sham procedure in 33 patients. Another trial compared transcutaneous electrical nerve stimulation (TENS) with a sham procedure in 82 patients. The third trial compared 12 sessions of acupuncture on eye‐points versus on non‐eye‐points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between‐group comparison. Because of the quantity of missing data (50%), we did not calculate a between‐group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‐3.70 (95% confidence interval [CI] ‐7.11 to ‐0.29) for the right eye and ‐4.90 (95% CI ‐8.08 to ‐1.72) for the left eye at four weeks, and ‐1.30 mm Hg (95% CI ‐4.78 to 2.18) for the right eye and ‐2.30 mm Hg (95% CI ‐5.73 to 1.13) for he left eye at eight weeks. For the trial comparing TENS to sham treatment, the difference reduction is estimated to be ‐2.81 (95% CI ‐3.8 to ‐1.84) for the right eye and ‐2.58 (95% CI ‐3.36 to ‐1.80) for the left eye immediately after treatment, ‐2.93 (95% CI ‐3.72 to ‐2.13) for the right eye and ‐3.56 (95% CI ‐4.35 to 2.78) for the left eye 30 minutes after treatment, and finally ‐3.61 (95% CI ‐4.47 to ‐2.75) for the right eye and ‐3.61 (95% ‐4.47 to ‐2.74) for the left eye. For the trial that compared acupuncture on eye‐points versus non‐eye‐points, 11 out of 22 (50%) participants did not complete the treatment. One trial reported data for estimation of visual acuity. When acupressure is compared to sham treatment, the difference in uncorrected visual acuity (UCVA, measured in logMAR) is estimated to be ‐0.01 (95% CI ‐0.24 to 0.22) for the right eye and ‐0.04 (95% CI ‐0.27 to 0.19) for the left eye at four months, and ‐0.03 logMAR (95% CI ‐0.27 to 0.21) for the right eye and ‐0.16 logMAR (95% CI ‐0.43 to 0.11) for the left eye at eight months. The difference in best corrected visual acuity (BCVA) is estimated to be 0.10 (95% CI ‐0.06 to 0.26) for the right eye and 0 (95% CI ‐0.14 to 0.14) for the left eye at four months, and ‐0.04 logMAR (95% CI ‐0.09 to 0.17) for the right eye and ‐0.04 logMAR (95% CI ‐0.18 to 0.10) for the left eye at eight months. One trial reported progression of optic disc damage or nerve fiber layer loss without any between‐group comparison. Because of the quantity of missing data (50%), we did not calculate a between‐group comparison, as the quantitative results are difficult to interpret. One trial reported adverse events in two patients (out of 22) who experienced needle sensitivity. However, the study did not report between‐group comparisons. Because of the quantity of missing data (50%), we did not calculate a between‐group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This review aimed to assess whether acupuncture is useful and safe in treating people with glaucoma. We included in the review three completed trials and one ongoing trial. What is the key message of this review?   At this time, it is impossible to draw reliable conclusions from available data to support the use of acupuncture for treatment of people with glaucoma. What was studied in the review?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non‐standard acupuncture technique), transcutaneous electrical nerve stimulation, and acupuncture on eye‐points (12 sessions). Acupuncture may have a very small effect in reducing eye pressure, but the certainty of evidence is very low. One trial reported needle sensitivity. Trials provided no evidence of effect on visual field or visual acuity. How up‐to‐date is this review?   Cochrane Review authors searched for studies that had been published up o November 16, 2018.</t>
  </si>
  <si>
    <t>- Background A well‐functioning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‘similar articles’ search in PubMed. Selection criteria Randomised and non‐randomised trials, controlled before‐after studies and time‐series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web‐based electronic TB laboratory information system probably reduces the length of time to reporting of TB test results, and probably reduces the overall rate of recording errors of TB test results, compared to a paper‐based system (moderate certainty evidence). We are uncertain about the effect of the electronic laboratory information system on the recording rate of serious (misidentification) errors for TB test results compared to a paper‐based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hand‐held electronic device probably improves the length of time to report TB test results, and probably reduces the total frequency of recording errors in TB test results between the laboratory notebook and the electronic information record system, compared to a paper‐based system (moderate‐certainty evidence). We are, however, uncertain about the effect of the intervention on the frequency of serious (misidentification) errors in recording between the laboratory notebook and the electronic information record, compared to a paper‐based system (very low certainty evidence). We are uncertain about the effect of a hospital electronic health information system on service quality (length of time outpatients spend at hospital, length of hospital stay, a d hospital revenue collection), compared to a paper‐based system (very low certainty evidence). High‐intensity brief text messaging (SMS) may make little or no difference to data quality (in terms of completeness of documentation of pregnancy outcomes), compared to low‐intensity brief text messaging (low‐certainty evidence). We are uncertain about the effect of electronic drug stock notification (with either data management support or product transfer support) on service quality (in terms of transporting stock and stock levels), compared to paper‐based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“routine health information system”. It is often a paper‐based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paper‐based systems. Some of the studies also looked at other ways of improving the system, for instance by using SMS mobile‐phone systems to help health workers and other staff notify central systems about supply levels, register patients, or monitor patients’ health. What effect do these types of systems have on the quality and use of the information that is collected and on health service and systems quality? ‐ When healthcare staff use electronic and digital information systems to document and communicate tuberculosis (TB) laboratory test results, compared to paper‐based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 When community health workers are sent frequent text‐messages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</si>
  <si>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 2020 American Medical Association. All rights reserved.</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</si>
  <si>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 2022 Stichting European Society for Clinical Investigation Journal Foundation. Published by John Wiley &amp; Sons Ltd."</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</si>
  <si>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 2022</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</si>
  <si>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 2022</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</si>
  <si>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steroid‐containing control treatment or artificial tears. Six trials contributed to the comparisons of topical interventions (povidone‐iodine [PVP‐I],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PVP‐I or ganciclovir prevented the development of subepithelial infiltrates (SEI) when compared with artificial tears within 30 days of treatment (RR 0.24, 95% CI 0.10 to 0.56). Four studies compared topical interventions (tacrolimus, cyclosporin A [CsA], trifluridine, PVP‐I + dexamethasone) with topical steroids, and one trial compared fluorometholone (FML) plus polyvinyl alcohol iodine (PVA‐I) with FML plus levofloxacin. Evidence from one trial showed that more eyes receiving PVP‐I 1.0% plus dexamethasone 0.1% had symptoms resolved by day seven compared with those receiving dexamethason alone (RR 9.00, 95% CI 1.23 to 66.05; 52 eyes). In two trials, fewer eyes treated with PVP‐I or PVA‐I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PVP‐I alone resolves signs and symptoms by seven days relative to artificial tears. PVP‐I or PVA‐I,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high‐level certainty from trials with larger sample sizes, enrollment of participants with similar durations of signs and symptoms, and validated methods to assess short‐ and long‐term outcomes. Plain language summary What are the benefits and risks of topical medications for treating epidemic keratoconjunctivitis? What is epidemic keratoconjunctivitis?  Epidemic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 Treatment is usually supportive with cool compresses, artificial tears, and sometimes steroids. What did we want to find out?  We wanted to know whether any existing topical medication can relieve symptoms or signs and prevent complications, and if these medications were well‐tolerated. What we did  We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 We found 10 studies that involved 892 people with epidemic keratoconjunctivitis (9 to 82 years old); studies lasted from 7 days to 18 months. When compared with artificial tears, antiviral agents appeared to shorten the duration of symptoms or signs. Povidone‐iodine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 Nearly all of the included studies had flawed study methods and were reported poorly. These weaknesses raised our concerns about the study findings and reduced our confidence in the overall evidence summarized in the review. How up‐to‐date is the evidence?  The evidence is current to April 2021.</t>
  </si>
  <si>
    <t>- Background Dry eye disease (DED), arising from various etiologic factors, leads to tear film instability, ocular surface damage, and neurosensory changes. DED causes symptoms such as ocular dryness, burning, itching, pain, and visual impairment. Given their well‐established anti‐inflammatory effects, topical steroid preparations have been widely used as a short‐term treatment option for DED. Because of potential risks of ocular hypertension, cataracts, and infections associated with the long‐term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break‐up time (TBUT) slightly (mean difference [MD] 0.70 s, 95% CI 0.06 to 1.34; low certainty evidence) but not tear osmolarity (MD 1.60 mOsm/kg, 95% CI −10.47 to 13.67; very low certainty evidence). Six trials examined topical steroids, either alone or in combination with CsA, against CsA alone. Low certainty evidence indicates that steroid‐based interventions may have a small to moderate effect on improving participants' symptoms (SMD −0.33, 95% CI −0.51 to −0.15), but little to no effect on corneal staining scores (SMD 0.05, 95% CI −0.25 to 0.35) as compared with CsA. The effect of topical steroids compared to CsA alone on TBUT (MD 0.37 s, 95% CI −0.13 to 0.87) or tear osmolarity (MD 5.80 mOsm/kg, 95% CI −0.94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short‐term use and study duration (four weeks or less) to observe longer‐term adverse effects. Authors' conclusions Overall, the evidence for the specified review outcomes was of moderate to very low certainty, mostly due to high risk of bias associated with selective results reporting. For dry eye patients whose symptoms require anti‐inflammatory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anti‐inflammatory agents, such as corticosteroids and cyclosporine A. Corticosteroids eye drops aim to reduce the inflammatory process and provide symptom relief with short‐term use. High eye pressure and cataract formation are common concerns with longer‐term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up‐to‐date is this evidence? The evidence is up‐to‐date as of August 2021.</t>
  </si>
  <si>
    <t>Interventions for the eradication of meticillin‐resistant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</si>
  <si>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low‐certainty evidence). However, by day 168 of follow‐up, there was no difference between groups in the proportion of participants who remained MRSA‐negative (OR 1.17, 95% CI 0.31 to 4.42; low‐certainty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low‐certainty evidence) or the change from baseline in lung function or weight (both very low‐certainty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low‐certainty evidence). No differences between groups were seen in lung function or adverse effects (low‐certainty evidence), in quality of life (very low‐certainty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MRSA‐negative respiratory cultures at day 28. However, follow‐up at three or six months showed no difference between treatment and control in the proportion of participants remaining MRSA‐negative. Moreover, the longer‐term clinical consequences – in terms of lung function, mortality and cost of care – remain unclear. Using GRADE methodology, we judged the certainty of the evidence provided by this review to be very low to low, due to potential biases from the open‐label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meticillin‐resistant Staphylococcus aureus (MRSA) from the lungs of people with cystic fibrosis Review question We looked for evidence for the effects of different ways of clearing meticillin‐resistant Staphylococcus aureus (MRSA), a so‐called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</si>
  <si>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 2022 Logan et al.</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</si>
  <si>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 2022</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</si>
  <si>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CVC‐related bloodstream infections and CVC‐related colonisation, mortality, haemorrhage, heparin‐induced thrombocytopaenia, CVC‐related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meta‐analysis were available from all RCTs. We noted differences in methods used by the included studies and variation in heparin concentrations (10 to 5000 IU/mL), time to follow‐up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‐0.10 to 0.99; 6 studies; 1788 participants; low‐certainty evidence). Secondary outcomes We found no clear evidence of a difference in the following outcomes: CVC‐related bloodstream infections (RR 0.66, 95% CI 0.08 to 5.80; 3 studies; 1127 participants; very low‐certainty evidence); mortality (RR 0.76, 95% CI 0.44 to 1.31; 3 studies; 1100 participants; very low‐certainty evidence); haemorrhage (RR 1.54, 95% CI 0.41 to 5.74; 3 studies; 1197 participants; very low‐certainty evidence); or heparin‐induced thrombocytopaenia (RR 0.21, 95% CI 0.01 to 4.27; 3 studies; 443 participants; very low‐certainty evidence). The main reasons for downgrading the certainty of evidence for the primary and secondary outcomes were unclear allocation concealment, suspicion of publication bias, imprecision and inconsistency. Authors' conclusions Given the low‐certainty evidence, we are uncertain whether intermittent locking with heparin results in fewer central venous catheter occlusions than intermittent locking with normal saline in adults. Low‐certainty evidence suggests that heparin may have little or no effect on catheter patency duration. Although we found no evidence of differences in safety (CVC‐related bloodstream infections, mortality, or haemorrha e), the combined studies were not powered to detect rare adverse events such as heparin‐induced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well‐designed, large‐scale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</si>
  <si>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 Author(s) (or their employer(s)) 2022.</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</si>
  <si>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 2022 Lynch and Jones.</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</si>
  <si>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 2022, The Author(s).</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</si>
  <si>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 2022 Machleid et al. This is an open access article distributed under the terms of the Creative Commons Attribution License, which permits unrestricted use, distribution, and reproduction in any medium, provided the original author and source are credited.</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</si>
  <si>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 2022 Maci and Maresova."</t>
  </si>
  <si>
    <t>Pn for Pn': Parenteral Nutrition for Preterm Neonates: Perspectives of a District General Hospital in Implementation of Nice Guidelines - a Quality Improvement Project</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</si>
  <si>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 2022 by the authors.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</si>
  <si>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 2022 Malcolm et al. This is an open access article distributed under the terms of the Creative Commons Attribution License, which permits unrestricted use, distribution, and reproduction in any medium, provided the original author and source are credited.</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</si>
  <si>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 2022 The Authors. Published by Elsevier Ltd.. All rights reserved.</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</si>
  <si>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 2021, The Author(s).</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</si>
  <si>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 2022, The Author(s).</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</si>
  <si>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quasi‐randomised controlled trials comparing different interventions for the treatment of supracondylar elbow fractures in children. We included studies investigating surgical interventions (different fixation techniques and different reduction techniques), surgical versus non‐surgical treatment, traction types, methods of non‐surgical intervention, and timing and location of treatment. Data collection and analysis We used standard methodological procedures expected by Cochrane. We collected data and conducted GRADE assessment for five critical outcomes: functional outcomes, treatment failure (requiring re‐intervention),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mini‐open technique or inserted percutaneously; buried versus non‐buried wires; external versus internal fixation; open versus closed reduction; surgical fixation versus non‐surgical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low‐certainty evidence). For functional status (1 study, 35 children), treatment failure requiring re‐intervention (1 study, 60 children), and cosmetic deformity (2 studies, 95 children), ther was very low‐certainty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re‐intervention, or cosmetic deformity. The four studies in this comparison used direct visualisation during surgery. One additional study used a joystick technique for reduction, and we did not combine data from this study in analyses. Surgical fixation using wires versus non‐surgical immobilisation using a cast (3 studies, 140 children) There was very low‐certainty evidence showing little or no difference between interventions for treatment failure requiring re‐intervention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patient‐reported measures. Evaluation of the effectiveness of traction compared with surgical fixation would provide a valuable addition to this clinical field. Plain language summary What are the benefits and risks of different treatments for elbow fractures in children? Key messages ‐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 Because we did not find enough studies about other treatments for these elbow fractures, their benefits and risks are unclear. ‐ More, well‐designed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day‐to‐day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 which types of treatments work best to heal the bone effectively; and ‐ whether these treatments are associated with any unwanted effects. What did we do? We searched for studies that compared a range of treatments. The most common treatments were: ‐ surgical treatments using different types of metal wires after the bone has been put back into position; ‐ open reduction or closed reduction; ‐ surgery or non‐surgical treatments; and ‐ different non‐surgical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South‐East Asia. Very few studies reported how they were funded. Main results ‐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long‐term elbow deformity (where the elbow is no longer the normal shape). ‐ The initial method used to move the bone back into position may make little or no difference to the risk of nerve injury. However, children may have fewer pin site infections when closed reduction is used. ‐ There may be little or no difference between using metal wires to fix the bone or holding the bone in place with a cast in the need for additional surgery, nerve injury, pin site infections, or elbow deformity. But we are uncertain of these findings. ‐ We do not know if a plaster cast compared to a sling has any effect on the risk of nerve injury or pin site infections. What are the limitations of the evidence? Most of the studies were either not well‐designed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</si>
  <si>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 Background Larval source management (LSM) may help reduce Plasmodium parasite transmission in malaria‐endemic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non‐randomized intervention studies comparing mosquito aquatic habitat modification or manipulation (or both) to no treatment or another active intervention. We also included uncontrolled before‐after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ROBINS‐I tool for non‐randomized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before‐after (CBA) study design, three used a non‐randomized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low‐certainty evidence), and spillways across streams may reduce densities of adult mosquitoes compared to no intervention (low‐certainty evidence). However, the effect of habitat manipulation on malaria parasite prevalence and clinical malaria incidence is uncertain (very low‐certainty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low‐certainty evidence), and preventing water stagnating using drainage of canals, removal of debris, land levelling, and filling ditches may reduce the density of immature mosquitoes compared to no intervention (ranged from 10% to 55% reductions; low‐certainty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(moderate‐certainty evidence). However, filling or draining water bodies probably makes little or no difference to malaria parasite prevalence, haemoglobin levels, or entomological inoculation rate when delivered with larviciding compared to no intervention (moderate‐certainty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</si>
  <si>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 2021 GlaxoSmithKline Biologicals S.A. Published by Informa UK Limited, trading as Taylor &amp; Francis Group.</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</si>
  <si>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 2022 The Authors. Liver International published by John Wiley &amp; Sons Ltd.</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</si>
  <si>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 2022 The Authors</t>
  </si>
  <si>
    <t>can't find this version, linked to study above</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</si>
  <si>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 2021</t>
  </si>
  <si>
    <t>Diagnostic test accuracy and cost‐effectiveness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</si>
  <si>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(PCR)‐based loss of heterozygosity (LOH) assays (also known as PCR‐based short tandem repeat or microsatellite analysis). Many other tests are available. None of the tests is perfect, although PCR‐based LOH is expected to have very high sensitivity. Objectives To estimate the sensitivity and specificity and cost‐effectiveness of different deoxyribonucleic acid (DNA)‐based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cross‐sectional studies in adults with glioma or any subtype of glioma, presenting raw data or cross‐tabulations of two or more DNA‐based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QUADAS‐2. Meta‐analyses used the hierarchical summary ROC model to estimate and compare test accuracy. We used FISH and PCR‐based LOH as alternate reference standards to examine how tests compared with those in common use, and conducted a latent class analysis comparing FISH and PCR‐based LOH. We constructed an economic model to evaluate cost‐effectiveness. Main results We included 53 studies examining: PCR‐based LOH, FISH, single nucleotide polymorphism (SNP) array, next‐generation sequencing (NGS), comparative genomic hybridisation (CGH), array comparative genomic hybridisation (aCGH), multiplex‐ligation‐dependent probe amplification (MLPA), real‐time PCR, chromogenic in situ hybridisation (CISH), mass spectrometry (MS), restriction fragment length polymorphism (RFLP) analysis, G‐banding,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PCR‐based LOH as the reference and 262 participants to analyses of comparisons between methods from studies not including FISH or PCR‐based LOH. Most evidence was available for comparison of FISH with PCR‐based LOH (15 studies, 915 participants): PCR‐based LOH detected 94% of FISH‐determined codeletions (95% credible interval (CrI) 83% to 98%) and FISH detected 91% of codeletions determined by PCR‐based LOH (CrI 78% to 97%). Of tumours determined not to have a deletion by FISH, 94% (CrI 87% to 98%) had a deletion detected by PCR‐based LOH, and of those determined not to have a deletion by PCR‐based LOH, 96% (CrI 90% to 99%) had a deletion detected by FISH. The latent class analysis suggested that PCR‐based LOH may be slightly more accurate than FISH. Most other techniques appeared to have high sensitivity (i.e. produced few false‐negative resul s) for detection of 1p/19q codeletion when either FISH or PCR‐based LOH was considered as the reference standard, although there was limited evidence. There was some indication of differences in specificity (false‐positive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PCR‐based LOH was considered the reference standard, although with much more uncertainty as these results were based on fewer studies (just one study with 49 participants for NGS and two studies with 33 participants for SNP array). G‐banding had low sensitivity and specificity when PCR‐based LOH was the reference standard. Although MS had very high sensitivity and specificity when both FISH and PCR‐based LOH were considered the reference standard, these results were based on only one study with a small number of participants. Real‐time PCR also showed high specificity with FISH as a reference standard, although there were only two studies including 40 participants. We found no relevant economic evaluations. Our economic model using FISH as the reference standard suggested that the resource‐optimising test depends on which measure of diagnostic accuracy is most important. With FISH as the reference standard, MLPA is likely to be cost‐effective if society was willing to pay GBP 1000 or less for a true positive detected. However, as the value placed on a true positive increased, CISH was most cost‐effective. Findings differed when the outcome measure changed to either true negative detected or correct diagnosis. When PCR‐based LOH was used as the reference standard, MLPA was likely to be cost‐effective for all measures of diagnostic accuracy at lower threshold values for willingness to pay. However, as the threshold values increased, none of the tests were clearly more likely to be considered cost‐effective. Authors' conclusions In our review, most techniques (except G‐banding) appeared to have good sensitivity (few false negatives) for detection of 1p/19q codeletions in glioma against both FISH and PCR‐based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PCR‐based LOH, real‐time PCR, LPA, SNP array, CGH array and NGS. None of these tests is perfect, so there is no 'gold standard' against which to compare them. The two most commonly used tests (FISH and PCR‐based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up‐to‐date is this review? The latest search for studies took place in August 2019.</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</si>
  <si>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 2022 IJS Publishing Group Ltd</t>
  </si>
  <si>
    <t>Saudi Arabia</t>
  </si>
  <si>
    <t>India</t>
  </si>
  <si>
    <t>Aus?</t>
  </si>
  <si>
    <t>unclear, but think it includes UK study</t>
  </si>
  <si>
    <t>Solent NHS Trust</t>
  </si>
  <si>
    <t>Germany</t>
  </si>
  <si>
    <t>low+middle income countries</t>
  </si>
  <si>
    <t>1 ongoing study that might be UK</t>
  </si>
  <si>
    <t>2 ongoing studies that might be UK</t>
  </si>
  <si>
    <t>Spain</t>
  </si>
  <si>
    <t>No UK studies, does mention UK for cotext</t>
  </si>
  <si>
    <t>Wales</t>
  </si>
  <si>
    <t>Russia</t>
  </si>
  <si>
    <t>protocol, unclear if it will include any UK studies</t>
  </si>
  <si>
    <t>England and Scotland, NHS</t>
  </si>
  <si>
    <t>6 False negatives</t>
  </si>
  <si>
    <t>We now have 54 false positives - 48  of which are flagged for review. 6 others mention UK setting. Flag to Freddie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</si>
</sst>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2" fillId="0" borderId="1" xfId="0" applyFont="1" applyBorder="1"/>
    <xf numFmtId="0" fontId="2" fillId="0" borderId="2" xfId="0" applyFont="1" applyBorder="1"/>
    <xf numFmtId="0" fontId="0" fillId="2" borderId="0" xfId="0" applyFill="1"/>
    <xf numFmtId="0" fontId="0" fillId="3" borderId="0" xfId="0" applyFill="1"/>
    <xf numFmtId="0" fontId="0" fillId="2" borderId="0" xfId="0" applyFill="1" applyAlignment="1">
      <alignment wrapText="1"/>
    </xf>
    <xf numFmtId="0" fontId="0" fillId="0" borderId="0" xfId="0" quotePrefix="1"/>
    <xf numFmtId="0" fontId="1" fillId="2" borderId="0" xfId="0" applyFont="1" applyFill="1"/>
    <xf numFmtId="0" fontId="2" fillId="0" borderId="3" xfId="0" applyFont="1" applyBorder="1"/>
    <xf numFmtId="0" fontId="2" fillId="0" borderId="4" xfId="0" applyFont="1" applyBorder="1"/>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359"/>
  <sheetViews>
    <sheetView workbookViewId="0">
      <selection activeCell="C11" sqref="A1:H359"/>
    </sheetView>
  </sheetViews>
  <sheetFormatPr defaultRowHeight="14.5" x14ac:dyDescent="0.35"/>
  <sheetData>
    <row r="1" spans="1:8" x14ac:dyDescent="0.35">
      <c r="A1" t="s">
        <v>0</v>
      </c>
      <c r="B1" t="s">
        <v>1</v>
      </c>
      <c r="C1" t="s">
        <v>2</v>
      </c>
      <c r="D1" t="s">
        <v>3</v>
      </c>
      <c r="E1" t="s">
        <v>234</v>
      </c>
      <c r="F1" t="s">
        <v>235</v>
      </c>
      <c r="G1" t="s">
        <v>236</v>
      </c>
      <c r="H1" t="s">
        <v>237</v>
      </c>
    </row>
    <row r="2" spans="1:8" x14ac:dyDescent="0.35">
      <c r="A2" t="s">
        <v>4</v>
      </c>
      <c r="B2">
        <v>2019</v>
      </c>
      <c r="C2" t="s">
        <v>5</v>
      </c>
      <c r="D2" t="s">
        <v>6</v>
      </c>
      <c r="E2" t="b">
        <v>0</v>
      </c>
      <c r="F2" t="s">
        <v>247</v>
      </c>
      <c r="G2" t="s">
        <v>222</v>
      </c>
      <c r="H2">
        <v>1</v>
      </c>
    </row>
    <row r="3" spans="1:8" x14ac:dyDescent="0.35">
      <c r="A3" t="s">
        <v>7</v>
      </c>
      <c r="B3">
        <v>2019</v>
      </c>
      <c r="C3" t="s">
        <v>8</v>
      </c>
      <c r="D3" t="s">
        <v>9</v>
      </c>
      <c r="E3" t="b">
        <v>0</v>
      </c>
      <c r="F3" t="s">
        <v>248</v>
      </c>
      <c r="G3" t="s">
        <v>222</v>
      </c>
      <c r="H3">
        <v>1</v>
      </c>
    </row>
    <row r="4" spans="1:8" x14ac:dyDescent="0.35">
      <c r="A4" t="s">
        <v>10</v>
      </c>
      <c r="B4">
        <v>2019</v>
      </c>
      <c r="C4" t="s">
        <v>11</v>
      </c>
      <c r="D4" t="s">
        <v>12</v>
      </c>
      <c r="E4" t="b">
        <v>1</v>
      </c>
      <c r="F4" t="s">
        <v>249</v>
      </c>
      <c r="G4" t="s">
        <v>223</v>
      </c>
      <c r="H4">
        <v>1</v>
      </c>
    </row>
    <row r="5" spans="1:8" x14ac:dyDescent="0.35">
      <c r="A5" t="s">
        <v>13</v>
      </c>
      <c r="B5">
        <v>2019</v>
      </c>
      <c r="C5" t="s">
        <v>14</v>
      </c>
      <c r="D5" t="s">
        <v>15</v>
      </c>
      <c r="E5" t="b">
        <v>1</v>
      </c>
      <c r="F5" t="s">
        <v>250</v>
      </c>
      <c r="G5" t="s">
        <v>238</v>
      </c>
      <c r="H5">
        <v>0.5</v>
      </c>
    </row>
    <row r="6" spans="1:8" x14ac:dyDescent="0.35">
      <c r="A6" t="s">
        <v>16</v>
      </c>
      <c r="B6">
        <v>2019</v>
      </c>
      <c r="C6" t="s">
        <v>17</v>
      </c>
      <c r="D6" t="s">
        <v>18</v>
      </c>
      <c r="E6" t="b">
        <v>1</v>
      </c>
      <c r="F6" t="s">
        <v>251</v>
      </c>
      <c r="G6" t="s">
        <v>223</v>
      </c>
      <c r="H6">
        <v>1</v>
      </c>
    </row>
    <row r="7" spans="1:8" x14ac:dyDescent="0.35">
      <c r="A7" t="s">
        <v>19</v>
      </c>
      <c r="B7">
        <v>2019</v>
      </c>
      <c r="C7" t="s">
        <v>20</v>
      </c>
      <c r="D7" t="s">
        <v>21</v>
      </c>
      <c r="E7" t="b">
        <v>1</v>
      </c>
      <c r="F7" t="s">
        <v>250</v>
      </c>
      <c r="G7" t="s">
        <v>238</v>
      </c>
      <c r="H7">
        <v>0.5</v>
      </c>
    </row>
    <row r="8" spans="1:8" x14ac:dyDescent="0.35">
      <c r="A8" t="s">
        <v>22</v>
      </c>
      <c r="B8">
        <v>2019</v>
      </c>
      <c r="C8" t="s">
        <v>23</v>
      </c>
      <c r="D8" t="s">
        <v>24</v>
      </c>
      <c r="E8" t="b">
        <v>1</v>
      </c>
      <c r="F8" t="s">
        <v>250</v>
      </c>
      <c r="G8" t="s">
        <v>238</v>
      </c>
      <c r="H8">
        <v>0.5</v>
      </c>
    </row>
    <row r="9" spans="1:8" x14ac:dyDescent="0.35">
      <c r="A9" t="s">
        <v>25</v>
      </c>
      <c r="B9">
        <v>2019</v>
      </c>
      <c r="C9" t="s">
        <v>26</v>
      </c>
      <c r="D9" t="s">
        <v>27</v>
      </c>
      <c r="E9" t="b">
        <v>1</v>
      </c>
      <c r="F9" t="s">
        <v>250</v>
      </c>
      <c r="G9" t="s">
        <v>238</v>
      </c>
      <c r="H9">
        <v>0.5</v>
      </c>
    </row>
    <row r="10" spans="1:8" x14ac:dyDescent="0.35">
      <c r="A10" t="s">
        <v>28</v>
      </c>
      <c r="B10">
        <v>2019</v>
      </c>
      <c r="C10" t="s">
        <v>29</v>
      </c>
      <c r="D10" t="s">
        <v>30</v>
      </c>
      <c r="E10" t="b">
        <v>1</v>
      </c>
      <c r="F10" t="s">
        <v>252</v>
      </c>
      <c r="G10" t="s">
        <v>223</v>
      </c>
      <c r="H10">
        <v>1</v>
      </c>
    </row>
    <row r="11" spans="1:8" x14ac:dyDescent="0.35">
      <c r="A11" t="s">
        <v>31</v>
      </c>
      <c r="B11">
        <v>2019</v>
      </c>
      <c r="C11" t="s">
        <v>32</v>
      </c>
      <c r="D11" t="s">
        <v>33</v>
      </c>
      <c r="E11" t="b">
        <v>1</v>
      </c>
      <c r="F11" t="s">
        <v>239</v>
      </c>
      <c r="G11" t="s">
        <v>223</v>
      </c>
      <c r="H11">
        <v>1</v>
      </c>
    </row>
    <row r="12" spans="1:8" x14ac:dyDescent="0.35">
      <c r="A12" t="s">
        <v>34</v>
      </c>
      <c r="B12">
        <v>2019</v>
      </c>
      <c r="C12" t="s">
        <v>35</v>
      </c>
      <c r="D12" t="s">
        <v>36</v>
      </c>
      <c r="E12" t="b">
        <v>1</v>
      </c>
      <c r="F12" t="s">
        <v>250</v>
      </c>
      <c r="G12" t="s">
        <v>238</v>
      </c>
      <c r="H12">
        <v>0.5</v>
      </c>
    </row>
    <row r="13" spans="1:8" x14ac:dyDescent="0.35">
      <c r="A13" t="s">
        <v>37</v>
      </c>
      <c r="B13">
        <v>2019</v>
      </c>
      <c r="C13" t="s">
        <v>38</v>
      </c>
      <c r="D13" t="s">
        <v>39</v>
      </c>
      <c r="E13" t="b">
        <v>1</v>
      </c>
      <c r="F13" t="s">
        <v>253</v>
      </c>
      <c r="G13" t="s">
        <v>223</v>
      </c>
      <c r="H13">
        <v>1</v>
      </c>
    </row>
    <row r="14" spans="1:8" x14ac:dyDescent="0.35">
      <c r="A14" t="s">
        <v>40</v>
      </c>
      <c r="B14">
        <v>2019</v>
      </c>
      <c r="C14" t="s">
        <v>41</v>
      </c>
      <c r="D14" t="s">
        <v>42</v>
      </c>
      <c r="E14" t="b">
        <v>1</v>
      </c>
      <c r="F14" t="s">
        <v>254</v>
      </c>
      <c r="G14" t="s">
        <v>223</v>
      </c>
      <c r="H14">
        <v>0.95</v>
      </c>
    </row>
    <row r="15" spans="1:8" x14ac:dyDescent="0.35">
      <c r="A15" t="s">
        <v>43</v>
      </c>
      <c r="B15">
        <v>2019</v>
      </c>
      <c r="C15" t="s">
        <v>44</v>
      </c>
      <c r="D15" t="s">
        <v>45</v>
      </c>
      <c r="E15" t="b">
        <v>1</v>
      </c>
      <c r="F15" t="s">
        <v>250</v>
      </c>
      <c r="G15" t="s">
        <v>238</v>
      </c>
      <c r="H15">
        <v>0.5</v>
      </c>
    </row>
    <row r="16" spans="1:8" x14ac:dyDescent="0.35">
      <c r="A16" t="s">
        <v>46</v>
      </c>
      <c r="B16">
        <v>2019</v>
      </c>
      <c r="C16" t="s">
        <v>47</v>
      </c>
      <c r="D16" t="s">
        <v>48</v>
      </c>
      <c r="E16" t="b">
        <v>1</v>
      </c>
      <c r="F16" t="s">
        <v>240</v>
      </c>
      <c r="G16" t="s">
        <v>223</v>
      </c>
      <c r="H16">
        <v>1</v>
      </c>
    </row>
    <row r="17" spans="1:8" x14ac:dyDescent="0.35">
      <c r="A17" t="s">
        <v>49</v>
      </c>
      <c r="B17">
        <v>2019</v>
      </c>
      <c r="C17" t="s">
        <v>50</v>
      </c>
      <c r="D17" t="s">
        <v>51</v>
      </c>
      <c r="E17" t="b">
        <v>1</v>
      </c>
      <c r="F17" t="s">
        <v>255</v>
      </c>
      <c r="G17" t="s">
        <v>223</v>
      </c>
      <c r="H17">
        <v>1</v>
      </c>
    </row>
    <row r="18" spans="1:8" x14ac:dyDescent="0.35">
      <c r="A18" t="s">
        <v>52</v>
      </c>
      <c r="B18">
        <v>2019</v>
      </c>
      <c r="C18" t="s">
        <v>53</v>
      </c>
      <c r="D18" t="s">
        <v>54</v>
      </c>
      <c r="E18" t="b">
        <v>1</v>
      </c>
      <c r="F18" t="s">
        <v>250</v>
      </c>
      <c r="G18" t="s">
        <v>238</v>
      </c>
      <c r="H18">
        <v>0.5</v>
      </c>
    </row>
    <row r="19" spans="1:8" x14ac:dyDescent="0.35">
      <c r="A19" t="s">
        <v>57</v>
      </c>
      <c r="B19">
        <v>2019</v>
      </c>
      <c r="C19" t="s">
        <v>58</v>
      </c>
      <c r="D19" t="s">
        <v>59</v>
      </c>
      <c r="E19" t="b">
        <v>0</v>
      </c>
      <c r="F19" t="s">
        <v>241</v>
      </c>
      <c r="G19" t="s">
        <v>222</v>
      </c>
      <c r="H19">
        <v>1</v>
      </c>
    </row>
    <row r="20" spans="1:8" x14ac:dyDescent="0.35">
      <c r="A20" t="s">
        <v>60</v>
      </c>
      <c r="B20">
        <v>2019</v>
      </c>
      <c r="C20" t="s">
        <v>61</v>
      </c>
      <c r="D20" t="s">
        <v>62</v>
      </c>
      <c r="E20" t="b">
        <v>0</v>
      </c>
      <c r="F20" t="s">
        <v>256</v>
      </c>
      <c r="G20" t="s">
        <v>222</v>
      </c>
      <c r="H20">
        <v>0.9</v>
      </c>
    </row>
    <row r="21" spans="1:8" x14ac:dyDescent="0.35">
      <c r="A21" t="s">
        <v>63</v>
      </c>
      <c r="B21">
        <v>2019</v>
      </c>
      <c r="C21" t="s">
        <v>64</v>
      </c>
      <c r="D21" t="s">
        <v>65</v>
      </c>
      <c r="E21" t="b">
        <v>1</v>
      </c>
      <c r="F21" t="s">
        <v>257</v>
      </c>
      <c r="G21" t="s">
        <v>223</v>
      </c>
      <c r="H21">
        <v>1</v>
      </c>
    </row>
    <row r="22" spans="1:8" x14ac:dyDescent="0.35">
      <c r="A22" t="s">
        <v>66</v>
      </c>
      <c r="B22">
        <v>2019</v>
      </c>
      <c r="C22" t="s">
        <v>67</v>
      </c>
      <c r="D22" t="s">
        <v>68</v>
      </c>
      <c r="E22" t="b">
        <v>1</v>
      </c>
      <c r="F22" t="s">
        <v>258</v>
      </c>
      <c r="G22" t="s">
        <v>223</v>
      </c>
      <c r="H22">
        <v>1</v>
      </c>
    </row>
    <row r="23" spans="1:8" x14ac:dyDescent="0.35">
      <c r="A23" t="s">
        <v>69</v>
      </c>
      <c r="B23">
        <v>2019</v>
      </c>
      <c r="C23" t="s">
        <v>70</v>
      </c>
      <c r="D23" t="s">
        <v>71</v>
      </c>
      <c r="E23" t="b">
        <v>1</v>
      </c>
      <c r="F23" t="s">
        <v>259</v>
      </c>
      <c r="G23" t="s">
        <v>223</v>
      </c>
      <c r="H23">
        <v>1</v>
      </c>
    </row>
    <row r="24" spans="1:8" x14ac:dyDescent="0.35">
      <c r="A24" t="s">
        <v>72</v>
      </c>
      <c r="B24">
        <v>2019</v>
      </c>
      <c r="C24" t="s">
        <v>73</v>
      </c>
      <c r="D24" t="s">
        <v>74</v>
      </c>
      <c r="E24" t="b">
        <v>1</v>
      </c>
      <c r="F24" t="s">
        <v>250</v>
      </c>
      <c r="G24" t="s">
        <v>238</v>
      </c>
      <c r="H24">
        <v>0.5</v>
      </c>
    </row>
    <row r="25" spans="1:8" x14ac:dyDescent="0.35">
      <c r="A25" t="s">
        <v>75</v>
      </c>
      <c r="B25">
        <v>2019</v>
      </c>
      <c r="C25" t="s">
        <v>76</v>
      </c>
      <c r="D25" t="s">
        <v>77</v>
      </c>
      <c r="E25" t="b">
        <v>1</v>
      </c>
      <c r="F25" t="s">
        <v>250</v>
      </c>
      <c r="G25" t="s">
        <v>238</v>
      </c>
      <c r="H25">
        <v>0.5</v>
      </c>
    </row>
    <row r="26" spans="1:8" x14ac:dyDescent="0.35">
      <c r="A26" t="s">
        <v>78</v>
      </c>
      <c r="B26">
        <v>2019</v>
      </c>
      <c r="C26" t="s">
        <v>79</v>
      </c>
      <c r="D26" t="s">
        <v>80</v>
      </c>
      <c r="E26" t="b">
        <v>1</v>
      </c>
      <c r="F26" t="s">
        <v>260</v>
      </c>
      <c r="G26" t="s">
        <v>223</v>
      </c>
      <c r="H26">
        <v>1</v>
      </c>
    </row>
    <row r="27" spans="1:8" x14ac:dyDescent="0.35">
      <c r="A27" t="s">
        <v>81</v>
      </c>
      <c r="B27">
        <v>2019</v>
      </c>
      <c r="C27" t="s">
        <v>82</v>
      </c>
      <c r="D27" t="s">
        <v>83</v>
      </c>
      <c r="E27" t="b">
        <v>1</v>
      </c>
      <c r="F27" t="s">
        <v>250</v>
      </c>
      <c r="G27" t="s">
        <v>238</v>
      </c>
      <c r="H27">
        <v>0.5</v>
      </c>
    </row>
    <row r="28" spans="1:8" x14ac:dyDescent="0.35">
      <c r="A28" t="s">
        <v>84</v>
      </c>
      <c r="B28">
        <v>2019</v>
      </c>
      <c r="C28" t="s">
        <v>85</v>
      </c>
      <c r="D28" t="s">
        <v>86</v>
      </c>
      <c r="E28" t="b">
        <v>1</v>
      </c>
      <c r="F28" t="s">
        <v>250</v>
      </c>
      <c r="G28" t="s">
        <v>238</v>
      </c>
      <c r="H28">
        <v>0.5</v>
      </c>
    </row>
    <row r="29" spans="1:8" x14ac:dyDescent="0.35">
      <c r="A29" t="s">
        <v>87</v>
      </c>
      <c r="B29">
        <v>2019</v>
      </c>
      <c r="C29" t="s">
        <v>88</v>
      </c>
      <c r="D29" t="s">
        <v>89</v>
      </c>
      <c r="E29" t="b">
        <v>1</v>
      </c>
      <c r="F29" t="s">
        <v>250</v>
      </c>
      <c r="G29" t="s">
        <v>238</v>
      </c>
      <c r="H29">
        <v>0.5</v>
      </c>
    </row>
    <row r="30" spans="1:8" x14ac:dyDescent="0.35">
      <c r="A30" t="s">
        <v>90</v>
      </c>
      <c r="B30">
        <v>2019</v>
      </c>
      <c r="C30" t="s">
        <v>91</v>
      </c>
      <c r="D30" t="s">
        <v>92</v>
      </c>
      <c r="E30" t="b">
        <v>1</v>
      </c>
      <c r="F30" t="s">
        <v>250</v>
      </c>
      <c r="G30" t="s">
        <v>238</v>
      </c>
      <c r="H30">
        <v>0.5</v>
      </c>
    </row>
    <row r="31" spans="1:8" x14ac:dyDescent="0.35">
      <c r="A31" t="s">
        <v>93</v>
      </c>
      <c r="B31">
        <v>2019</v>
      </c>
      <c r="C31" t="s">
        <v>94</v>
      </c>
      <c r="D31" t="s">
        <v>95</v>
      </c>
      <c r="E31" t="b">
        <v>1</v>
      </c>
      <c r="F31" t="s">
        <v>250</v>
      </c>
      <c r="G31" t="s">
        <v>238</v>
      </c>
      <c r="H31">
        <v>0.5</v>
      </c>
    </row>
    <row r="32" spans="1:8" x14ac:dyDescent="0.35">
      <c r="A32" t="s">
        <v>96</v>
      </c>
      <c r="B32">
        <v>2019</v>
      </c>
      <c r="C32" t="s">
        <v>97</v>
      </c>
      <c r="D32" t="s">
        <v>98</v>
      </c>
      <c r="E32" t="b">
        <v>0</v>
      </c>
      <c r="F32" t="s">
        <v>261</v>
      </c>
      <c r="G32" t="s">
        <v>222</v>
      </c>
      <c r="H32">
        <v>1</v>
      </c>
    </row>
    <row r="33" spans="1:8" x14ac:dyDescent="0.35">
      <c r="A33" t="s">
        <v>99</v>
      </c>
      <c r="B33">
        <v>2019</v>
      </c>
      <c r="C33" t="s">
        <v>100</v>
      </c>
      <c r="D33" t="s">
        <v>101</v>
      </c>
      <c r="E33" t="b">
        <v>1</v>
      </c>
      <c r="F33" t="s">
        <v>262</v>
      </c>
      <c r="G33" t="s">
        <v>223</v>
      </c>
      <c r="H33">
        <v>1</v>
      </c>
    </row>
    <row r="34" spans="1:8" x14ac:dyDescent="0.35">
      <c r="A34" t="s">
        <v>102</v>
      </c>
      <c r="B34">
        <v>2019</v>
      </c>
      <c r="C34" t="s">
        <v>103</v>
      </c>
      <c r="D34" t="s">
        <v>104</v>
      </c>
      <c r="E34" t="b">
        <v>1</v>
      </c>
      <c r="F34" t="s">
        <v>242</v>
      </c>
      <c r="G34" t="s">
        <v>223</v>
      </c>
      <c r="H34">
        <v>1</v>
      </c>
    </row>
    <row r="35" spans="1:8" ht="409.5" x14ac:dyDescent="0.35">
      <c r="A35" t="s">
        <v>105</v>
      </c>
      <c r="B35">
        <v>2019</v>
      </c>
      <c r="C35" t="s">
        <v>106</v>
      </c>
      <c r="D35" s="1" t="s">
        <v>107</v>
      </c>
      <c r="E35" t="b">
        <v>1</v>
      </c>
      <c r="F35" t="s">
        <v>243</v>
      </c>
      <c r="G35" t="s">
        <v>223</v>
      </c>
      <c r="H35">
        <v>1</v>
      </c>
    </row>
    <row r="36" spans="1:8" x14ac:dyDescent="0.35">
      <c r="A36" t="s">
        <v>108</v>
      </c>
      <c r="B36">
        <v>2019</v>
      </c>
      <c r="C36" t="s">
        <v>109</v>
      </c>
      <c r="D36" t="s">
        <v>110</v>
      </c>
      <c r="E36" t="b">
        <v>1</v>
      </c>
      <c r="F36" t="s">
        <v>250</v>
      </c>
      <c r="G36" t="s">
        <v>238</v>
      </c>
      <c r="H36">
        <v>0.5</v>
      </c>
    </row>
    <row r="37" spans="1:8" x14ac:dyDescent="0.35">
      <c r="A37" t="s">
        <v>111</v>
      </c>
      <c r="B37">
        <v>2019</v>
      </c>
      <c r="C37" t="s">
        <v>112</v>
      </c>
      <c r="D37" t="s">
        <v>113</v>
      </c>
      <c r="E37" t="b">
        <v>1</v>
      </c>
      <c r="F37" t="s">
        <v>244</v>
      </c>
      <c r="G37" t="s">
        <v>223</v>
      </c>
      <c r="H37">
        <v>1</v>
      </c>
    </row>
    <row r="38" spans="1:8" x14ac:dyDescent="0.35">
      <c r="A38" t="s">
        <v>114</v>
      </c>
      <c r="B38">
        <v>2019</v>
      </c>
      <c r="C38" t="s">
        <v>115</v>
      </c>
      <c r="D38" t="s">
        <v>116</v>
      </c>
      <c r="E38" t="b">
        <v>1</v>
      </c>
      <c r="F38" t="s">
        <v>263</v>
      </c>
      <c r="G38" t="s">
        <v>223</v>
      </c>
      <c r="H38">
        <v>1</v>
      </c>
    </row>
    <row r="39" spans="1:8" x14ac:dyDescent="0.35">
      <c r="A39" t="s">
        <v>117</v>
      </c>
      <c r="B39">
        <v>2019</v>
      </c>
      <c r="C39" t="s">
        <v>118</v>
      </c>
      <c r="D39" t="s">
        <v>119</v>
      </c>
      <c r="E39" t="b">
        <v>1</v>
      </c>
      <c r="F39" t="s">
        <v>250</v>
      </c>
      <c r="G39" t="s">
        <v>238</v>
      </c>
      <c r="H39">
        <v>0.5</v>
      </c>
    </row>
    <row r="40" spans="1:8" x14ac:dyDescent="0.35">
      <c r="A40" t="s">
        <v>120</v>
      </c>
      <c r="B40">
        <v>2019</v>
      </c>
      <c r="C40" t="s">
        <v>121</v>
      </c>
      <c r="D40" t="s">
        <v>122</v>
      </c>
      <c r="E40" t="b">
        <v>1</v>
      </c>
      <c r="F40" t="s">
        <v>250</v>
      </c>
      <c r="G40" t="s">
        <v>238</v>
      </c>
      <c r="H40">
        <v>0.5</v>
      </c>
    </row>
    <row r="41" spans="1:8" x14ac:dyDescent="0.35">
      <c r="A41" t="s">
        <v>123</v>
      </c>
      <c r="B41">
        <v>2019</v>
      </c>
      <c r="C41" t="s">
        <v>124</v>
      </c>
      <c r="D41" t="s">
        <v>125</v>
      </c>
      <c r="E41" t="b">
        <v>1</v>
      </c>
      <c r="F41" t="s">
        <v>250</v>
      </c>
      <c r="G41" t="s">
        <v>238</v>
      </c>
      <c r="H41">
        <v>0.5</v>
      </c>
    </row>
    <row r="42" spans="1:8" ht="409.5" x14ac:dyDescent="0.35">
      <c r="A42" t="s">
        <v>126</v>
      </c>
      <c r="B42">
        <v>2019</v>
      </c>
      <c r="C42" t="s">
        <v>127</v>
      </c>
      <c r="D42" s="1" t="s">
        <v>128</v>
      </c>
      <c r="E42" t="b">
        <v>1</v>
      </c>
      <c r="F42" t="s">
        <v>264</v>
      </c>
      <c r="G42" t="s">
        <v>223</v>
      </c>
      <c r="H42">
        <v>1</v>
      </c>
    </row>
    <row r="43" spans="1:8" x14ac:dyDescent="0.35">
      <c r="A43" t="s">
        <v>129</v>
      </c>
      <c r="B43">
        <v>2019</v>
      </c>
      <c r="C43" t="s">
        <v>130</v>
      </c>
      <c r="D43" t="s">
        <v>131</v>
      </c>
      <c r="E43" t="b">
        <v>1</v>
      </c>
      <c r="F43" t="s">
        <v>250</v>
      </c>
      <c r="G43" t="s">
        <v>238</v>
      </c>
      <c r="H43">
        <v>0.5</v>
      </c>
    </row>
    <row r="44" spans="1:8" x14ac:dyDescent="0.35">
      <c r="A44" t="s">
        <v>132</v>
      </c>
      <c r="B44">
        <v>2019</v>
      </c>
      <c r="C44" t="s">
        <v>133</v>
      </c>
      <c r="D44" t="s">
        <v>134</v>
      </c>
      <c r="E44" t="b">
        <v>1</v>
      </c>
      <c r="F44" t="s">
        <v>265</v>
      </c>
      <c r="G44" t="s">
        <v>223</v>
      </c>
      <c r="H44">
        <v>1</v>
      </c>
    </row>
    <row r="45" spans="1:8" x14ac:dyDescent="0.35">
      <c r="A45" t="s">
        <v>135</v>
      </c>
      <c r="B45">
        <v>2019</v>
      </c>
      <c r="C45" t="s">
        <v>136</v>
      </c>
      <c r="D45" t="s">
        <v>137</v>
      </c>
      <c r="E45" t="b">
        <v>1</v>
      </c>
      <c r="F45" t="s">
        <v>266</v>
      </c>
      <c r="G45" t="s">
        <v>223</v>
      </c>
      <c r="H45">
        <v>1</v>
      </c>
    </row>
    <row r="46" spans="1:8" x14ac:dyDescent="0.35">
      <c r="A46" t="s">
        <v>138</v>
      </c>
      <c r="B46">
        <v>2019</v>
      </c>
      <c r="C46" t="s">
        <v>139</v>
      </c>
      <c r="D46" t="s">
        <v>140</v>
      </c>
      <c r="E46" t="b">
        <v>1</v>
      </c>
      <c r="F46" t="s">
        <v>267</v>
      </c>
      <c r="G46" t="s">
        <v>223</v>
      </c>
      <c r="H46">
        <v>1</v>
      </c>
    </row>
    <row r="47" spans="1:8" x14ac:dyDescent="0.35">
      <c r="A47" t="s">
        <v>141</v>
      </c>
      <c r="B47">
        <v>2019</v>
      </c>
      <c r="C47" t="s">
        <v>142</v>
      </c>
      <c r="D47" t="s">
        <v>143</v>
      </c>
      <c r="E47" t="b">
        <v>1</v>
      </c>
      <c r="F47" t="s">
        <v>268</v>
      </c>
      <c r="G47" t="s">
        <v>223</v>
      </c>
      <c r="H47">
        <v>1</v>
      </c>
    </row>
    <row r="48" spans="1:8" x14ac:dyDescent="0.35">
      <c r="A48" t="s">
        <v>144</v>
      </c>
      <c r="B48">
        <v>2019</v>
      </c>
      <c r="C48" t="s">
        <v>145</v>
      </c>
      <c r="D48" t="s">
        <v>146</v>
      </c>
      <c r="E48" t="b">
        <v>1</v>
      </c>
      <c r="F48" t="s">
        <v>269</v>
      </c>
      <c r="G48" t="s">
        <v>223</v>
      </c>
      <c r="H48">
        <v>1</v>
      </c>
    </row>
    <row r="49" spans="1:8" x14ac:dyDescent="0.35">
      <c r="A49" t="s">
        <v>147</v>
      </c>
      <c r="B49">
        <v>2019</v>
      </c>
      <c r="C49" t="s">
        <v>148</v>
      </c>
      <c r="D49" t="s">
        <v>149</v>
      </c>
      <c r="E49" t="b">
        <v>1</v>
      </c>
      <c r="F49" t="s">
        <v>250</v>
      </c>
      <c r="G49" t="s">
        <v>238</v>
      </c>
      <c r="H49">
        <v>0.5</v>
      </c>
    </row>
    <row r="50" spans="1:8" x14ac:dyDescent="0.35">
      <c r="A50" t="s">
        <v>150</v>
      </c>
      <c r="B50">
        <v>2019</v>
      </c>
      <c r="C50" t="s">
        <v>151</v>
      </c>
      <c r="D50" t="s">
        <v>152</v>
      </c>
      <c r="E50" t="b">
        <v>1</v>
      </c>
      <c r="F50" t="s">
        <v>270</v>
      </c>
      <c r="G50" t="s">
        <v>223</v>
      </c>
      <c r="H50">
        <v>1</v>
      </c>
    </row>
    <row r="51" spans="1:8" x14ac:dyDescent="0.35">
      <c r="A51" t="s">
        <v>153</v>
      </c>
      <c r="B51">
        <v>2019</v>
      </c>
      <c r="C51" t="s">
        <v>154</v>
      </c>
      <c r="D51" t="s">
        <v>155</v>
      </c>
      <c r="E51" t="b">
        <v>1</v>
      </c>
      <c r="F51" t="s">
        <v>250</v>
      </c>
      <c r="G51" t="s">
        <v>238</v>
      </c>
      <c r="H51">
        <v>0.5</v>
      </c>
    </row>
    <row r="52" spans="1:8" x14ac:dyDescent="0.35">
      <c r="A52" t="s">
        <v>271</v>
      </c>
      <c r="B52">
        <v>2019</v>
      </c>
      <c r="C52" t="s">
        <v>272</v>
      </c>
      <c r="D52" t="s">
        <v>273</v>
      </c>
      <c r="E52" t="b">
        <v>1</v>
      </c>
      <c r="F52" t="s">
        <v>739</v>
      </c>
      <c r="G52" t="s">
        <v>223</v>
      </c>
      <c r="H52">
        <v>1</v>
      </c>
    </row>
    <row r="53" spans="1:8" x14ac:dyDescent="0.35">
      <c r="A53" t="s">
        <v>274</v>
      </c>
      <c r="B53">
        <v>2019</v>
      </c>
      <c r="C53" t="s">
        <v>740</v>
      </c>
      <c r="D53" t="s">
        <v>741</v>
      </c>
      <c r="E53" t="b">
        <v>1</v>
      </c>
      <c r="F53" t="s">
        <v>250</v>
      </c>
      <c r="G53" t="s">
        <v>238</v>
      </c>
      <c r="H53">
        <v>0.5</v>
      </c>
    </row>
    <row r="54" spans="1:8" x14ac:dyDescent="0.35">
      <c r="A54" t="s">
        <v>277</v>
      </c>
      <c r="B54">
        <v>2019</v>
      </c>
      <c r="C54" t="s">
        <v>278</v>
      </c>
      <c r="D54" t="s">
        <v>742</v>
      </c>
      <c r="E54" t="b">
        <v>0</v>
      </c>
      <c r="F54" t="s">
        <v>743</v>
      </c>
      <c r="G54" t="s">
        <v>222</v>
      </c>
      <c r="H54">
        <v>0.9</v>
      </c>
    </row>
    <row r="55" spans="1:8" x14ac:dyDescent="0.35">
      <c r="A55" t="s">
        <v>280</v>
      </c>
      <c r="B55">
        <v>2019</v>
      </c>
      <c r="C55" t="s">
        <v>281</v>
      </c>
      <c r="D55" t="s">
        <v>744</v>
      </c>
      <c r="E55" t="b">
        <v>1</v>
      </c>
      <c r="F55" t="s">
        <v>745</v>
      </c>
      <c r="G55" t="s">
        <v>223</v>
      </c>
      <c r="H55">
        <v>1</v>
      </c>
    </row>
    <row r="56" spans="1:8" x14ac:dyDescent="0.35">
      <c r="A56" t="s">
        <v>283</v>
      </c>
      <c r="B56">
        <v>2019</v>
      </c>
      <c r="C56" t="s">
        <v>284</v>
      </c>
      <c r="D56" t="s">
        <v>285</v>
      </c>
      <c r="E56" t="b">
        <v>1</v>
      </c>
      <c r="F56" t="s">
        <v>746</v>
      </c>
      <c r="G56" t="s">
        <v>223</v>
      </c>
      <c r="H56">
        <v>1</v>
      </c>
    </row>
    <row r="57" spans="1:8" x14ac:dyDescent="0.35">
      <c r="A57" t="s">
        <v>286</v>
      </c>
      <c r="B57">
        <v>2019</v>
      </c>
      <c r="C57" t="s">
        <v>287</v>
      </c>
      <c r="D57" t="s">
        <v>288</v>
      </c>
      <c r="E57" t="b">
        <v>1</v>
      </c>
      <c r="F57" t="s">
        <v>747</v>
      </c>
      <c r="G57" t="s">
        <v>223</v>
      </c>
      <c r="H57">
        <v>1</v>
      </c>
    </row>
    <row r="58" spans="1:8" x14ac:dyDescent="0.35">
      <c r="A58" t="s">
        <v>289</v>
      </c>
      <c r="B58">
        <v>2019</v>
      </c>
      <c r="C58" t="s">
        <v>290</v>
      </c>
      <c r="D58" t="s">
        <v>748</v>
      </c>
      <c r="E58" t="b">
        <v>1</v>
      </c>
      <c r="F58" t="s">
        <v>749</v>
      </c>
      <c r="G58" t="s">
        <v>223</v>
      </c>
      <c r="H58">
        <v>1</v>
      </c>
    </row>
    <row r="59" spans="1:8" x14ac:dyDescent="0.35">
      <c r="A59" t="s">
        <v>292</v>
      </c>
      <c r="B59">
        <v>2019</v>
      </c>
      <c r="C59" t="s">
        <v>293</v>
      </c>
      <c r="D59" t="s">
        <v>750</v>
      </c>
      <c r="E59" t="b">
        <v>1</v>
      </c>
      <c r="F59" t="s">
        <v>250</v>
      </c>
      <c r="G59" t="s">
        <v>238</v>
      </c>
      <c r="H59">
        <v>0.5</v>
      </c>
    </row>
    <row r="60" spans="1:8" x14ac:dyDescent="0.35">
      <c r="A60" t="s">
        <v>295</v>
      </c>
      <c r="B60">
        <v>2019</v>
      </c>
      <c r="C60" t="s">
        <v>296</v>
      </c>
      <c r="D60" t="s">
        <v>297</v>
      </c>
      <c r="E60" t="b">
        <v>1</v>
      </c>
      <c r="F60" t="s">
        <v>751</v>
      </c>
      <c r="G60" t="s">
        <v>223</v>
      </c>
      <c r="H60">
        <v>1</v>
      </c>
    </row>
    <row r="61" spans="1:8" x14ac:dyDescent="0.35">
      <c r="A61" t="s">
        <v>298</v>
      </c>
      <c r="B61">
        <v>2019</v>
      </c>
      <c r="C61" t="s">
        <v>299</v>
      </c>
      <c r="D61" t="s">
        <v>752</v>
      </c>
      <c r="E61" t="b">
        <v>0</v>
      </c>
      <c r="F61" t="s">
        <v>753</v>
      </c>
      <c r="G61" t="s">
        <v>222</v>
      </c>
      <c r="H61">
        <v>0.9</v>
      </c>
    </row>
    <row r="62" spans="1:8" x14ac:dyDescent="0.35">
      <c r="A62" t="s">
        <v>301</v>
      </c>
      <c r="B62">
        <v>2019</v>
      </c>
      <c r="C62" t="s">
        <v>302</v>
      </c>
      <c r="D62" t="s">
        <v>754</v>
      </c>
      <c r="E62" t="b">
        <v>1</v>
      </c>
      <c r="F62" t="s">
        <v>250</v>
      </c>
      <c r="G62" t="s">
        <v>238</v>
      </c>
      <c r="H62">
        <v>0.5</v>
      </c>
    </row>
    <row r="63" spans="1:8" x14ac:dyDescent="0.35">
      <c r="A63" t="s">
        <v>304</v>
      </c>
      <c r="B63">
        <v>2019</v>
      </c>
      <c r="C63" t="s">
        <v>305</v>
      </c>
      <c r="D63" t="s">
        <v>755</v>
      </c>
      <c r="E63" t="b">
        <v>1</v>
      </c>
      <c r="F63" t="s">
        <v>756</v>
      </c>
      <c r="G63" t="s">
        <v>223</v>
      </c>
      <c r="H63">
        <v>1</v>
      </c>
    </row>
    <row r="64" spans="1:8" x14ac:dyDescent="0.35">
      <c r="A64" t="s">
        <v>307</v>
      </c>
      <c r="B64">
        <v>2019</v>
      </c>
      <c r="C64" t="s">
        <v>308</v>
      </c>
      <c r="D64" t="s">
        <v>309</v>
      </c>
      <c r="E64" t="b">
        <v>1</v>
      </c>
      <c r="F64" t="s">
        <v>757</v>
      </c>
      <c r="G64" t="s">
        <v>223</v>
      </c>
      <c r="H64">
        <v>1</v>
      </c>
    </row>
    <row r="65" spans="1:8" x14ac:dyDescent="0.35">
      <c r="A65" t="s">
        <v>310</v>
      </c>
      <c r="B65">
        <v>2019</v>
      </c>
      <c r="C65" t="s">
        <v>311</v>
      </c>
      <c r="D65" t="s">
        <v>758</v>
      </c>
      <c r="E65" t="b">
        <v>1</v>
      </c>
      <c r="F65" t="s">
        <v>250</v>
      </c>
      <c r="G65" t="s">
        <v>238</v>
      </c>
      <c r="H65">
        <v>0.5</v>
      </c>
    </row>
    <row r="66" spans="1:8" x14ac:dyDescent="0.35">
      <c r="A66" t="s">
        <v>313</v>
      </c>
      <c r="B66">
        <v>2019</v>
      </c>
      <c r="C66" t="s">
        <v>314</v>
      </c>
      <c r="D66" t="s">
        <v>315</v>
      </c>
      <c r="E66" t="b">
        <v>1</v>
      </c>
      <c r="F66" t="s">
        <v>759</v>
      </c>
      <c r="G66" t="s">
        <v>223</v>
      </c>
      <c r="H66">
        <v>1</v>
      </c>
    </row>
    <row r="67" spans="1:8" x14ac:dyDescent="0.35">
      <c r="A67" t="s">
        <v>316</v>
      </c>
      <c r="B67">
        <v>2019</v>
      </c>
      <c r="C67" t="s">
        <v>317</v>
      </c>
      <c r="D67" t="s">
        <v>760</v>
      </c>
      <c r="E67" t="b">
        <v>1</v>
      </c>
      <c r="F67" t="s">
        <v>250</v>
      </c>
      <c r="G67" t="s">
        <v>238</v>
      </c>
      <c r="H67">
        <v>0.5</v>
      </c>
    </row>
    <row r="68" spans="1:8" x14ac:dyDescent="0.35">
      <c r="A68" t="s">
        <v>319</v>
      </c>
      <c r="B68">
        <v>2019</v>
      </c>
      <c r="C68" t="s">
        <v>761</v>
      </c>
      <c r="D68" t="s">
        <v>762</v>
      </c>
      <c r="E68" t="b">
        <v>1</v>
      </c>
      <c r="F68" t="s">
        <v>763</v>
      </c>
      <c r="G68" t="s">
        <v>223</v>
      </c>
      <c r="H68">
        <v>0.9</v>
      </c>
    </row>
    <row r="69" spans="1:8" x14ac:dyDescent="0.35">
      <c r="A69" t="s">
        <v>322</v>
      </c>
      <c r="B69">
        <v>2019</v>
      </c>
      <c r="C69" t="s">
        <v>323</v>
      </c>
      <c r="D69" t="s">
        <v>764</v>
      </c>
      <c r="E69" t="b">
        <v>0</v>
      </c>
      <c r="F69" t="s">
        <v>765</v>
      </c>
      <c r="G69" t="s">
        <v>222</v>
      </c>
      <c r="H69">
        <v>1</v>
      </c>
    </row>
    <row r="70" spans="1:8" ht="409.5" x14ac:dyDescent="0.35">
      <c r="A70" t="s">
        <v>325</v>
      </c>
      <c r="B70">
        <v>2019</v>
      </c>
      <c r="C70" t="s">
        <v>326</v>
      </c>
      <c r="D70" s="1" t="s">
        <v>327</v>
      </c>
      <c r="E70" t="b">
        <v>0</v>
      </c>
      <c r="F70" t="s">
        <v>766</v>
      </c>
      <c r="G70" t="s">
        <v>222</v>
      </c>
      <c r="H70">
        <v>1</v>
      </c>
    </row>
    <row r="71" spans="1:8" x14ac:dyDescent="0.35">
      <c r="A71" t="s">
        <v>328</v>
      </c>
      <c r="B71">
        <v>2019</v>
      </c>
      <c r="C71" t="s">
        <v>767</v>
      </c>
      <c r="D71" t="s">
        <v>768</v>
      </c>
      <c r="E71" t="b">
        <v>1</v>
      </c>
      <c r="F71" t="s">
        <v>250</v>
      </c>
      <c r="G71" t="s">
        <v>238</v>
      </c>
      <c r="H71">
        <v>0.5</v>
      </c>
    </row>
    <row r="72" spans="1:8" ht="409.5" x14ac:dyDescent="0.35">
      <c r="A72" t="s">
        <v>331</v>
      </c>
      <c r="B72">
        <v>2019</v>
      </c>
      <c r="C72" t="s">
        <v>332</v>
      </c>
      <c r="D72" s="1" t="s">
        <v>333</v>
      </c>
      <c r="E72" t="b">
        <v>1</v>
      </c>
      <c r="F72" t="s">
        <v>769</v>
      </c>
      <c r="G72" t="s">
        <v>223</v>
      </c>
      <c r="H72">
        <v>1</v>
      </c>
    </row>
    <row r="73" spans="1:8" x14ac:dyDescent="0.35">
      <c r="A73" t="s">
        <v>334</v>
      </c>
      <c r="B73">
        <v>2019</v>
      </c>
      <c r="C73" t="s">
        <v>335</v>
      </c>
      <c r="D73" t="s">
        <v>336</v>
      </c>
      <c r="E73" t="b">
        <v>0</v>
      </c>
      <c r="F73" t="s">
        <v>770</v>
      </c>
      <c r="G73" t="s">
        <v>222</v>
      </c>
      <c r="H73">
        <v>1</v>
      </c>
    </row>
    <row r="74" spans="1:8" x14ac:dyDescent="0.35">
      <c r="A74" t="s">
        <v>337</v>
      </c>
      <c r="B74">
        <v>2019</v>
      </c>
      <c r="C74" t="s">
        <v>338</v>
      </c>
      <c r="D74" t="s">
        <v>339</v>
      </c>
      <c r="E74" t="b">
        <v>1</v>
      </c>
      <c r="F74" t="s">
        <v>771</v>
      </c>
      <c r="G74" t="s">
        <v>223</v>
      </c>
      <c r="H74">
        <v>1</v>
      </c>
    </row>
    <row r="75" spans="1:8" x14ac:dyDescent="0.35">
      <c r="A75" t="s">
        <v>340</v>
      </c>
      <c r="B75">
        <v>2019</v>
      </c>
      <c r="C75" t="s">
        <v>341</v>
      </c>
      <c r="D75" t="s">
        <v>342</v>
      </c>
      <c r="E75" t="b">
        <v>1</v>
      </c>
      <c r="F75" t="s">
        <v>772</v>
      </c>
      <c r="G75" t="s">
        <v>223</v>
      </c>
      <c r="H75">
        <v>1</v>
      </c>
    </row>
    <row r="76" spans="1:8" x14ac:dyDescent="0.35">
      <c r="A76" t="s">
        <v>343</v>
      </c>
      <c r="B76">
        <v>2019</v>
      </c>
      <c r="C76" t="s">
        <v>344</v>
      </c>
      <c r="D76" t="s">
        <v>773</v>
      </c>
      <c r="E76" t="b">
        <v>1</v>
      </c>
      <c r="F76" t="s">
        <v>774</v>
      </c>
      <c r="G76" t="s">
        <v>223</v>
      </c>
      <c r="H76">
        <v>1</v>
      </c>
    </row>
    <row r="77" spans="1:8" x14ac:dyDescent="0.35">
      <c r="A77" t="s">
        <v>346</v>
      </c>
      <c r="B77">
        <v>2019</v>
      </c>
      <c r="C77" t="s">
        <v>347</v>
      </c>
      <c r="D77" t="s">
        <v>775</v>
      </c>
      <c r="E77" t="b">
        <v>1</v>
      </c>
      <c r="F77" t="s">
        <v>776</v>
      </c>
      <c r="G77" t="s">
        <v>223</v>
      </c>
      <c r="H77">
        <v>1</v>
      </c>
    </row>
    <row r="78" spans="1:8" x14ac:dyDescent="0.35">
      <c r="A78" t="s">
        <v>349</v>
      </c>
      <c r="B78">
        <v>2019</v>
      </c>
      <c r="C78" t="s">
        <v>350</v>
      </c>
      <c r="D78" t="s">
        <v>777</v>
      </c>
      <c r="E78" t="b">
        <v>0</v>
      </c>
      <c r="F78" t="s">
        <v>778</v>
      </c>
      <c r="G78" t="s">
        <v>222</v>
      </c>
      <c r="H78">
        <v>1</v>
      </c>
    </row>
    <row r="79" spans="1:8" x14ac:dyDescent="0.35">
      <c r="A79" t="s">
        <v>352</v>
      </c>
      <c r="B79">
        <v>2019</v>
      </c>
      <c r="C79" t="s">
        <v>353</v>
      </c>
      <c r="D79" t="s">
        <v>354</v>
      </c>
      <c r="E79" t="b">
        <v>0</v>
      </c>
      <c r="F79" t="s">
        <v>779</v>
      </c>
      <c r="G79" t="s">
        <v>222</v>
      </c>
      <c r="H79">
        <v>0.9</v>
      </c>
    </row>
    <row r="80" spans="1:8" x14ac:dyDescent="0.35">
      <c r="A80" t="s">
        <v>355</v>
      </c>
      <c r="B80">
        <v>2019</v>
      </c>
      <c r="C80" t="s">
        <v>353</v>
      </c>
      <c r="D80" t="s">
        <v>357</v>
      </c>
      <c r="E80" t="b">
        <v>0</v>
      </c>
      <c r="F80" t="s">
        <v>780</v>
      </c>
      <c r="G80" t="s">
        <v>222</v>
      </c>
      <c r="H80">
        <v>1</v>
      </c>
    </row>
    <row r="81" spans="1:8" x14ac:dyDescent="0.35">
      <c r="A81" t="s">
        <v>358</v>
      </c>
      <c r="B81">
        <v>2019</v>
      </c>
      <c r="C81" t="s">
        <v>359</v>
      </c>
      <c r="D81" t="s">
        <v>781</v>
      </c>
      <c r="E81" t="b">
        <v>0</v>
      </c>
      <c r="F81" t="s">
        <v>780</v>
      </c>
      <c r="G81" t="s">
        <v>222</v>
      </c>
      <c r="H81">
        <v>1</v>
      </c>
    </row>
    <row r="82" spans="1:8" x14ac:dyDescent="0.35">
      <c r="A82" t="s">
        <v>361</v>
      </c>
      <c r="B82">
        <v>2019</v>
      </c>
      <c r="C82" t="s">
        <v>362</v>
      </c>
      <c r="D82" t="s">
        <v>363</v>
      </c>
      <c r="E82" t="b">
        <v>1</v>
      </c>
      <c r="F82" t="s">
        <v>782</v>
      </c>
      <c r="G82" t="s">
        <v>223</v>
      </c>
      <c r="H82">
        <v>1</v>
      </c>
    </row>
    <row r="83" spans="1:8" x14ac:dyDescent="0.35">
      <c r="A83" t="s">
        <v>367</v>
      </c>
      <c r="B83">
        <v>2019</v>
      </c>
      <c r="C83" t="s">
        <v>368</v>
      </c>
      <c r="D83" t="s">
        <v>783</v>
      </c>
      <c r="E83" t="b">
        <v>1</v>
      </c>
      <c r="F83" t="s">
        <v>784</v>
      </c>
      <c r="G83" t="s">
        <v>223</v>
      </c>
      <c r="H83">
        <v>1</v>
      </c>
    </row>
    <row r="84" spans="1:8" x14ac:dyDescent="0.35">
      <c r="A84" t="s">
        <v>373</v>
      </c>
      <c r="B84">
        <v>2019</v>
      </c>
      <c r="C84" t="s">
        <v>374</v>
      </c>
      <c r="D84" t="s">
        <v>785</v>
      </c>
      <c r="E84" t="b">
        <v>0</v>
      </c>
      <c r="F84" t="s">
        <v>786</v>
      </c>
      <c r="G84" t="s">
        <v>222</v>
      </c>
      <c r="H84">
        <v>0.95</v>
      </c>
    </row>
    <row r="85" spans="1:8" x14ac:dyDescent="0.35">
      <c r="A85" t="s">
        <v>376</v>
      </c>
      <c r="B85">
        <v>2019</v>
      </c>
      <c r="C85" t="s">
        <v>377</v>
      </c>
      <c r="D85" t="s">
        <v>787</v>
      </c>
      <c r="E85" t="b">
        <v>1</v>
      </c>
      <c r="F85" t="s">
        <v>250</v>
      </c>
      <c r="G85" t="s">
        <v>238</v>
      </c>
      <c r="H85">
        <v>0.5</v>
      </c>
    </row>
    <row r="86" spans="1:8" ht="409.5" x14ac:dyDescent="0.35">
      <c r="A86" t="s">
        <v>379</v>
      </c>
      <c r="B86">
        <v>2019</v>
      </c>
      <c r="C86" t="s">
        <v>380</v>
      </c>
      <c r="D86" s="1" t="s">
        <v>381</v>
      </c>
      <c r="E86" t="b">
        <v>1</v>
      </c>
      <c r="F86" t="s">
        <v>788</v>
      </c>
      <c r="G86" t="s">
        <v>223</v>
      </c>
      <c r="H86">
        <v>1</v>
      </c>
    </row>
    <row r="87" spans="1:8" x14ac:dyDescent="0.35">
      <c r="A87" t="s">
        <v>382</v>
      </c>
      <c r="B87">
        <v>2019</v>
      </c>
      <c r="C87" t="s">
        <v>383</v>
      </c>
      <c r="D87" t="s">
        <v>789</v>
      </c>
      <c r="E87" t="b">
        <v>1</v>
      </c>
      <c r="F87" t="s">
        <v>250</v>
      </c>
      <c r="G87" t="s">
        <v>238</v>
      </c>
      <c r="H87">
        <v>0.5</v>
      </c>
    </row>
    <row r="88" spans="1:8" x14ac:dyDescent="0.35">
      <c r="A88" t="s">
        <v>385</v>
      </c>
      <c r="B88">
        <v>2019</v>
      </c>
      <c r="C88" t="s">
        <v>386</v>
      </c>
      <c r="D88" t="s">
        <v>387</v>
      </c>
      <c r="E88" t="b">
        <v>0</v>
      </c>
      <c r="F88" t="s">
        <v>790</v>
      </c>
      <c r="G88" t="s">
        <v>222</v>
      </c>
      <c r="H88">
        <v>1</v>
      </c>
    </row>
    <row r="89" spans="1:8" x14ac:dyDescent="0.35">
      <c r="A89" t="s">
        <v>388</v>
      </c>
      <c r="B89">
        <v>2019</v>
      </c>
      <c r="C89" t="s">
        <v>389</v>
      </c>
      <c r="D89" t="s">
        <v>791</v>
      </c>
      <c r="E89" t="b">
        <v>1</v>
      </c>
      <c r="F89" t="s">
        <v>792</v>
      </c>
      <c r="G89" t="s">
        <v>223</v>
      </c>
      <c r="H89">
        <v>1</v>
      </c>
    </row>
    <row r="90" spans="1:8" x14ac:dyDescent="0.35">
      <c r="A90" t="s">
        <v>391</v>
      </c>
      <c r="B90">
        <v>2019</v>
      </c>
      <c r="C90" t="s">
        <v>392</v>
      </c>
      <c r="D90" t="s">
        <v>393</v>
      </c>
      <c r="E90" t="b">
        <v>1</v>
      </c>
      <c r="F90" t="s">
        <v>793</v>
      </c>
      <c r="G90" t="s">
        <v>223</v>
      </c>
      <c r="H90">
        <v>0.9</v>
      </c>
    </row>
    <row r="91" spans="1:8" x14ac:dyDescent="0.35">
      <c r="A91" t="s">
        <v>394</v>
      </c>
      <c r="B91">
        <v>2019</v>
      </c>
      <c r="C91" t="s">
        <v>395</v>
      </c>
      <c r="D91" t="s">
        <v>396</v>
      </c>
      <c r="E91" t="b">
        <v>1</v>
      </c>
      <c r="F91" t="s">
        <v>794</v>
      </c>
      <c r="G91" t="s">
        <v>223</v>
      </c>
      <c r="H91">
        <v>1</v>
      </c>
    </row>
    <row r="92" spans="1:8" x14ac:dyDescent="0.35">
      <c r="A92" t="s">
        <v>397</v>
      </c>
      <c r="B92">
        <v>2019</v>
      </c>
      <c r="C92" t="s">
        <v>398</v>
      </c>
      <c r="D92" t="s">
        <v>399</v>
      </c>
      <c r="E92" t="b">
        <v>1</v>
      </c>
      <c r="F92" t="s">
        <v>795</v>
      </c>
      <c r="G92" t="s">
        <v>223</v>
      </c>
      <c r="H92">
        <v>1</v>
      </c>
    </row>
    <row r="93" spans="1:8" x14ac:dyDescent="0.35">
      <c r="A93" t="s">
        <v>400</v>
      </c>
      <c r="B93">
        <v>2019</v>
      </c>
      <c r="C93" t="s">
        <v>401</v>
      </c>
      <c r="D93" t="s">
        <v>402</v>
      </c>
      <c r="E93" t="b">
        <v>1</v>
      </c>
      <c r="F93" t="s">
        <v>796</v>
      </c>
      <c r="G93" t="s">
        <v>223</v>
      </c>
      <c r="H93">
        <v>1</v>
      </c>
    </row>
    <row r="94" spans="1:8" x14ac:dyDescent="0.35">
      <c r="A94" t="s">
        <v>403</v>
      </c>
      <c r="B94">
        <v>2019</v>
      </c>
      <c r="C94" t="s">
        <v>404</v>
      </c>
      <c r="D94" t="s">
        <v>797</v>
      </c>
      <c r="E94" t="b">
        <v>1</v>
      </c>
      <c r="F94" t="s">
        <v>250</v>
      </c>
      <c r="G94" t="s">
        <v>238</v>
      </c>
      <c r="H94">
        <v>0.5</v>
      </c>
    </row>
    <row r="95" spans="1:8" x14ac:dyDescent="0.35">
      <c r="A95" t="s">
        <v>406</v>
      </c>
      <c r="B95">
        <v>2019</v>
      </c>
      <c r="C95" t="s">
        <v>407</v>
      </c>
      <c r="D95" t="s">
        <v>408</v>
      </c>
      <c r="E95" t="b">
        <v>0</v>
      </c>
      <c r="F95" t="s">
        <v>798</v>
      </c>
      <c r="G95" t="s">
        <v>222</v>
      </c>
      <c r="H95">
        <v>1</v>
      </c>
    </row>
    <row r="96" spans="1:8" x14ac:dyDescent="0.35">
      <c r="A96" t="s">
        <v>409</v>
      </c>
      <c r="B96">
        <v>2019</v>
      </c>
      <c r="C96" t="s">
        <v>410</v>
      </c>
      <c r="D96" t="s">
        <v>799</v>
      </c>
      <c r="E96" t="b">
        <v>0</v>
      </c>
      <c r="F96" t="s">
        <v>800</v>
      </c>
      <c r="G96" t="s">
        <v>222</v>
      </c>
      <c r="H96">
        <v>1</v>
      </c>
    </row>
    <row r="97" spans="1:8" x14ac:dyDescent="0.35">
      <c r="A97" t="s">
        <v>412</v>
      </c>
      <c r="B97">
        <v>2019</v>
      </c>
      <c r="C97" t="s">
        <v>413</v>
      </c>
      <c r="D97" t="s">
        <v>801</v>
      </c>
      <c r="E97" t="b">
        <v>1</v>
      </c>
      <c r="F97" t="s">
        <v>802</v>
      </c>
      <c r="G97" t="s">
        <v>223</v>
      </c>
      <c r="H97">
        <v>1</v>
      </c>
    </row>
    <row r="98" spans="1:8" x14ac:dyDescent="0.35">
      <c r="A98" t="s">
        <v>415</v>
      </c>
      <c r="B98">
        <v>2019</v>
      </c>
      <c r="C98" t="s">
        <v>416</v>
      </c>
      <c r="D98" t="s">
        <v>803</v>
      </c>
      <c r="E98" t="b">
        <v>1</v>
      </c>
      <c r="F98" t="s">
        <v>250</v>
      </c>
      <c r="G98" t="s">
        <v>238</v>
      </c>
      <c r="H98">
        <v>0.5</v>
      </c>
    </row>
    <row r="99" spans="1:8" x14ac:dyDescent="0.35">
      <c r="A99" t="s">
        <v>418</v>
      </c>
      <c r="B99">
        <v>2021</v>
      </c>
      <c r="C99" t="s">
        <v>419</v>
      </c>
      <c r="D99" t="s">
        <v>804</v>
      </c>
      <c r="E99" t="b">
        <v>1</v>
      </c>
      <c r="F99" t="s">
        <v>805</v>
      </c>
      <c r="G99" t="s">
        <v>223</v>
      </c>
      <c r="H99">
        <v>0.9</v>
      </c>
    </row>
    <row r="100" spans="1:8" x14ac:dyDescent="0.35">
      <c r="A100" t="s">
        <v>421</v>
      </c>
      <c r="B100">
        <v>2021</v>
      </c>
      <c r="C100" t="s">
        <v>422</v>
      </c>
      <c r="D100" t="s">
        <v>806</v>
      </c>
      <c r="E100" t="b">
        <v>0</v>
      </c>
      <c r="F100" t="s">
        <v>807</v>
      </c>
      <c r="G100" t="s">
        <v>222</v>
      </c>
      <c r="H100">
        <v>1</v>
      </c>
    </row>
    <row r="101" spans="1:8" x14ac:dyDescent="0.35">
      <c r="A101" t="s">
        <v>424</v>
      </c>
      <c r="B101">
        <v>2021</v>
      </c>
      <c r="C101" t="s">
        <v>425</v>
      </c>
      <c r="D101" t="s">
        <v>426</v>
      </c>
      <c r="E101" t="b">
        <v>1</v>
      </c>
      <c r="F101" t="s">
        <v>808</v>
      </c>
      <c r="G101" t="s">
        <v>223</v>
      </c>
      <c r="H101">
        <v>1</v>
      </c>
    </row>
    <row r="102" spans="1:8" x14ac:dyDescent="0.35">
      <c r="A102" t="s">
        <v>427</v>
      </c>
      <c r="B102">
        <v>2021</v>
      </c>
      <c r="C102" t="s">
        <v>809</v>
      </c>
      <c r="D102" t="s">
        <v>810</v>
      </c>
      <c r="E102" t="b">
        <v>1</v>
      </c>
      <c r="F102" t="s">
        <v>250</v>
      </c>
      <c r="G102" t="s">
        <v>238</v>
      </c>
      <c r="H102">
        <v>0.5</v>
      </c>
    </row>
    <row r="103" spans="1:8" x14ac:dyDescent="0.35">
      <c r="A103" t="s">
        <v>430</v>
      </c>
      <c r="B103">
        <v>2021</v>
      </c>
      <c r="C103" t="s">
        <v>431</v>
      </c>
      <c r="D103" t="s">
        <v>811</v>
      </c>
      <c r="E103" t="b">
        <v>1</v>
      </c>
      <c r="F103" t="s">
        <v>250</v>
      </c>
      <c r="G103" t="s">
        <v>238</v>
      </c>
      <c r="H103">
        <v>0.5</v>
      </c>
    </row>
    <row r="104" spans="1:8" x14ac:dyDescent="0.35">
      <c r="A104" t="s">
        <v>433</v>
      </c>
      <c r="B104">
        <v>2021</v>
      </c>
      <c r="C104" t="s">
        <v>812</v>
      </c>
      <c r="D104" t="s">
        <v>813</v>
      </c>
      <c r="E104" t="b">
        <v>1</v>
      </c>
      <c r="F104" t="s">
        <v>250</v>
      </c>
      <c r="G104" t="s">
        <v>238</v>
      </c>
      <c r="H104">
        <v>0.5</v>
      </c>
    </row>
    <row r="105" spans="1:8" x14ac:dyDescent="0.35">
      <c r="A105" t="s">
        <v>436</v>
      </c>
      <c r="B105">
        <v>2021</v>
      </c>
      <c r="C105" t="s">
        <v>437</v>
      </c>
      <c r="D105" t="s">
        <v>438</v>
      </c>
      <c r="E105" t="b">
        <v>1</v>
      </c>
      <c r="F105" t="s">
        <v>814</v>
      </c>
      <c r="G105" t="s">
        <v>223</v>
      </c>
      <c r="H105">
        <v>1</v>
      </c>
    </row>
    <row r="106" spans="1:8" x14ac:dyDescent="0.35">
      <c r="A106" t="s">
        <v>439</v>
      </c>
      <c r="B106">
        <v>2021</v>
      </c>
      <c r="C106" t="s">
        <v>440</v>
      </c>
      <c r="D106" t="s">
        <v>815</v>
      </c>
      <c r="E106" t="b">
        <v>0</v>
      </c>
      <c r="F106" t="s">
        <v>816</v>
      </c>
      <c r="G106" t="s">
        <v>222</v>
      </c>
      <c r="H106">
        <v>1</v>
      </c>
    </row>
    <row r="107" spans="1:8" x14ac:dyDescent="0.35">
      <c r="A107" t="s">
        <v>442</v>
      </c>
      <c r="B107">
        <v>2021</v>
      </c>
      <c r="C107" t="s">
        <v>443</v>
      </c>
      <c r="D107" t="s">
        <v>817</v>
      </c>
      <c r="E107" t="b">
        <v>0</v>
      </c>
      <c r="F107" t="s">
        <v>818</v>
      </c>
      <c r="G107" t="s">
        <v>222</v>
      </c>
      <c r="H107">
        <v>1</v>
      </c>
    </row>
    <row r="108" spans="1:8" x14ac:dyDescent="0.35">
      <c r="A108" t="s">
        <v>445</v>
      </c>
      <c r="B108">
        <v>2021</v>
      </c>
      <c r="C108" t="s">
        <v>446</v>
      </c>
      <c r="D108" t="s">
        <v>819</v>
      </c>
      <c r="E108" t="b">
        <v>0</v>
      </c>
      <c r="F108" t="s">
        <v>820</v>
      </c>
      <c r="G108" t="s">
        <v>222</v>
      </c>
      <c r="H108">
        <v>1</v>
      </c>
    </row>
    <row r="109" spans="1:8" x14ac:dyDescent="0.35">
      <c r="A109" t="s">
        <v>448</v>
      </c>
      <c r="B109">
        <v>2021</v>
      </c>
      <c r="C109" t="s">
        <v>449</v>
      </c>
      <c r="D109" t="s">
        <v>821</v>
      </c>
      <c r="E109" t="b">
        <v>1</v>
      </c>
      <c r="F109" t="s">
        <v>822</v>
      </c>
      <c r="G109" t="s">
        <v>223</v>
      </c>
      <c r="H109">
        <v>1</v>
      </c>
    </row>
    <row r="110" spans="1:8" x14ac:dyDescent="0.35">
      <c r="A110" t="s">
        <v>451</v>
      </c>
      <c r="B110">
        <v>2021</v>
      </c>
      <c r="C110" t="s">
        <v>452</v>
      </c>
      <c r="D110" t="s">
        <v>823</v>
      </c>
      <c r="E110" t="b">
        <v>1</v>
      </c>
      <c r="F110" t="s">
        <v>250</v>
      </c>
      <c r="G110" t="s">
        <v>238</v>
      </c>
      <c r="H110">
        <v>0.5</v>
      </c>
    </row>
    <row r="111" spans="1:8" x14ac:dyDescent="0.35">
      <c r="A111" t="s">
        <v>454</v>
      </c>
      <c r="B111">
        <v>2021</v>
      </c>
      <c r="C111" t="s">
        <v>455</v>
      </c>
      <c r="D111" t="s">
        <v>824</v>
      </c>
      <c r="E111" t="b">
        <v>1</v>
      </c>
      <c r="F111" t="s">
        <v>825</v>
      </c>
      <c r="G111" t="s">
        <v>223</v>
      </c>
      <c r="H111">
        <v>1</v>
      </c>
    </row>
    <row r="112" spans="1:8" x14ac:dyDescent="0.35">
      <c r="A112" t="s">
        <v>457</v>
      </c>
      <c r="B112">
        <v>2021</v>
      </c>
      <c r="C112" t="s">
        <v>458</v>
      </c>
      <c r="D112" t="s">
        <v>826</v>
      </c>
      <c r="E112" t="b">
        <v>1</v>
      </c>
      <c r="F112" t="s">
        <v>827</v>
      </c>
      <c r="G112" t="s">
        <v>223</v>
      </c>
      <c r="H112">
        <v>0.95</v>
      </c>
    </row>
    <row r="113" spans="1:8" x14ac:dyDescent="0.35">
      <c r="A113" t="s">
        <v>460</v>
      </c>
      <c r="B113">
        <v>2021</v>
      </c>
      <c r="C113" t="s">
        <v>461</v>
      </c>
      <c r="D113" t="s">
        <v>828</v>
      </c>
      <c r="E113" t="b">
        <v>1</v>
      </c>
      <c r="F113" t="s">
        <v>829</v>
      </c>
      <c r="G113" t="s">
        <v>223</v>
      </c>
      <c r="H113">
        <v>1</v>
      </c>
    </row>
    <row r="114" spans="1:8" x14ac:dyDescent="0.35">
      <c r="A114" t="s">
        <v>463</v>
      </c>
      <c r="B114">
        <v>2021</v>
      </c>
      <c r="C114" t="s">
        <v>464</v>
      </c>
      <c r="D114" t="s">
        <v>830</v>
      </c>
      <c r="E114" t="b">
        <v>1</v>
      </c>
      <c r="F114" t="s">
        <v>831</v>
      </c>
      <c r="G114" t="s">
        <v>223</v>
      </c>
      <c r="H114">
        <v>1</v>
      </c>
    </row>
    <row r="115" spans="1:8" x14ac:dyDescent="0.35">
      <c r="A115" t="s">
        <v>466</v>
      </c>
      <c r="B115">
        <v>2021</v>
      </c>
      <c r="C115" t="s">
        <v>467</v>
      </c>
      <c r="D115" t="s">
        <v>832</v>
      </c>
      <c r="E115" t="b">
        <v>1</v>
      </c>
      <c r="F115" t="s">
        <v>833</v>
      </c>
      <c r="G115" t="s">
        <v>223</v>
      </c>
      <c r="H115">
        <v>1</v>
      </c>
    </row>
    <row r="116" spans="1:8" x14ac:dyDescent="0.35">
      <c r="A116" t="s">
        <v>469</v>
      </c>
      <c r="B116">
        <v>2021</v>
      </c>
      <c r="C116" t="s">
        <v>470</v>
      </c>
      <c r="D116" t="s">
        <v>834</v>
      </c>
      <c r="E116" t="b">
        <v>1</v>
      </c>
      <c r="F116" t="s">
        <v>835</v>
      </c>
      <c r="G116" t="s">
        <v>223</v>
      </c>
      <c r="H116">
        <v>0.9</v>
      </c>
    </row>
    <row r="117" spans="1:8" x14ac:dyDescent="0.35">
      <c r="A117" t="s">
        <v>472</v>
      </c>
      <c r="B117">
        <v>2021</v>
      </c>
      <c r="C117" t="s">
        <v>473</v>
      </c>
      <c r="D117" t="s">
        <v>836</v>
      </c>
      <c r="E117" t="b">
        <v>1</v>
      </c>
      <c r="F117" t="s">
        <v>837</v>
      </c>
      <c r="G117" t="s">
        <v>223</v>
      </c>
      <c r="H117">
        <v>1</v>
      </c>
    </row>
    <row r="118" spans="1:8" x14ac:dyDescent="0.35">
      <c r="A118" t="s">
        <v>475</v>
      </c>
      <c r="B118">
        <v>2021</v>
      </c>
      <c r="C118" t="s">
        <v>476</v>
      </c>
      <c r="D118" t="s">
        <v>838</v>
      </c>
      <c r="E118" t="b">
        <v>1</v>
      </c>
      <c r="F118" t="s">
        <v>250</v>
      </c>
      <c r="G118" t="s">
        <v>238</v>
      </c>
      <c r="H118">
        <v>0.5</v>
      </c>
    </row>
    <row r="119" spans="1:8" ht="409.5" x14ac:dyDescent="0.35">
      <c r="A119" t="s">
        <v>478</v>
      </c>
      <c r="B119">
        <v>2021</v>
      </c>
      <c r="C119" t="s">
        <v>479</v>
      </c>
      <c r="D119" s="1" t="s">
        <v>480</v>
      </c>
      <c r="E119" t="b">
        <v>1</v>
      </c>
      <c r="F119" t="s">
        <v>839</v>
      </c>
      <c r="G119" t="s">
        <v>223</v>
      </c>
      <c r="H119">
        <v>1</v>
      </c>
    </row>
    <row r="120" spans="1:8" x14ac:dyDescent="0.35">
      <c r="A120" t="s">
        <v>481</v>
      </c>
      <c r="B120">
        <v>2021</v>
      </c>
      <c r="C120" t="s">
        <v>482</v>
      </c>
      <c r="D120" t="s">
        <v>483</v>
      </c>
      <c r="E120" t="b">
        <v>1</v>
      </c>
      <c r="F120" t="s">
        <v>840</v>
      </c>
      <c r="G120" t="s">
        <v>223</v>
      </c>
      <c r="H120">
        <v>0.9</v>
      </c>
    </row>
    <row r="121" spans="1:8" x14ac:dyDescent="0.35">
      <c r="A121" t="s">
        <v>484</v>
      </c>
      <c r="B121">
        <v>2021</v>
      </c>
      <c r="C121" t="s">
        <v>485</v>
      </c>
      <c r="D121" t="s">
        <v>841</v>
      </c>
      <c r="E121" t="b">
        <v>1</v>
      </c>
      <c r="F121" t="s">
        <v>842</v>
      </c>
      <c r="G121" t="s">
        <v>223</v>
      </c>
      <c r="H121">
        <v>1</v>
      </c>
    </row>
    <row r="122" spans="1:8" x14ac:dyDescent="0.35">
      <c r="A122" t="s">
        <v>487</v>
      </c>
      <c r="B122">
        <v>2021</v>
      </c>
      <c r="C122" t="s">
        <v>488</v>
      </c>
      <c r="D122" t="s">
        <v>843</v>
      </c>
      <c r="E122" t="b">
        <v>1</v>
      </c>
      <c r="F122" t="s">
        <v>250</v>
      </c>
      <c r="G122" t="s">
        <v>238</v>
      </c>
      <c r="H122">
        <v>0.5</v>
      </c>
    </row>
    <row r="123" spans="1:8" x14ac:dyDescent="0.35">
      <c r="A123" t="s">
        <v>490</v>
      </c>
      <c r="B123">
        <v>2021</v>
      </c>
      <c r="C123" t="s">
        <v>491</v>
      </c>
      <c r="D123" t="s">
        <v>844</v>
      </c>
      <c r="E123" t="b">
        <v>1</v>
      </c>
      <c r="F123" t="s">
        <v>250</v>
      </c>
      <c r="G123" t="s">
        <v>238</v>
      </c>
      <c r="H123">
        <v>0.5</v>
      </c>
    </row>
    <row r="124" spans="1:8" x14ac:dyDescent="0.35">
      <c r="A124" t="s">
        <v>493</v>
      </c>
      <c r="B124">
        <v>2021</v>
      </c>
      <c r="C124" t="s">
        <v>494</v>
      </c>
      <c r="D124" t="s">
        <v>845</v>
      </c>
      <c r="E124" t="b">
        <v>1</v>
      </c>
      <c r="F124" t="s">
        <v>846</v>
      </c>
      <c r="G124" t="s">
        <v>223</v>
      </c>
      <c r="H124">
        <v>1</v>
      </c>
    </row>
    <row r="125" spans="1:8" x14ac:dyDescent="0.35">
      <c r="A125" t="s">
        <v>496</v>
      </c>
      <c r="B125">
        <v>2021</v>
      </c>
      <c r="C125" t="s">
        <v>497</v>
      </c>
      <c r="D125" t="s">
        <v>498</v>
      </c>
      <c r="E125" t="b">
        <v>1</v>
      </c>
      <c r="F125" t="s">
        <v>847</v>
      </c>
      <c r="G125" t="s">
        <v>223</v>
      </c>
      <c r="H125">
        <v>1</v>
      </c>
    </row>
    <row r="126" spans="1:8" x14ac:dyDescent="0.35">
      <c r="A126" t="s">
        <v>499</v>
      </c>
      <c r="B126">
        <v>2021</v>
      </c>
      <c r="C126" t="s">
        <v>848</v>
      </c>
      <c r="D126" t="s">
        <v>849</v>
      </c>
      <c r="E126" t="b">
        <v>1</v>
      </c>
      <c r="F126" t="s">
        <v>250</v>
      </c>
      <c r="G126" t="s">
        <v>238</v>
      </c>
      <c r="H126">
        <v>0.5</v>
      </c>
    </row>
    <row r="127" spans="1:8" x14ac:dyDescent="0.35">
      <c r="A127" t="s">
        <v>502</v>
      </c>
      <c r="B127">
        <v>2021</v>
      </c>
      <c r="C127" t="s">
        <v>850</v>
      </c>
      <c r="D127" t="s">
        <v>851</v>
      </c>
      <c r="E127" t="b">
        <v>1</v>
      </c>
      <c r="F127" t="s">
        <v>852</v>
      </c>
      <c r="G127" t="s">
        <v>223</v>
      </c>
      <c r="H127">
        <v>0.9</v>
      </c>
    </row>
    <row r="128" spans="1:8" x14ac:dyDescent="0.35">
      <c r="A128" t="s">
        <v>505</v>
      </c>
      <c r="B128">
        <v>2021</v>
      </c>
      <c r="C128" t="s">
        <v>506</v>
      </c>
      <c r="D128" t="s">
        <v>853</v>
      </c>
      <c r="E128" t="b">
        <v>0</v>
      </c>
      <c r="F128" t="s">
        <v>247</v>
      </c>
      <c r="G128" t="s">
        <v>222</v>
      </c>
      <c r="H128">
        <v>1</v>
      </c>
    </row>
    <row r="129" spans="1:8" x14ac:dyDescent="0.35">
      <c r="A129" t="s">
        <v>508</v>
      </c>
      <c r="B129">
        <v>2021</v>
      </c>
      <c r="C129" t="s">
        <v>509</v>
      </c>
      <c r="D129" t="s">
        <v>854</v>
      </c>
      <c r="E129" t="b">
        <v>0</v>
      </c>
      <c r="F129" t="s">
        <v>247</v>
      </c>
      <c r="G129" t="s">
        <v>222</v>
      </c>
      <c r="H129">
        <v>1</v>
      </c>
    </row>
    <row r="130" spans="1:8" x14ac:dyDescent="0.35">
      <c r="A130" t="s">
        <v>511</v>
      </c>
      <c r="B130">
        <v>2021</v>
      </c>
      <c r="C130" t="s">
        <v>512</v>
      </c>
      <c r="D130" t="s">
        <v>855</v>
      </c>
      <c r="E130" t="b">
        <v>1</v>
      </c>
      <c r="F130" t="s">
        <v>250</v>
      </c>
      <c r="G130" t="s">
        <v>238</v>
      </c>
      <c r="H130">
        <v>0.6</v>
      </c>
    </row>
    <row r="131" spans="1:8" x14ac:dyDescent="0.35">
      <c r="A131" t="s">
        <v>514</v>
      </c>
      <c r="B131">
        <v>2021</v>
      </c>
      <c r="C131" t="s">
        <v>515</v>
      </c>
      <c r="D131" t="s">
        <v>516</v>
      </c>
      <c r="E131" t="b">
        <v>1</v>
      </c>
      <c r="F131" t="s">
        <v>856</v>
      </c>
      <c r="G131" t="s">
        <v>223</v>
      </c>
      <c r="H131">
        <v>0.9</v>
      </c>
    </row>
    <row r="132" spans="1:8" ht="409.5" x14ac:dyDescent="0.35">
      <c r="A132" t="s">
        <v>517</v>
      </c>
      <c r="B132">
        <v>2021</v>
      </c>
      <c r="C132" t="s">
        <v>518</v>
      </c>
      <c r="D132" s="1" t="s">
        <v>519</v>
      </c>
      <c r="E132" t="b">
        <v>1</v>
      </c>
      <c r="F132" t="s">
        <v>857</v>
      </c>
      <c r="G132" t="s">
        <v>223</v>
      </c>
      <c r="H132">
        <v>1</v>
      </c>
    </row>
    <row r="133" spans="1:8" x14ac:dyDescent="0.35">
      <c r="A133" t="s">
        <v>520</v>
      </c>
      <c r="B133">
        <v>2021</v>
      </c>
      <c r="C133" t="s">
        <v>521</v>
      </c>
      <c r="D133" t="s">
        <v>858</v>
      </c>
      <c r="E133" t="b">
        <v>1</v>
      </c>
      <c r="F133" t="s">
        <v>859</v>
      </c>
      <c r="G133" t="s">
        <v>223</v>
      </c>
      <c r="H133">
        <v>1</v>
      </c>
    </row>
    <row r="134" spans="1:8" x14ac:dyDescent="0.35">
      <c r="A134" t="s">
        <v>523</v>
      </c>
      <c r="B134">
        <v>2021</v>
      </c>
      <c r="C134" t="s">
        <v>860</v>
      </c>
      <c r="D134" t="s">
        <v>861</v>
      </c>
      <c r="E134" t="b">
        <v>1</v>
      </c>
      <c r="F134" t="s">
        <v>250</v>
      </c>
      <c r="G134" t="s">
        <v>238</v>
      </c>
      <c r="H134">
        <v>0.5</v>
      </c>
    </row>
    <row r="135" spans="1:8" x14ac:dyDescent="0.35">
      <c r="A135" t="s">
        <v>526</v>
      </c>
      <c r="B135">
        <v>2021</v>
      </c>
      <c r="C135" t="s">
        <v>527</v>
      </c>
      <c r="D135" t="s">
        <v>528</v>
      </c>
      <c r="E135" t="b">
        <v>1</v>
      </c>
      <c r="F135" t="s">
        <v>862</v>
      </c>
      <c r="G135" t="s">
        <v>223</v>
      </c>
      <c r="H135">
        <v>1</v>
      </c>
    </row>
    <row r="136" spans="1:8" x14ac:dyDescent="0.35">
      <c r="A136" t="s">
        <v>529</v>
      </c>
      <c r="B136">
        <v>2021</v>
      </c>
      <c r="C136" t="s">
        <v>863</v>
      </c>
      <c r="D136" t="s">
        <v>864</v>
      </c>
      <c r="E136" t="b">
        <v>1</v>
      </c>
      <c r="F136" t="s">
        <v>250</v>
      </c>
      <c r="G136" t="s">
        <v>238</v>
      </c>
      <c r="H136">
        <v>0.5</v>
      </c>
    </row>
    <row r="137" spans="1:8" x14ac:dyDescent="0.35">
      <c r="A137" t="s">
        <v>532</v>
      </c>
      <c r="B137">
        <v>2021</v>
      </c>
      <c r="C137" t="s">
        <v>533</v>
      </c>
      <c r="D137" t="s">
        <v>865</v>
      </c>
      <c r="E137" t="b">
        <v>1</v>
      </c>
      <c r="F137" t="s">
        <v>866</v>
      </c>
      <c r="G137" t="s">
        <v>223</v>
      </c>
      <c r="H137">
        <v>0.9</v>
      </c>
    </row>
    <row r="138" spans="1:8" x14ac:dyDescent="0.35">
      <c r="A138" t="s">
        <v>535</v>
      </c>
      <c r="B138">
        <v>2021</v>
      </c>
      <c r="C138" t="s">
        <v>536</v>
      </c>
      <c r="D138" t="s">
        <v>537</v>
      </c>
      <c r="E138" t="b">
        <v>1</v>
      </c>
      <c r="F138" t="s">
        <v>867</v>
      </c>
      <c r="G138" t="s">
        <v>223</v>
      </c>
      <c r="H138">
        <v>1</v>
      </c>
    </row>
    <row r="139" spans="1:8" x14ac:dyDescent="0.35">
      <c r="A139" t="s">
        <v>538</v>
      </c>
      <c r="B139">
        <v>2021</v>
      </c>
      <c r="C139" t="s">
        <v>539</v>
      </c>
      <c r="D139" t="s">
        <v>868</v>
      </c>
      <c r="E139" t="b">
        <v>1</v>
      </c>
      <c r="F139" t="s">
        <v>250</v>
      </c>
      <c r="G139" t="s">
        <v>238</v>
      </c>
      <c r="H139">
        <v>0.5</v>
      </c>
    </row>
    <row r="140" spans="1:8" x14ac:dyDescent="0.35">
      <c r="A140" t="s">
        <v>541</v>
      </c>
      <c r="B140">
        <v>2021</v>
      </c>
      <c r="C140" t="s">
        <v>542</v>
      </c>
      <c r="D140" t="s">
        <v>543</v>
      </c>
      <c r="E140" t="b">
        <v>1</v>
      </c>
      <c r="F140" t="s">
        <v>250</v>
      </c>
      <c r="G140" t="s">
        <v>238</v>
      </c>
      <c r="H140">
        <v>0.5</v>
      </c>
    </row>
    <row r="141" spans="1:8" x14ac:dyDescent="0.35">
      <c r="A141" t="s">
        <v>544</v>
      </c>
      <c r="B141">
        <v>2021</v>
      </c>
      <c r="C141" t="s">
        <v>545</v>
      </c>
      <c r="D141" t="s">
        <v>869</v>
      </c>
      <c r="E141" t="b">
        <v>1</v>
      </c>
      <c r="F141" t="s">
        <v>870</v>
      </c>
      <c r="G141" t="s">
        <v>223</v>
      </c>
      <c r="H141">
        <v>1</v>
      </c>
    </row>
    <row r="142" spans="1:8" x14ac:dyDescent="0.35">
      <c r="A142" t="s">
        <v>547</v>
      </c>
      <c r="B142">
        <v>2021</v>
      </c>
      <c r="C142" t="s">
        <v>548</v>
      </c>
      <c r="D142" t="s">
        <v>549</v>
      </c>
      <c r="E142" t="b">
        <v>1</v>
      </c>
      <c r="F142" t="s">
        <v>250</v>
      </c>
      <c r="G142" t="s">
        <v>238</v>
      </c>
      <c r="H142">
        <v>0.5</v>
      </c>
    </row>
    <row r="143" spans="1:8" x14ac:dyDescent="0.35">
      <c r="A143" t="s">
        <v>550</v>
      </c>
      <c r="B143">
        <v>2021</v>
      </c>
      <c r="C143" t="s">
        <v>551</v>
      </c>
      <c r="D143" t="s">
        <v>871</v>
      </c>
      <c r="E143" t="b">
        <v>1</v>
      </c>
      <c r="F143" t="s">
        <v>872</v>
      </c>
      <c r="G143" t="s">
        <v>223</v>
      </c>
      <c r="H143">
        <v>1</v>
      </c>
    </row>
    <row r="144" spans="1:8" x14ac:dyDescent="0.35">
      <c r="A144" t="s">
        <v>553</v>
      </c>
      <c r="B144">
        <v>2021</v>
      </c>
      <c r="C144" t="s">
        <v>554</v>
      </c>
      <c r="D144" t="s">
        <v>873</v>
      </c>
      <c r="E144" t="b">
        <v>0</v>
      </c>
      <c r="F144" t="s">
        <v>874</v>
      </c>
      <c r="G144" t="s">
        <v>222</v>
      </c>
      <c r="H144">
        <v>1</v>
      </c>
    </row>
    <row r="145" spans="1:8" x14ac:dyDescent="0.35">
      <c r="A145" t="s">
        <v>556</v>
      </c>
      <c r="B145">
        <v>2021</v>
      </c>
      <c r="C145" t="s">
        <v>557</v>
      </c>
      <c r="D145" t="s">
        <v>875</v>
      </c>
      <c r="E145" t="b">
        <v>1</v>
      </c>
      <c r="F145" t="s">
        <v>876</v>
      </c>
      <c r="G145" t="s">
        <v>223</v>
      </c>
      <c r="H145">
        <v>1</v>
      </c>
    </row>
    <row r="146" spans="1:8" x14ac:dyDescent="0.35">
      <c r="A146" t="s">
        <v>559</v>
      </c>
      <c r="B146">
        <v>2021</v>
      </c>
      <c r="C146" t="s">
        <v>560</v>
      </c>
      <c r="D146" t="s">
        <v>877</v>
      </c>
      <c r="E146" t="b">
        <v>1</v>
      </c>
      <c r="F146" t="s">
        <v>878</v>
      </c>
      <c r="G146" t="s">
        <v>223</v>
      </c>
      <c r="H146">
        <v>1</v>
      </c>
    </row>
    <row r="147" spans="1:8" x14ac:dyDescent="0.35">
      <c r="A147" t="s">
        <v>562</v>
      </c>
      <c r="B147">
        <v>2021</v>
      </c>
      <c r="C147" t="s">
        <v>879</v>
      </c>
      <c r="D147" t="s">
        <v>880</v>
      </c>
      <c r="E147" t="b">
        <v>1</v>
      </c>
      <c r="F147" t="s">
        <v>250</v>
      </c>
      <c r="G147" t="s">
        <v>238</v>
      </c>
      <c r="H147">
        <v>0.5</v>
      </c>
    </row>
    <row r="148" spans="1:8" x14ac:dyDescent="0.35">
      <c r="A148" t="s">
        <v>565</v>
      </c>
      <c r="B148">
        <v>2021</v>
      </c>
      <c r="C148" t="s">
        <v>566</v>
      </c>
      <c r="D148" t="s">
        <v>567</v>
      </c>
      <c r="E148" t="b">
        <v>1</v>
      </c>
      <c r="F148" t="s">
        <v>881</v>
      </c>
      <c r="G148" t="s">
        <v>223</v>
      </c>
      <c r="H148">
        <v>1</v>
      </c>
    </row>
    <row r="149" spans="1:8" x14ac:dyDescent="0.35">
      <c r="A149" t="s">
        <v>568</v>
      </c>
      <c r="B149">
        <v>2021</v>
      </c>
      <c r="C149" t="s">
        <v>569</v>
      </c>
      <c r="D149" t="s">
        <v>549</v>
      </c>
      <c r="E149" t="b">
        <v>1</v>
      </c>
      <c r="F149" t="s">
        <v>882</v>
      </c>
      <c r="G149" t="s">
        <v>223</v>
      </c>
      <c r="H149">
        <v>1</v>
      </c>
    </row>
    <row r="150" spans="1:8" x14ac:dyDescent="0.35">
      <c r="A150" t="s">
        <v>570</v>
      </c>
      <c r="B150">
        <v>2021</v>
      </c>
      <c r="C150" t="s">
        <v>571</v>
      </c>
      <c r="D150" t="s">
        <v>883</v>
      </c>
      <c r="E150" t="b">
        <v>1</v>
      </c>
      <c r="F150" t="s">
        <v>884</v>
      </c>
      <c r="G150" t="s">
        <v>223</v>
      </c>
      <c r="H150">
        <v>0.9</v>
      </c>
    </row>
    <row r="151" spans="1:8" x14ac:dyDescent="0.35">
      <c r="A151" t="s">
        <v>573</v>
      </c>
      <c r="B151">
        <v>2021</v>
      </c>
      <c r="C151" t="s">
        <v>574</v>
      </c>
      <c r="D151" t="s">
        <v>885</v>
      </c>
      <c r="E151" t="b">
        <v>1</v>
      </c>
      <c r="F151" t="s">
        <v>250</v>
      </c>
      <c r="G151" t="s">
        <v>238</v>
      </c>
      <c r="H151">
        <v>0.5</v>
      </c>
    </row>
    <row r="152" spans="1:8" x14ac:dyDescent="0.35">
      <c r="A152" t="s">
        <v>576</v>
      </c>
      <c r="B152">
        <v>2021</v>
      </c>
      <c r="C152" t="s">
        <v>577</v>
      </c>
      <c r="D152" t="s">
        <v>886</v>
      </c>
      <c r="E152" t="b">
        <v>1</v>
      </c>
      <c r="F152" t="s">
        <v>250</v>
      </c>
      <c r="G152" t="s">
        <v>238</v>
      </c>
      <c r="H152">
        <v>0.5</v>
      </c>
    </row>
    <row r="153" spans="1:8" x14ac:dyDescent="0.35">
      <c r="A153" t="s">
        <v>579</v>
      </c>
      <c r="B153">
        <v>2021</v>
      </c>
      <c r="C153" t="s">
        <v>580</v>
      </c>
      <c r="D153" t="s">
        <v>887</v>
      </c>
      <c r="E153" t="b">
        <v>1</v>
      </c>
      <c r="F153" t="s">
        <v>888</v>
      </c>
      <c r="G153" t="s">
        <v>223</v>
      </c>
      <c r="H153">
        <v>1</v>
      </c>
    </row>
    <row r="154" spans="1:8" x14ac:dyDescent="0.35">
      <c r="A154" t="s">
        <v>582</v>
      </c>
      <c r="B154">
        <v>2021</v>
      </c>
      <c r="C154" t="s">
        <v>583</v>
      </c>
      <c r="D154" t="s">
        <v>584</v>
      </c>
      <c r="E154" t="b">
        <v>1</v>
      </c>
      <c r="F154" t="s">
        <v>889</v>
      </c>
      <c r="G154" t="s">
        <v>223</v>
      </c>
      <c r="H154">
        <v>1</v>
      </c>
    </row>
    <row r="155" spans="1:8" x14ac:dyDescent="0.35">
      <c r="A155" t="s">
        <v>585</v>
      </c>
      <c r="B155">
        <v>2021</v>
      </c>
      <c r="C155" t="s">
        <v>586</v>
      </c>
      <c r="D155" t="s">
        <v>587</v>
      </c>
      <c r="E155" t="b">
        <v>1</v>
      </c>
      <c r="F155" t="s">
        <v>890</v>
      </c>
      <c r="G155" t="s">
        <v>223</v>
      </c>
      <c r="H155">
        <v>0.8</v>
      </c>
    </row>
    <row r="156" spans="1:8" x14ac:dyDescent="0.35">
      <c r="A156" t="s">
        <v>588</v>
      </c>
      <c r="B156">
        <v>2021</v>
      </c>
      <c r="C156" t="s">
        <v>891</v>
      </c>
      <c r="D156" t="s">
        <v>892</v>
      </c>
      <c r="E156" t="b">
        <v>1</v>
      </c>
      <c r="F156" t="s">
        <v>250</v>
      </c>
      <c r="G156" t="s">
        <v>238</v>
      </c>
      <c r="H156">
        <v>0.5</v>
      </c>
    </row>
    <row r="157" spans="1:8" x14ac:dyDescent="0.35">
      <c r="A157" t="s">
        <v>591</v>
      </c>
      <c r="B157">
        <v>2021</v>
      </c>
      <c r="C157" t="s">
        <v>893</v>
      </c>
      <c r="D157" t="s">
        <v>894</v>
      </c>
      <c r="E157" t="b">
        <v>1</v>
      </c>
      <c r="F157" t="s">
        <v>895</v>
      </c>
      <c r="G157" t="s">
        <v>223</v>
      </c>
      <c r="H157">
        <v>0.9</v>
      </c>
    </row>
    <row r="158" spans="1:8" x14ac:dyDescent="0.35">
      <c r="A158" t="s">
        <v>594</v>
      </c>
      <c r="B158">
        <v>2021</v>
      </c>
      <c r="C158" t="s">
        <v>595</v>
      </c>
      <c r="D158" t="s">
        <v>896</v>
      </c>
      <c r="E158" t="b">
        <v>1</v>
      </c>
      <c r="F158" t="s">
        <v>897</v>
      </c>
      <c r="G158" t="s">
        <v>223</v>
      </c>
      <c r="H158">
        <v>0.9</v>
      </c>
    </row>
    <row r="159" spans="1:8" ht="409.5" x14ac:dyDescent="0.35">
      <c r="A159" t="s">
        <v>597</v>
      </c>
      <c r="B159">
        <v>2021</v>
      </c>
      <c r="C159" t="s">
        <v>598</v>
      </c>
      <c r="D159" s="1" t="s">
        <v>599</v>
      </c>
      <c r="E159" t="b">
        <v>1</v>
      </c>
      <c r="F159" t="s">
        <v>898</v>
      </c>
      <c r="G159" t="s">
        <v>223</v>
      </c>
      <c r="H159">
        <v>0.9</v>
      </c>
    </row>
    <row r="160" spans="1:8" x14ac:dyDescent="0.35">
      <c r="A160" t="s">
        <v>600</v>
      </c>
      <c r="B160">
        <v>2021</v>
      </c>
      <c r="C160" t="s">
        <v>601</v>
      </c>
      <c r="D160" t="s">
        <v>899</v>
      </c>
      <c r="E160" t="b">
        <v>1</v>
      </c>
      <c r="F160" t="s">
        <v>900</v>
      </c>
      <c r="G160" t="s">
        <v>223</v>
      </c>
      <c r="H160">
        <v>1</v>
      </c>
    </row>
    <row r="161" spans="1:8" x14ac:dyDescent="0.35">
      <c r="A161" t="s">
        <v>603</v>
      </c>
      <c r="B161">
        <v>2021</v>
      </c>
      <c r="C161" t="s">
        <v>604</v>
      </c>
      <c r="D161" t="s">
        <v>901</v>
      </c>
      <c r="E161" t="b">
        <v>1</v>
      </c>
      <c r="F161" t="s">
        <v>250</v>
      </c>
      <c r="G161" t="s">
        <v>238</v>
      </c>
      <c r="H161">
        <v>0.5</v>
      </c>
    </row>
    <row r="162" spans="1:8" x14ac:dyDescent="0.35">
      <c r="A162" t="s">
        <v>606</v>
      </c>
      <c r="B162">
        <v>2021</v>
      </c>
      <c r="C162" t="s">
        <v>607</v>
      </c>
      <c r="D162" t="s">
        <v>608</v>
      </c>
      <c r="E162" t="b">
        <v>1</v>
      </c>
      <c r="F162" t="s">
        <v>902</v>
      </c>
      <c r="G162" t="s">
        <v>223</v>
      </c>
      <c r="H162">
        <v>1</v>
      </c>
    </row>
    <row r="163" spans="1:8" x14ac:dyDescent="0.35">
      <c r="A163" t="s">
        <v>609</v>
      </c>
      <c r="B163">
        <v>2021</v>
      </c>
      <c r="C163" t="s">
        <v>903</v>
      </c>
      <c r="D163" t="s">
        <v>904</v>
      </c>
      <c r="E163" t="b">
        <v>1</v>
      </c>
      <c r="F163" t="s">
        <v>250</v>
      </c>
      <c r="G163" t="s">
        <v>238</v>
      </c>
      <c r="H163">
        <v>0.5</v>
      </c>
    </row>
    <row r="164" spans="1:8" x14ac:dyDescent="0.35">
      <c r="A164" t="s">
        <v>612</v>
      </c>
      <c r="B164">
        <v>2021</v>
      </c>
      <c r="C164" t="s">
        <v>613</v>
      </c>
      <c r="D164" t="s">
        <v>614</v>
      </c>
      <c r="E164" t="b">
        <v>1</v>
      </c>
      <c r="F164" t="s">
        <v>905</v>
      </c>
      <c r="G164" t="s">
        <v>223</v>
      </c>
      <c r="H164">
        <v>1</v>
      </c>
    </row>
    <row r="165" spans="1:8" x14ac:dyDescent="0.35">
      <c r="A165" t="s">
        <v>615</v>
      </c>
      <c r="B165">
        <v>2021</v>
      </c>
      <c r="C165" t="s">
        <v>616</v>
      </c>
      <c r="D165" t="s">
        <v>906</v>
      </c>
      <c r="E165" t="b">
        <v>1</v>
      </c>
      <c r="F165" t="s">
        <v>250</v>
      </c>
      <c r="G165" t="s">
        <v>238</v>
      </c>
      <c r="H165">
        <v>0.5</v>
      </c>
    </row>
    <row r="166" spans="1:8" x14ac:dyDescent="0.35">
      <c r="A166" t="s">
        <v>618</v>
      </c>
      <c r="B166">
        <v>2021</v>
      </c>
      <c r="C166" t="s">
        <v>619</v>
      </c>
      <c r="D166" t="s">
        <v>907</v>
      </c>
      <c r="E166" t="b">
        <v>1</v>
      </c>
      <c r="F166" t="s">
        <v>908</v>
      </c>
      <c r="G166" t="s">
        <v>223</v>
      </c>
      <c r="H166">
        <v>1</v>
      </c>
    </row>
    <row r="167" spans="1:8" ht="409.5" x14ac:dyDescent="0.35">
      <c r="A167" t="s">
        <v>621</v>
      </c>
      <c r="B167">
        <v>2021</v>
      </c>
      <c r="C167" t="s">
        <v>622</v>
      </c>
      <c r="D167" s="1" t="s">
        <v>623</v>
      </c>
      <c r="E167" t="b">
        <v>1</v>
      </c>
      <c r="F167" t="s">
        <v>909</v>
      </c>
      <c r="G167" t="s">
        <v>223</v>
      </c>
      <c r="H167">
        <v>1</v>
      </c>
    </row>
    <row r="168" spans="1:8" x14ac:dyDescent="0.35">
      <c r="A168" t="s">
        <v>624</v>
      </c>
      <c r="B168">
        <v>2021</v>
      </c>
      <c r="C168" t="s">
        <v>910</v>
      </c>
      <c r="D168" t="s">
        <v>911</v>
      </c>
      <c r="E168" t="b">
        <v>1</v>
      </c>
      <c r="F168" t="s">
        <v>250</v>
      </c>
      <c r="G168" t="s">
        <v>238</v>
      </c>
      <c r="H168">
        <v>0.5</v>
      </c>
    </row>
    <row r="169" spans="1:8" x14ac:dyDescent="0.35">
      <c r="A169" t="s">
        <v>627</v>
      </c>
      <c r="B169">
        <v>2021</v>
      </c>
      <c r="C169" t="s">
        <v>912</v>
      </c>
      <c r="D169" t="s">
        <v>913</v>
      </c>
      <c r="E169" t="b">
        <v>0</v>
      </c>
      <c r="F169" t="s">
        <v>914</v>
      </c>
      <c r="G169" t="s">
        <v>222</v>
      </c>
      <c r="H169">
        <v>1</v>
      </c>
    </row>
    <row r="170" spans="1:8" x14ac:dyDescent="0.35">
      <c r="A170" t="s">
        <v>630</v>
      </c>
      <c r="B170">
        <v>2021</v>
      </c>
      <c r="C170" t="s">
        <v>631</v>
      </c>
      <c r="D170" t="s">
        <v>915</v>
      </c>
      <c r="E170" t="b">
        <v>1</v>
      </c>
      <c r="F170" t="s">
        <v>250</v>
      </c>
      <c r="G170" t="s">
        <v>238</v>
      </c>
      <c r="H170">
        <v>0.5</v>
      </c>
    </row>
    <row r="171" spans="1:8" x14ac:dyDescent="0.35">
      <c r="A171" t="s">
        <v>633</v>
      </c>
      <c r="B171">
        <v>2021</v>
      </c>
      <c r="C171" t="s">
        <v>634</v>
      </c>
      <c r="D171" t="s">
        <v>635</v>
      </c>
      <c r="E171" t="b">
        <v>1</v>
      </c>
      <c r="F171" t="s">
        <v>916</v>
      </c>
      <c r="G171" t="s">
        <v>223</v>
      </c>
      <c r="H171">
        <v>1</v>
      </c>
    </row>
    <row r="172" spans="1:8" x14ac:dyDescent="0.35">
      <c r="A172" t="s">
        <v>636</v>
      </c>
      <c r="B172">
        <v>2021</v>
      </c>
      <c r="C172" t="s">
        <v>637</v>
      </c>
      <c r="D172" t="s">
        <v>549</v>
      </c>
      <c r="E172" t="b">
        <v>1</v>
      </c>
      <c r="F172" t="s">
        <v>250</v>
      </c>
      <c r="G172" t="s">
        <v>238</v>
      </c>
      <c r="H172">
        <v>0.5</v>
      </c>
    </row>
    <row r="173" spans="1:8" x14ac:dyDescent="0.35">
      <c r="A173" t="s">
        <v>638</v>
      </c>
      <c r="B173">
        <v>2021</v>
      </c>
      <c r="C173" t="s">
        <v>639</v>
      </c>
      <c r="D173" t="s">
        <v>917</v>
      </c>
      <c r="E173" t="b">
        <v>1</v>
      </c>
      <c r="F173" t="s">
        <v>250</v>
      </c>
      <c r="G173" t="s">
        <v>238</v>
      </c>
      <c r="H173">
        <v>0.5</v>
      </c>
    </row>
    <row r="174" spans="1:8" x14ac:dyDescent="0.35">
      <c r="A174" t="s">
        <v>641</v>
      </c>
      <c r="B174">
        <v>2021</v>
      </c>
      <c r="C174" t="s">
        <v>918</v>
      </c>
      <c r="D174" t="s">
        <v>919</v>
      </c>
      <c r="E174" t="b">
        <v>1</v>
      </c>
      <c r="F174" t="s">
        <v>250</v>
      </c>
      <c r="G174" t="s">
        <v>238</v>
      </c>
      <c r="H174">
        <v>0.5</v>
      </c>
    </row>
    <row r="175" spans="1:8" x14ac:dyDescent="0.35">
      <c r="A175" t="s">
        <v>644</v>
      </c>
      <c r="B175">
        <v>2021</v>
      </c>
      <c r="C175" t="s">
        <v>645</v>
      </c>
      <c r="D175" t="s">
        <v>646</v>
      </c>
      <c r="E175" t="b">
        <v>1</v>
      </c>
      <c r="F175" t="s">
        <v>250</v>
      </c>
      <c r="G175" t="s">
        <v>238</v>
      </c>
      <c r="H175">
        <v>0.5</v>
      </c>
    </row>
    <row r="176" spans="1:8" x14ac:dyDescent="0.35">
      <c r="A176" t="s">
        <v>647</v>
      </c>
      <c r="B176">
        <v>2021</v>
      </c>
      <c r="C176" t="s">
        <v>648</v>
      </c>
      <c r="D176" t="s">
        <v>920</v>
      </c>
      <c r="E176" t="b">
        <v>1</v>
      </c>
      <c r="F176" t="s">
        <v>921</v>
      </c>
      <c r="G176" t="s">
        <v>223</v>
      </c>
      <c r="H176">
        <v>1</v>
      </c>
    </row>
    <row r="177" spans="1:8" x14ac:dyDescent="0.35">
      <c r="A177" t="s">
        <v>650</v>
      </c>
      <c r="B177">
        <v>2021</v>
      </c>
      <c r="C177" t="s">
        <v>651</v>
      </c>
      <c r="D177" t="s">
        <v>922</v>
      </c>
      <c r="E177" t="b">
        <v>1</v>
      </c>
      <c r="F177" t="s">
        <v>923</v>
      </c>
      <c r="G177" t="s">
        <v>223</v>
      </c>
      <c r="H177">
        <v>1</v>
      </c>
    </row>
    <row r="178" spans="1:8" ht="409.5" x14ac:dyDescent="0.35">
      <c r="A178" t="s">
        <v>653</v>
      </c>
      <c r="B178">
        <v>2021</v>
      </c>
      <c r="C178" t="s">
        <v>651</v>
      </c>
      <c r="D178" s="1" t="s">
        <v>654</v>
      </c>
      <c r="E178" t="b">
        <v>1</v>
      </c>
      <c r="F178" t="s">
        <v>924</v>
      </c>
      <c r="G178" t="s">
        <v>223</v>
      </c>
      <c r="H178">
        <v>1</v>
      </c>
    </row>
    <row r="179" spans="1:8" x14ac:dyDescent="0.35">
      <c r="A179" t="s">
        <v>655</v>
      </c>
      <c r="B179">
        <v>2021</v>
      </c>
      <c r="C179" t="s">
        <v>656</v>
      </c>
      <c r="D179" t="s">
        <v>657</v>
      </c>
      <c r="E179" t="b">
        <v>1</v>
      </c>
      <c r="F179" t="s">
        <v>925</v>
      </c>
      <c r="G179" t="s">
        <v>223</v>
      </c>
      <c r="H179">
        <v>0.9</v>
      </c>
    </row>
    <row r="180" spans="1:8" ht="409.5" x14ac:dyDescent="0.35">
      <c r="A180" t="s">
        <v>658</v>
      </c>
      <c r="B180">
        <v>2025</v>
      </c>
      <c r="C180" t="s">
        <v>659</v>
      </c>
      <c r="D180" s="1" t="s">
        <v>660</v>
      </c>
      <c r="E180" t="b">
        <v>1</v>
      </c>
      <c r="F180" t="s">
        <v>926</v>
      </c>
      <c r="G180" t="s">
        <v>223</v>
      </c>
      <c r="H180">
        <v>1</v>
      </c>
    </row>
    <row r="181" spans="1:8" x14ac:dyDescent="0.35">
      <c r="A181" t="s">
        <v>661</v>
      </c>
      <c r="B181">
        <v>2025</v>
      </c>
      <c r="C181" t="s">
        <v>659</v>
      </c>
      <c r="D181" t="s">
        <v>927</v>
      </c>
      <c r="E181" t="b">
        <v>1</v>
      </c>
      <c r="F181" t="s">
        <v>928</v>
      </c>
      <c r="G181" t="s">
        <v>223</v>
      </c>
      <c r="H181">
        <v>1</v>
      </c>
    </row>
    <row r="182" spans="1:8" x14ac:dyDescent="0.35">
      <c r="A182" t="s">
        <v>663</v>
      </c>
      <c r="B182">
        <v>2025</v>
      </c>
      <c r="C182" t="s">
        <v>664</v>
      </c>
      <c r="D182" t="s">
        <v>929</v>
      </c>
      <c r="E182" t="b">
        <v>1</v>
      </c>
      <c r="F182" t="s">
        <v>250</v>
      </c>
      <c r="G182" t="s">
        <v>238</v>
      </c>
      <c r="H182">
        <v>0.5</v>
      </c>
    </row>
    <row r="183" spans="1:8" x14ac:dyDescent="0.35">
      <c r="A183" t="s">
        <v>666</v>
      </c>
      <c r="B183">
        <v>2025</v>
      </c>
      <c r="C183" t="s">
        <v>667</v>
      </c>
      <c r="D183" t="s">
        <v>930</v>
      </c>
      <c r="E183" t="b">
        <v>0</v>
      </c>
      <c r="F183" t="s">
        <v>931</v>
      </c>
      <c r="G183" t="s">
        <v>222</v>
      </c>
      <c r="H183">
        <v>0.9</v>
      </c>
    </row>
    <row r="184" spans="1:8" x14ac:dyDescent="0.35">
      <c r="A184" t="s">
        <v>669</v>
      </c>
      <c r="B184">
        <v>2025</v>
      </c>
      <c r="C184" t="s">
        <v>670</v>
      </c>
      <c r="D184" t="s">
        <v>671</v>
      </c>
      <c r="E184" t="b">
        <v>1</v>
      </c>
      <c r="F184" t="s">
        <v>932</v>
      </c>
      <c r="G184" t="s">
        <v>223</v>
      </c>
      <c r="H184">
        <v>0.9</v>
      </c>
    </row>
    <row r="185" spans="1:8" x14ac:dyDescent="0.35">
      <c r="A185" t="s">
        <v>672</v>
      </c>
      <c r="B185">
        <v>2025</v>
      </c>
      <c r="C185" t="s">
        <v>673</v>
      </c>
      <c r="D185" t="s">
        <v>674</v>
      </c>
      <c r="E185" t="b">
        <v>1</v>
      </c>
      <c r="F185" t="s">
        <v>250</v>
      </c>
      <c r="G185" t="s">
        <v>238</v>
      </c>
      <c r="H185">
        <v>0.5</v>
      </c>
    </row>
    <row r="186" spans="1:8" x14ac:dyDescent="0.35">
      <c r="A186" t="s">
        <v>675</v>
      </c>
      <c r="B186">
        <v>2025</v>
      </c>
      <c r="C186" t="s">
        <v>933</v>
      </c>
      <c r="D186" t="s">
        <v>934</v>
      </c>
      <c r="E186" t="b">
        <v>1</v>
      </c>
      <c r="F186" t="s">
        <v>250</v>
      </c>
      <c r="G186" t="s">
        <v>238</v>
      </c>
      <c r="H186">
        <v>0.5</v>
      </c>
    </row>
    <row r="187" spans="1:8" x14ac:dyDescent="0.35">
      <c r="A187" t="s">
        <v>678</v>
      </c>
      <c r="B187">
        <v>2025</v>
      </c>
      <c r="C187" t="s">
        <v>679</v>
      </c>
      <c r="D187" t="s">
        <v>680</v>
      </c>
      <c r="E187" t="b">
        <v>1</v>
      </c>
      <c r="F187" t="s">
        <v>935</v>
      </c>
      <c r="G187" t="s">
        <v>223</v>
      </c>
      <c r="H187">
        <v>1</v>
      </c>
    </row>
    <row r="188" spans="1:8" x14ac:dyDescent="0.35">
      <c r="A188" t="s">
        <v>681</v>
      </c>
      <c r="B188">
        <v>2025</v>
      </c>
      <c r="C188" t="s">
        <v>682</v>
      </c>
      <c r="D188" t="s">
        <v>936</v>
      </c>
      <c r="E188" t="b">
        <v>0</v>
      </c>
      <c r="F188" t="s">
        <v>937</v>
      </c>
      <c r="G188" t="s">
        <v>222</v>
      </c>
      <c r="H188">
        <v>0.9</v>
      </c>
    </row>
    <row r="189" spans="1:8" x14ac:dyDescent="0.35">
      <c r="A189" t="s">
        <v>684</v>
      </c>
      <c r="B189">
        <v>2025</v>
      </c>
      <c r="C189" t="s">
        <v>685</v>
      </c>
      <c r="D189" t="s">
        <v>938</v>
      </c>
      <c r="E189" t="b">
        <v>1</v>
      </c>
      <c r="F189" t="s">
        <v>250</v>
      </c>
      <c r="G189" t="s">
        <v>238</v>
      </c>
      <c r="H189">
        <v>0.5</v>
      </c>
    </row>
    <row r="190" spans="1:8" x14ac:dyDescent="0.35">
      <c r="A190" t="s">
        <v>687</v>
      </c>
      <c r="B190">
        <v>2025</v>
      </c>
      <c r="C190" t="s">
        <v>688</v>
      </c>
      <c r="D190" t="s">
        <v>689</v>
      </c>
      <c r="E190" t="b">
        <v>1</v>
      </c>
      <c r="F190" t="s">
        <v>939</v>
      </c>
      <c r="G190" t="s">
        <v>223</v>
      </c>
      <c r="H190">
        <v>1</v>
      </c>
    </row>
    <row r="191" spans="1:8" x14ac:dyDescent="0.35">
      <c r="A191" t="s">
        <v>690</v>
      </c>
      <c r="B191">
        <v>2025</v>
      </c>
      <c r="C191" t="s">
        <v>691</v>
      </c>
      <c r="D191" t="s">
        <v>940</v>
      </c>
      <c r="E191" t="b">
        <v>1</v>
      </c>
      <c r="F191" t="s">
        <v>250</v>
      </c>
      <c r="G191" t="s">
        <v>238</v>
      </c>
      <c r="H191">
        <v>0.5</v>
      </c>
    </row>
    <row r="192" spans="1:8" x14ac:dyDescent="0.35">
      <c r="A192" t="s">
        <v>693</v>
      </c>
      <c r="B192">
        <v>2025</v>
      </c>
      <c r="C192" t="s">
        <v>694</v>
      </c>
      <c r="D192" t="s">
        <v>695</v>
      </c>
      <c r="E192" t="b">
        <v>1</v>
      </c>
      <c r="F192" t="s">
        <v>941</v>
      </c>
      <c r="G192" t="s">
        <v>223</v>
      </c>
      <c r="H192">
        <v>0.9</v>
      </c>
    </row>
    <row r="193" spans="1:8" x14ac:dyDescent="0.35">
      <c r="A193" t="s">
        <v>696</v>
      </c>
      <c r="B193">
        <v>2025</v>
      </c>
      <c r="C193" t="s">
        <v>697</v>
      </c>
      <c r="D193" t="s">
        <v>942</v>
      </c>
      <c r="E193" t="b">
        <v>1</v>
      </c>
      <c r="F193" t="s">
        <v>943</v>
      </c>
      <c r="G193" t="s">
        <v>223</v>
      </c>
      <c r="H193">
        <v>0.9</v>
      </c>
    </row>
    <row r="194" spans="1:8" x14ac:dyDescent="0.35">
      <c r="A194" t="s">
        <v>699</v>
      </c>
      <c r="B194">
        <v>2025</v>
      </c>
      <c r="C194" t="s">
        <v>700</v>
      </c>
      <c r="D194" t="s">
        <v>944</v>
      </c>
      <c r="E194" t="b">
        <v>0</v>
      </c>
      <c r="F194" t="s">
        <v>945</v>
      </c>
      <c r="G194" t="s">
        <v>222</v>
      </c>
      <c r="H194">
        <v>1</v>
      </c>
    </row>
    <row r="195" spans="1:8" ht="409.5" x14ac:dyDescent="0.35">
      <c r="A195" t="s">
        <v>702</v>
      </c>
      <c r="B195">
        <v>2025</v>
      </c>
      <c r="C195" t="s">
        <v>703</v>
      </c>
      <c r="D195" s="1" t="s">
        <v>704</v>
      </c>
      <c r="E195" t="b">
        <v>0</v>
      </c>
      <c r="F195" t="s">
        <v>945</v>
      </c>
      <c r="G195" t="s">
        <v>222</v>
      </c>
      <c r="H195">
        <v>1</v>
      </c>
    </row>
    <row r="196" spans="1:8" x14ac:dyDescent="0.35">
      <c r="A196" t="s">
        <v>705</v>
      </c>
      <c r="B196">
        <v>2025</v>
      </c>
      <c r="C196" t="s">
        <v>706</v>
      </c>
      <c r="D196" t="s">
        <v>946</v>
      </c>
      <c r="E196" t="b">
        <v>0</v>
      </c>
      <c r="F196" t="s">
        <v>947</v>
      </c>
      <c r="G196" t="s">
        <v>222</v>
      </c>
      <c r="H196">
        <v>1</v>
      </c>
    </row>
    <row r="197" spans="1:8" x14ac:dyDescent="0.35">
      <c r="A197" t="s">
        <v>708</v>
      </c>
      <c r="B197">
        <v>2025</v>
      </c>
      <c r="C197" t="s">
        <v>709</v>
      </c>
      <c r="D197" t="s">
        <v>710</v>
      </c>
      <c r="E197" t="b">
        <v>1</v>
      </c>
      <c r="F197" t="s">
        <v>948</v>
      </c>
      <c r="G197" t="s">
        <v>223</v>
      </c>
      <c r="H197">
        <v>1</v>
      </c>
    </row>
    <row r="198" spans="1:8" x14ac:dyDescent="0.35">
      <c r="A198" t="s">
        <v>711</v>
      </c>
      <c r="B198">
        <v>2025</v>
      </c>
      <c r="C198" t="s">
        <v>712</v>
      </c>
      <c r="D198" t="s">
        <v>949</v>
      </c>
      <c r="E198" t="b">
        <v>1</v>
      </c>
      <c r="F198" t="s">
        <v>250</v>
      </c>
      <c r="G198" t="s">
        <v>238</v>
      </c>
      <c r="H198">
        <v>0.5</v>
      </c>
    </row>
    <row r="199" spans="1:8" x14ac:dyDescent="0.35">
      <c r="A199" t="s">
        <v>950</v>
      </c>
      <c r="B199">
        <v>2025</v>
      </c>
      <c r="C199" t="s">
        <v>951</v>
      </c>
      <c r="D199" t="s">
        <v>952</v>
      </c>
      <c r="E199" t="b">
        <v>1</v>
      </c>
      <c r="F199" t="s">
        <v>250</v>
      </c>
      <c r="G199" t="s">
        <v>238</v>
      </c>
      <c r="H199">
        <v>0.5</v>
      </c>
    </row>
    <row r="200" spans="1:8" ht="409.5" x14ac:dyDescent="0.35">
      <c r="A200" t="s">
        <v>953</v>
      </c>
      <c r="B200">
        <v>2025</v>
      </c>
      <c r="C200" t="s">
        <v>954</v>
      </c>
      <c r="D200" s="1" t="s">
        <v>955</v>
      </c>
      <c r="E200" t="b">
        <v>1</v>
      </c>
      <c r="F200" t="s">
        <v>956</v>
      </c>
      <c r="G200" t="s">
        <v>223</v>
      </c>
      <c r="H200">
        <v>1</v>
      </c>
    </row>
    <row r="201" spans="1:8" x14ac:dyDescent="0.35">
      <c r="A201" t="s">
        <v>957</v>
      </c>
      <c r="B201">
        <v>2025</v>
      </c>
      <c r="C201" t="s">
        <v>954</v>
      </c>
      <c r="D201" t="s">
        <v>958</v>
      </c>
      <c r="E201" t="b">
        <v>1</v>
      </c>
      <c r="F201" t="s">
        <v>956</v>
      </c>
      <c r="G201" t="s">
        <v>223</v>
      </c>
      <c r="H201">
        <v>1</v>
      </c>
    </row>
    <row r="202" spans="1:8" x14ac:dyDescent="0.35">
      <c r="A202" t="s">
        <v>959</v>
      </c>
      <c r="B202">
        <v>2025</v>
      </c>
      <c r="C202" t="s">
        <v>960</v>
      </c>
      <c r="D202" t="s">
        <v>961</v>
      </c>
      <c r="E202" t="b">
        <v>1</v>
      </c>
      <c r="F202" t="s">
        <v>962</v>
      </c>
      <c r="G202" t="s">
        <v>223</v>
      </c>
      <c r="H202">
        <v>1</v>
      </c>
    </row>
    <row r="203" spans="1:8" ht="409.5" x14ac:dyDescent="0.35">
      <c r="A203" t="s">
        <v>963</v>
      </c>
      <c r="B203">
        <v>2025</v>
      </c>
      <c r="C203" t="s">
        <v>964</v>
      </c>
      <c r="D203" s="1" t="s">
        <v>965</v>
      </c>
      <c r="E203" t="b">
        <v>1</v>
      </c>
      <c r="F203" t="s">
        <v>250</v>
      </c>
      <c r="G203" t="s">
        <v>238</v>
      </c>
      <c r="H203">
        <v>0.7</v>
      </c>
    </row>
    <row r="204" spans="1:8" x14ac:dyDescent="0.35">
      <c r="A204" t="s">
        <v>966</v>
      </c>
      <c r="B204">
        <v>2025</v>
      </c>
      <c r="C204" t="s">
        <v>967</v>
      </c>
      <c r="D204" t="s">
        <v>968</v>
      </c>
      <c r="E204" t="b">
        <v>1</v>
      </c>
      <c r="F204" t="s">
        <v>969</v>
      </c>
      <c r="G204" t="s">
        <v>223</v>
      </c>
      <c r="H204">
        <v>1</v>
      </c>
    </row>
    <row r="205" spans="1:8" x14ac:dyDescent="0.35">
      <c r="A205" t="s">
        <v>970</v>
      </c>
      <c r="B205">
        <v>2025</v>
      </c>
      <c r="C205" t="s">
        <v>971</v>
      </c>
      <c r="D205" t="s">
        <v>972</v>
      </c>
      <c r="E205" t="b">
        <v>1</v>
      </c>
      <c r="F205" t="s">
        <v>973</v>
      </c>
      <c r="G205" t="s">
        <v>223</v>
      </c>
      <c r="H205">
        <v>1</v>
      </c>
    </row>
    <row r="206" spans="1:8" x14ac:dyDescent="0.35">
      <c r="A206" t="s">
        <v>974</v>
      </c>
      <c r="B206">
        <v>2025</v>
      </c>
      <c r="C206" t="s">
        <v>975</v>
      </c>
      <c r="D206" t="s">
        <v>976</v>
      </c>
      <c r="E206" t="b">
        <v>1</v>
      </c>
      <c r="F206" t="s">
        <v>977</v>
      </c>
      <c r="G206" t="s">
        <v>223</v>
      </c>
      <c r="H206">
        <v>1</v>
      </c>
    </row>
    <row r="207" spans="1:8" x14ac:dyDescent="0.35">
      <c r="A207" t="s">
        <v>978</v>
      </c>
      <c r="B207">
        <v>2025</v>
      </c>
      <c r="C207" t="s">
        <v>979</v>
      </c>
      <c r="D207" t="s">
        <v>980</v>
      </c>
      <c r="E207" t="b">
        <v>0</v>
      </c>
      <c r="F207" t="s">
        <v>981</v>
      </c>
      <c r="G207" t="s">
        <v>222</v>
      </c>
      <c r="H207">
        <v>1</v>
      </c>
    </row>
    <row r="208" spans="1:8" x14ac:dyDescent="0.35">
      <c r="A208" t="s">
        <v>982</v>
      </c>
      <c r="B208">
        <v>2025</v>
      </c>
      <c r="C208" t="s">
        <v>983</v>
      </c>
      <c r="D208" t="s">
        <v>984</v>
      </c>
      <c r="E208" t="b">
        <v>1</v>
      </c>
      <c r="F208" t="s">
        <v>250</v>
      </c>
      <c r="G208" t="s">
        <v>238</v>
      </c>
      <c r="H208">
        <v>0.5</v>
      </c>
    </row>
    <row r="209" spans="1:8" ht="409.5" x14ac:dyDescent="0.35">
      <c r="A209" t="s">
        <v>985</v>
      </c>
      <c r="B209">
        <v>2025</v>
      </c>
      <c r="C209" t="s">
        <v>986</v>
      </c>
      <c r="D209" s="1" t="s">
        <v>987</v>
      </c>
      <c r="E209" t="b">
        <v>0</v>
      </c>
      <c r="F209" t="s">
        <v>988</v>
      </c>
      <c r="G209" t="s">
        <v>222</v>
      </c>
      <c r="H209">
        <v>1</v>
      </c>
    </row>
    <row r="210" spans="1:8" x14ac:dyDescent="0.35">
      <c r="A210" t="s">
        <v>989</v>
      </c>
      <c r="B210">
        <v>2025</v>
      </c>
      <c r="C210" t="s">
        <v>990</v>
      </c>
      <c r="D210" t="s">
        <v>991</v>
      </c>
      <c r="E210" t="b">
        <v>1</v>
      </c>
      <c r="F210" t="s">
        <v>992</v>
      </c>
      <c r="G210" t="s">
        <v>223</v>
      </c>
      <c r="H210">
        <v>0.9</v>
      </c>
    </row>
    <row r="211" spans="1:8" ht="409.5" x14ac:dyDescent="0.35">
      <c r="A211" t="s">
        <v>993</v>
      </c>
      <c r="B211">
        <v>2025</v>
      </c>
      <c r="C211" t="s">
        <v>994</v>
      </c>
      <c r="D211" s="1" t="s">
        <v>995</v>
      </c>
      <c r="E211" t="b">
        <v>0</v>
      </c>
      <c r="F211" t="s">
        <v>996</v>
      </c>
      <c r="G211" t="s">
        <v>222</v>
      </c>
      <c r="H211">
        <v>1</v>
      </c>
    </row>
    <row r="212" spans="1:8" x14ac:dyDescent="0.35">
      <c r="A212" t="s">
        <v>997</v>
      </c>
      <c r="B212">
        <v>2025</v>
      </c>
      <c r="C212" t="s">
        <v>998</v>
      </c>
      <c r="D212" t="s">
        <v>999</v>
      </c>
      <c r="E212" t="b">
        <v>1</v>
      </c>
      <c r="F212" t="s">
        <v>1000</v>
      </c>
      <c r="G212" t="s">
        <v>223</v>
      </c>
      <c r="H212">
        <v>1</v>
      </c>
    </row>
    <row r="213" spans="1:8" x14ac:dyDescent="0.35">
      <c r="A213" t="s">
        <v>1001</v>
      </c>
      <c r="B213">
        <v>2025</v>
      </c>
      <c r="C213" t="s">
        <v>1002</v>
      </c>
      <c r="D213" t="s">
        <v>1003</v>
      </c>
      <c r="E213" t="b">
        <v>1</v>
      </c>
      <c r="F213" t="s">
        <v>250</v>
      </c>
      <c r="G213" t="s">
        <v>238</v>
      </c>
      <c r="H213">
        <v>0.5</v>
      </c>
    </row>
    <row r="214" spans="1:8" x14ac:dyDescent="0.35">
      <c r="A214" t="s">
        <v>1004</v>
      </c>
      <c r="B214">
        <v>2025</v>
      </c>
      <c r="C214" t="s">
        <v>1005</v>
      </c>
      <c r="D214" t="s">
        <v>1006</v>
      </c>
      <c r="E214" t="b">
        <v>1</v>
      </c>
      <c r="F214" t="s">
        <v>1007</v>
      </c>
      <c r="G214" t="s">
        <v>223</v>
      </c>
      <c r="H214">
        <v>0.9</v>
      </c>
    </row>
    <row r="215" spans="1:8" x14ac:dyDescent="0.35">
      <c r="A215" t="s">
        <v>1008</v>
      </c>
      <c r="B215">
        <v>2025</v>
      </c>
      <c r="C215" t="s">
        <v>1009</v>
      </c>
      <c r="D215" t="s">
        <v>1010</v>
      </c>
      <c r="E215" t="b">
        <v>1</v>
      </c>
      <c r="F215" t="s">
        <v>1011</v>
      </c>
      <c r="G215" t="s">
        <v>223</v>
      </c>
      <c r="H215">
        <v>1</v>
      </c>
    </row>
    <row r="216" spans="1:8" x14ac:dyDescent="0.35">
      <c r="A216" t="s">
        <v>1012</v>
      </c>
      <c r="B216">
        <v>2025</v>
      </c>
      <c r="C216" t="s">
        <v>1013</v>
      </c>
      <c r="D216" t="s">
        <v>1014</v>
      </c>
      <c r="E216" t="b">
        <v>1</v>
      </c>
      <c r="F216" t="s">
        <v>1015</v>
      </c>
      <c r="G216" t="s">
        <v>223</v>
      </c>
      <c r="H216">
        <v>1</v>
      </c>
    </row>
    <row r="217" spans="1:8" ht="409.5" x14ac:dyDescent="0.35">
      <c r="A217" t="s">
        <v>1016</v>
      </c>
      <c r="B217">
        <v>2025</v>
      </c>
      <c r="C217" t="s">
        <v>1017</v>
      </c>
      <c r="D217" s="1" t="s">
        <v>1018</v>
      </c>
      <c r="E217" t="b">
        <v>1</v>
      </c>
      <c r="F217" t="s">
        <v>1019</v>
      </c>
      <c r="G217" t="s">
        <v>223</v>
      </c>
      <c r="H217">
        <v>1</v>
      </c>
    </row>
    <row r="218" spans="1:8" ht="409.5" x14ac:dyDescent="0.35">
      <c r="A218" t="s">
        <v>1020</v>
      </c>
      <c r="B218">
        <v>2025</v>
      </c>
      <c r="C218" t="s">
        <v>1021</v>
      </c>
      <c r="D218" s="1" t="s">
        <v>1022</v>
      </c>
      <c r="E218" t="b">
        <v>1</v>
      </c>
      <c r="F218" t="s">
        <v>250</v>
      </c>
      <c r="G218" t="s">
        <v>238</v>
      </c>
      <c r="H218">
        <v>0.5</v>
      </c>
    </row>
    <row r="219" spans="1:8" x14ac:dyDescent="0.35">
      <c r="A219" t="s">
        <v>1023</v>
      </c>
      <c r="B219">
        <v>2025</v>
      </c>
      <c r="C219" t="s">
        <v>1024</v>
      </c>
      <c r="D219" t="s">
        <v>1025</v>
      </c>
      <c r="E219" t="b">
        <v>1</v>
      </c>
      <c r="F219" t="s">
        <v>265</v>
      </c>
      <c r="G219" t="s">
        <v>223</v>
      </c>
      <c r="H219">
        <v>1</v>
      </c>
    </row>
    <row r="220" spans="1:8" x14ac:dyDescent="0.35">
      <c r="A220" t="s">
        <v>1026</v>
      </c>
      <c r="B220">
        <v>2025</v>
      </c>
      <c r="C220" t="s">
        <v>1027</v>
      </c>
      <c r="D220" t="s">
        <v>1028</v>
      </c>
      <c r="E220" t="b">
        <v>1</v>
      </c>
      <c r="F220" t="s">
        <v>250</v>
      </c>
      <c r="G220" t="s">
        <v>238</v>
      </c>
      <c r="H220">
        <v>0.5</v>
      </c>
    </row>
    <row r="221" spans="1:8" x14ac:dyDescent="0.35">
      <c r="A221" t="s">
        <v>1029</v>
      </c>
      <c r="B221">
        <v>2025</v>
      </c>
      <c r="C221" t="s">
        <v>1030</v>
      </c>
      <c r="D221" t="s">
        <v>1031</v>
      </c>
      <c r="E221" t="b">
        <v>1</v>
      </c>
      <c r="F221" t="s">
        <v>250</v>
      </c>
      <c r="G221" t="s">
        <v>238</v>
      </c>
      <c r="H221">
        <v>0.5</v>
      </c>
    </row>
    <row r="222" spans="1:8" x14ac:dyDescent="0.35">
      <c r="A222" t="s">
        <v>1032</v>
      </c>
      <c r="B222">
        <v>2025</v>
      </c>
      <c r="C222" t="s">
        <v>1033</v>
      </c>
      <c r="D222" t="s">
        <v>1034</v>
      </c>
      <c r="E222" t="b">
        <v>1</v>
      </c>
      <c r="F222" t="s">
        <v>1035</v>
      </c>
      <c r="G222" t="s">
        <v>223</v>
      </c>
      <c r="H222">
        <v>1</v>
      </c>
    </row>
    <row r="223" spans="1:8" x14ac:dyDescent="0.35">
      <c r="A223" t="s">
        <v>1036</v>
      </c>
      <c r="B223">
        <v>2025</v>
      </c>
      <c r="C223" t="s">
        <v>1037</v>
      </c>
      <c r="D223" t="s">
        <v>1038</v>
      </c>
      <c r="E223" t="b">
        <v>1</v>
      </c>
      <c r="F223" t="s">
        <v>1039</v>
      </c>
      <c r="G223" t="s">
        <v>223</v>
      </c>
      <c r="H223">
        <v>1</v>
      </c>
    </row>
    <row r="224" spans="1:8" x14ac:dyDescent="0.35">
      <c r="A224" t="s">
        <v>1040</v>
      </c>
      <c r="B224">
        <v>2025</v>
      </c>
      <c r="C224" t="s">
        <v>1041</v>
      </c>
      <c r="D224" t="s">
        <v>1042</v>
      </c>
      <c r="E224" t="b">
        <v>1</v>
      </c>
      <c r="F224" t="s">
        <v>1043</v>
      </c>
      <c r="G224" t="s">
        <v>223</v>
      </c>
      <c r="H224">
        <v>1</v>
      </c>
    </row>
    <row r="225" spans="1:8" x14ac:dyDescent="0.35">
      <c r="A225" t="s">
        <v>1044</v>
      </c>
      <c r="B225">
        <v>2025</v>
      </c>
      <c r="C225" t="s">
        <v>1045</v>
      </c>
      <c r="D225" t="s">
        <v>1046</v>
      </c>
      <c r="E225" t="b">
        <v>1</v>
      </c>
      <c r="F225" t="s">
        <v>1047</v>
      </c>
      <c r="G225" t="s">
        <v>223</v>
      </c>
      <c r="H225">
        <v>1</v>
      </c>
    </row>
    <row r="226" spans="1:8" x14ac:dyDescent="0.35">
      <c r="A226" t="s">
        <v>1048</v>
      </c>
      <c r="B226">
        <v>2025</v>
      </c>
      <c r="C226" t="s">
        <v>1049</v>
      </c>
      <c r="D226" t="s">
        <v>1050</v>
      </c>
      <c r="E226" t="b">
        <v>1</v>
      </c>
      <c r="F226" t="s">
        <v>250</v>
      </c>
      <c r="G226" t="s">
        <v>238</v>
      </c>
      <c r="H226">
        <v>0.6</v>
      </c>
    </row>
    <row r="227" spans="1:8" x14ac:dyDescent="0.35">
      <c r="A227" t="s">
        <v>1051</v>
      </c>
      <c r="B227">
        <v>2025</v>
      </c>
      <c r="C227" t="s">
        <v>1052</v>
      </c>
      <c r="D227" t="s">
        <v>549</v>
      </c>
      <c r="E227" t="b">
        <v>1</v>
      </c>
      <c r="F227" t="s">
        <v>1053</v>
      </c>
      <c r="G227" t="s">
        <v>223</v>
      </c>
      <c r="H227">
        <v>1</v>
      </c>
    </row>
    <row r="228" spans="1:8" x14ac:dyDescent="0.35">
      <c r="A228" t="s">
        <v>1054</v>
      </c>
      <c r="B228">
        <v>2025</v>
      </c>
      <c r="C228" t="s">
        <v>1055</v>
      </c>
      <c r="D228" t="s">
        <v>1056</v>
      </c>
      <c r="E228" t="b">
        <v>1</v>
      </c>
      <c r="F228" t="s">
        <v>1057</v>
      </c>
      <c r="G228" t="s">
        <v>223</v>
      </c>
      <c r="H228">
        <v>1</v>
      </c>
    </row>
    <row r="229" spans="1:8" x14ac:dyDescent="0.35">
      <c r="A229" t="s">
        <v>1058</v>
      </c>
      <c r="B229">
        <v>2025</v>
      </c>
      <c r="C229" t="s">
        <v>1059</v>
      </c>
      <c r="D229" t="s">
        <v>1060</v>
      </c>
      <c r="E229" t="b">
        <v>1</v>
      </c>
      <c r="F229" t="s">
        <v>1061</v>
      </c>
      <c r="G229" t="s">
        <v>223</v>
      </c>
      <c r="H229">
        <v>0.8</v>
      </c>
    </row>
    <row r="230" spans="1:8" x14ac:dyDescent="0.35">
      <c r="A230" t="s">
        <v>1062</v>
      </c>
      <c r="B230">
        <v>2025</v>
      </c>
      <c r="C230" t="s">
        <v>1063</v>
      </c>
      <c r="D230" t="s">
        <v>1064</v>
      </c>
      <c r="E230" t="b">
        <v>1</v>
      </c>
      <c r="F230" t="s">
        <v>1065</v>
      </c>
      <c r="G230" t="s">
        <v>223</v>
      </c>
      <c r="H230">
        <v>1</v>
      </c>
    </row>
    <row r="231" spans="1:8" x14ac:dyDescent="0.35">
      <c r="A231" t="s">
        <v>1066</v>
      </c>
      <c r="B231">
        <v>2025</v>
      </c>
      <c r="C231" t="s">
        <v>1067</v>
      </c>
      <c r="D231" t="s">
        <v>1068</v>
      </c>
      <c r="E231" t="b">
        <v>0</v>
      </c>
      <c r="F231" t="s">
        <v>1069</v>
      </c>
      <c r="G231" t="s">
        <v>222</v>
      </c>
      <c r="H231">
        <v>1</v>
      </c>
    </row>
    <row r="232" spans="1:8" ht="409.5" x14ac:dyDescent="0.35">
      <c r="A232" t="s">
        <v>1070</v>
      </c>
      <c r="B232">
        <v>2025</v>
      </c>
      <c r="C232" t="s">
        <v>1071</v>
      </c>
      <c r="D232" s="1" t="s">
        <v>1072</v>
      </c>
      <c r="E232" t="b">
        <v>1</v>
      </c>
      <c r="F232" t="s">
        <v>1073</v>
      </c>
      <c r="G232" t="s">
        <v>223</v>
      </c>
      <c r="H232">
        <v>1</v>
      </c>
    </row>
    <row r="233" spans="1:8" x14ac:dyDescent="0.35">
      <c r="A233" t="s">
        <v>1074</v>
      </c>
      <c r="B233">
        <v>2025</v>
      </c>
      <c r="C233" t="s">
        <v>1075</v>
      </c>
      <c r="D233" t="s">
        <v>1076</v>
      </c>
      <c r="E233" t="b">
        <v>0</v>
      </c>
      <c r="F233" t="s">
        <v>1077</v>
      </c>
      <c r="G233" t="s">
        <v>222</v>
      </c>
      <c r="H233">
        <v>1</v>
      </c>
    </row>
    <row r="234" spans="1:8" x14ac:dyDescent="0.35">
      <c r="A234" t="s">
        <v>1078</v>
      </c>
      <c r="B234">
        <v>2025</v>
      </c>
      <c r="C234" t="s">
        <v>1079</v>
      </c>
      <c r="D234" t="s">
        <v>1080</v>
      </c>
      <c r="E234" t="b">
        <v>1</v>
      </c>
      <c r="F234" t="s">
        <v>250</v>
      </c>
      <c r="G234" t="s">
        <v>238</v>
      </c>
      <c r="H234">
        <v>0.5</v>
      </c>
    </row>
    <row r="235" spans="1:8" x14ac:dyDescent="0.35">
      <c r="A235" t="s">
        <v>1081</v>
      </c>
      <c r="B235">
        <v>2025</v>
      </c>
      <c r="C235" t="s">
        <v>1082</v>
      </c>
      <c r="D235" t="s">
        <v>1083</v>
      </c>
      <c r="E235" t="b">
        <v>1</v>
      </c>
      <c r="F235" t="s">
        <v>250</v>
      </c>
      <c r="G235" t="s">
        <v>238</v>
      </c>
      <c r="H235">
        <v>0.5</v>
      </c>
    </row>
    <row r="236" spans="1:8" x14ac:dyDescent="0.35">
      <c r="A236" t="s">
        <v>1084</v>
      </c>
      <c r="B236">
        <v>2025</v>
      </c>
      <c r="C236" t="s">
        <v>1085</v>
      </c>
      <c r="D236" t="s">
        <v>1086</v>
      </c>
      <c r="E236" t="b">
        <v>1</v>
      </c>
      <c r="F236" t="s">
        <v>1087</v>
      </c>
      <c r="G236" t="s">
        <v>223</v>
      </c>
      <c r="H236">
        <v>0.9</v>
      </c>
    </row>
    <row r="237" spans="1:8" x14ac:dyDescent="0.35">
      <c r="A237" t="s">
        <v>1088</v>
      </c>
      <c r="B237">
        <v>2025</v>
      </c>
      <c r="C237" t="s">
        <v>1089</v>
      </c>
      <c r="D237" t="s">
        <v>1090</v>
      </c>
      <c r="E237" t="b">
        <v>1</v>
      </c>
      <c r="F237" t="s">
        <v>1091</v>
      </c>
      <c r="G237" t="s">
        <v>223</v>
      </c>
      <c r="H237">
        <v>1</v>
      </c>
    </row>
    <row r="238" spans="1:8" x14ac:dyDescent="0.35">
      <c r="A238" t="s">
        <v>1092</v>
      </c>
      <c r="B238">
        <v>2025</v>
      </c>
      <c r="C238" t="s">
        <v>1093</v>
      </c>
      <c r="D238" t="s">
        <v>1094</v>
      </c>
      <c r="E238" t="b">
        <v>1</v>
      </c>
      <c r="F238" t="s">
        <v>250</v>
      </c>
      <c r="G238" t="s">
        <v>238</v>
      </c>
      <c r="H238">
        <v>0.5</v>
      </c>
    </row>
    <row r="239" spans="1:8" x14ac:dyDescent="0.35">
      <c r="A239" t="s">
        <v>1095</v>
      </c>
      <c r="B239">
        <v>2025</v>
      </c>
      <c r="C239" t="s">
        <v>1096</v>
      </c>
      <c r="D239" t="s">
        <v>1097</v>
      </c>
      <c r="E239" t="b">
        <v>1</v>
      </c>
      <c r="F239" t="s">
        <v>1098</v>
      </c>
      <c r="G239" t="s">
        <v>223</v>
      </c>
      <c r="H239">
        <v>1</v>
      </c>
    </row>
    <row r="240" spans="1:8" x14ac:dyDescent="0.35">
      <c r="A240" t="s">
        <v>1099</v>
      </c>
      <c r="B240">
        <v>2025</v>
      </c>
      <c r="C240" t="s">
        <v>1100</v>
      </c>
      <c r="D240" t="s">
        <v>1101</v>
      </c>
      <c r="E240" t="b">
        <v>1</v>
      </c>
      <c r="F240" t="s">
        <v>250</v>
      </c>
      <c r="G240" t="s">
        <v>238</v>
      </c>
      <c r="H240">
        <v>0.5</v>
      </c>
    </row>
    <row r="241" spans="1:8" x14ac:dyDescent="0.35">
      <c r="A241" t="s">
        <v>1102</v>
      </c>
      <c r="B241">
        <v>2025</v>
      </c>
      <c r="C241" t="s">
        <v>1103</v>
      </c>
      <c r="D241" t="s">
        <v>1104</v>
      </c>
      <c r="E241" t="b">
        <v>1</v>
      </c>
      <c r="F241" t="s">
        <v>250</v>
      </c>
      <c r="G241" t="s">
        <v>238</v>
      </c>
      <c r="H241">
        <v>0.5</v>
      </c>
    </row>
    <row r="242" spans="1:8" x14ac:dyDescent="0.35">
      <c r="A242" t="s">
        <v>1105</v>
      </c>
      <c r="B242">
        <v>2025</v>
      </c>
      <c r="C242" t="s">
        <v>1106</v>
      </c>
      <c r="D242" t="s">
        <v>1107</v>
      </c>
      <c r="E242" t="b">
        <v>1</v>
      </c>
      <c r="F242" t="s">
        <v>1108</v>
      </c>
      <c r="G242" t="s">
        <v>223</v>
      </c>
      <c r="H242">
        <v>1</v>
      </c>
    </row>
    <row r="243" spans="1:8" x14ac:dyDescent="0.35">
      <c r="A243" t="s">
        <v>1109</v>
      </c>
      <c r="B243">
        <v>2025</v>
      </c>
      <c r="C243" t="s">
        <v>1110</v>
      </c>
      <c r="D243" t="s">
        <v>1111</v>
      </c>
      <c r="E243" t="b">
        <v>1</v>
      </c>
      <c r="F243" t="s">
        <v>1112</v>
      </c>
      <c r="G243" t="s">
        <v>223</v>
      </c>
      <c r="H243">
        <v>0.9</v>
      </c>
    </row>
    <row r="244" spans="1:8" x14ac:dyDescent="0.35">
      <c r="A244" t="s">
        <v>1113</v>
      </c>
      <c r="B244">
        <v>2025</v>
      </c>
      <c r="C244" t="s">
        <v>1114</v>
      </c>
      <c r="D244" t="s">
        <v>1115</v>
      </c>
      <c r="E244" t="b">
        <v>1</v>
      </c>
      <c r="F244" t="s">
        <v>1116</v>
      </c>
      <c r="G244" t="s">
        <v>223</v>
      </c>
      <c r="H244">
        <v>1</v>
      </c>
    </row>
    <row r="245" spans="1:8" x14ac:dyDescent="0.35">
      <c r="A245" t="s">
        <v>1117</v>
      </c>
      <c r="B245">
        <v>2025</v>
      </c>
      <c r="C245" t="s">
        <v>1118</v>
      </c>
      <c r="D245" t="s">
        <v>1119</v>
      </c>
      <c r="E245" t="b">
        <v>1</v>
      </c>
      <c r="F245" t="s">
        <v>1120</v>
      </c>
      <c r="G245" t="s">
        <v>223</v>
      </c>
      <c r="H245">
        <v>1</v>
      </c>
    </row>
    <row r="246" spans="1:8" x14ac:dyDescent="0.35">
      <c r="A246" t="s">
        <v>1121</v>
      </c>
      <c r="B246">
        <v>2025</v>
      </c>
      <c r="C246" t="s">
        <v>1122</v>
      </c>
      <c r="D246" t="s">
        <v>1123</v>
      </c>
      <c r="E246" t="b">
        <v>0</v>
      </c>
      <c r="F246" t="s">
        <v>996</v>
      </c>
      <c r="G246" t="s">
        <v>222</v>
      </c>
      <c r="H246">
        <v>1</v>
      </c>
    </row>
    <row r="247" spans="1:8" x14ac:dyDescent="0.35">
      <c r="A247" t="s">
        <v>1124</v>
      </c>
      <c r="B247">
        <v>2025</v>
      </c>
      <c r="C247" t="s">
        <v>1125</v>
      </c>
      <c r="D247" t="s">
        <v>1126</v>
      </c>
      <c r="E247" t="b">
        <v>1</v>
      </c>
      <c r="F247" t="s">
        <v>1127</v>
      </c>
      <c r="G247" t="s">
        <v>223</v>
      </c>
      <c r="H247">
        <v>1</v>
      </c>
    </row>
    <row r="248" spans="1:8" x14ac:dyDescent="0.35">
      <c r="A248" t="s">
        <v>1128</v>
      </c>
      <c r="B248">
        <v>2025</v>
      </c>
      <c r="C248" t="s">
        <v>1129</v>
      </c>
      <c r="D248" t="s">
        <v>1130</v>
      </c>
      <c r="E248" t="b">
        <v>1</v>
      </c>
      <c r="F248" t="s">
        <v>1131</v>
      </c>
      <c r="G248" t="s">
        <v>223</v>
      </c>
      <c r="H248">
        <v>1</v>
      </c>
    </row>
    <row r="249" spans="1:8" ht="409.5" x14ac:dyDescent="0.35">
      <c r="A249" t="s">
        <v>1132</v>
      </c>
      <c r="B249">
        <v>2025</v>
      </c>
      <c r="C249" t="s">
        <v>1133</v>
      </c>
      <c r="D249" s="1" t="s">
        <v>1134</v>
      </c>
      <c r="E249" t="b">
        <v>0</v>
      </c>
      <c r="F249" t="s">
        <v>1135</v>
      </c>
      <c r="G249" t="s">
        <v>222</v>
      </c>
      <c r="H249">
        <v>1</v>
      </c>
    </row>
    <row r="250" spans="1:8" x14ac:dyDescent="0.35">
      <c r="A250" t="s">
        <v>1136</v>
      </c>
      <c r="B250">
        <v>2025</v>
      </c>
      <c r="C250" t="s">
        <v>1137</v>
      </c>
      <c r="D250" t="s">
        <v>1138</v>
      </c>
      <c r="E250" t="b">
        <v>0</v>
      </c>
      <c r="F250" t="s">
        <v>1139</v>
      </c>
      <c r="G250" t="s">
        <v>222</v>
      </c>
      <c r="H250">
        <v>1</v>
      </c>
    </row>
    <row r="251" spans="1:8" x14ac:dyDescent="0.35">
      <c r="A251" t="s">
        <v>1140</v>
      </c>
      <c r="B251">
        <v>2025</v>
      </c>
      <c r="C251" t="s">
        <v>1141</v>
      </c>
      <c r="D251" t="s">
        <v>1142</v>
      </c>
      <c r="E251" t="b">
        <v>1</v>
      </c>
      <c r="F251" t="s">
        <v>1143</v>
      </c>
      <c r="G251" t="s">
        <v>223</v>
      </c>
      <c r="H251">
        <v>0.9</v>
      </c>
    </row>
    <row r="252" spans="1:8" x14ac:dyDescent="0.35">
      <c r="A252" t="s">
        <v>1144</v>
      </c>
      <c r="B252">
        <v>2025</v>
      </c>
      <c r="C252" t="s">
        <v>1145</v>
      </c>
      <c r="D252" t="s">
        <v>1146</v>
      </c>
      <c r="E252" t="b">
        <v>1</v>
      </c>
      <c r="F252" t="s">
        <v>250</v>
      </c>
      <c r="G252" t="s">
        <v>238</v>
      </c>
      <c r="H252">
        <v>0.5</v>
      </c>
    </row>
    <row r="253" spans="1:8" x14ac:dyDescent="0.35">
      <c r="A253" t="s">
        <v>1147</v>
      </c>
      <c r="B253">
        <v>2025</v>
      </c>
      <c r="C253" t="s">
        <v>1148</v>
      </c>
      <c r="D253" t="s">
        <v>1149</v>
      </c>
      <c r="E253" t="b">
        <v>1</v>
      </c>
      <c r="F253" t="s">
        <v>250</v>
      </c>
      <c r="G253" t="s">
        <v>238</v>
      </c>
      <c r="H253">
        <v>0.5</v>
      </c>
    </row>
    <row r="254" spans="1:8" x14ac:dyDescent="0.35">
      <c r="A254" t="s">
        <v>1150</v>
      </c>
      <c r="B254">
        <v>2025</v>
      </c>
      <c r="C254" t="s">
        <v>1151</v>
      </c>
      <c r="D254" t="s">
        <v>1152</v>
      </c>
      <c r="E254" t="b">
        <v>0</v>
      </c>
      <c r="F254" t="s">
        <v>743</v>
      </c>
      <c r="G254" t="s">
        <v>222</v>
      </c>
      <c r="H254">
        <v>1</v>
      </c>
    </row>
    <row r="255" spans="1:8" ht="409.5" x14ac:dyDescent="0.35">
      <c r="A255" t="s">
        <v>1153</v>
      </c>
      <c r="B255">
        <v>2025</v>
      </c>
      <c r="C255" t="s">
        <v>1154</v>
      </c>
      <c r="D255" s="1" t="s">
        <v>1155</v>
      </c>
      <c r="E255" t="b">
        <v>1</v>
      </c>
      <c r="F255" t="s">
        <v>1156</v>
      </c>
      <c r="G255" t="s">
        <v>223</v>
      </c>
      <c r="H255">
        <v>1</v>
      </c>
    </row>
    <row r="256" spans="1:8" x14ac:dyDescent="0.35">
      <c r="A256" t="s">
        <v>1157</v>
      </c>
      <c r="B256">
        <v>2025</v>
      </c>
      <c r="C256" t="s">
        <v>1158</v>
      </c>
      <c r="D256" t="s">
        <v>1159</v>
      </c>
      <c r="E256" t="b">
        <v>1</v>
      </c>
      <c r="F256" t="s">
        <v>250</v>
      </c>
      <c r="G256" t="s">
        <v>238</v>
      </c>
      <c r="H256">
        <v>0.5</v>
      </c>
    </row>
    <row r="257" spans="1:8" x14ac:dyDescent="0.35">
      <c r="A257" t="s">
        <v>1160</v>
      </c>
      <c r="B257">
        <v>2025</v>
      </c>
      <c r="C257" t="s">
        <v>1161</v>
      </c>
      <c r="D257" t="s">
        <v>1162</v>
      </c>
      <c r="E257" t="b">
        <v>1</v>
      </c>
      <c r="F257" t="s">
        <v>1163</v>
      </c>
      <c r="G257" t="s">
        <v>223</v>
      </c>
      <c r="H257">
        <v>1</v>
      </c>
    </row>
    <row r="258" spans="1:8" x14ac:dyDescent="0.35">
      <c r="A258" t="s">
        <v>1164</v>
      </c>
      <c r="B258">
        <v>2025</v>
      </c>
      <c r="C258" t="s">
        <v>1165</v>
      </c>
      <c r="D258" t="s">
        <v>1166</v>
      </c>
      <c r="E258" t="b">
        <v>1</v>
      </c>
      <c r="F258" t="s">
        <v>1167</v>
      </c>
      <c r="G258" t="s">
        <v>223</v>
      </c>
      <c r="H258">
        <v>1</v>
      </c>
    </row>
    <row r="259" spans="1:8" ht="409.5" x14ac:dyDescent="0.35">
      <c r="A259" t="s">
        <v>1168</v>
      </c>
      <c r="B259">
        <v>2025</v>
      </c>
      <c r="C259" t="s">
        <v>1169</v>
      </c>
      <c r="D259" s="1" t="s">
        <v>1170</v>
      </c>
      <c r="E259" t="b">
        <v>1</v>
      </c>
      <c r="F259" t="s">
        <v>250</v>
      </c>
      <c r="G259" t="s">
        <v>238</v>
      </c>
      <c r="H259">
        <v>0.5</v>
      </c>
    </row>
    <row r="260" spans="1:8" ht="409.5" x14ac:dyDescent="0.35">
      <c r="A260" t="s">
        <v>1171</v>
      </c>
      <c r="B260">
        <v>2025</v>
      </c>
      <c r="C260" t="s">
        <v>1172</v>
      </c>
      <c r="D260" s="1" t="s">
        <v>1173</v>
      </c>
      <c r="E260" t="b">
        <v>1</v>
      </c>
      <c r="F260" t="s">
        <v>1174</v>
      </c>
      <c r="G260" t="s">
        <v>223</v>
      </c>
      <c r="H260">
        <v>1</v>
      </c>
    </row>
    <row r="261" spans="1:8" x14ac:dyDescent="0.35">
      <c r="A261" t="s">
        <v>1175</v>
      </c>
      <c r="B261">
        <v>2025</v>
      </c>
      <c r="C261" t="s">
        <v>1176</v>
      </c>
      <c r="D261" t="s">
        <v>1177</v>
      </c>
      <c r="E261" t="b">
        <v>1</v>
      </c>
      <c r="F261" t="s">
        <v>1178</v>
      </c>
      <c r="G261" t="s">
        <v>223</v>
      </c>
      <c r="H261">
        <v>1</v>
      </c>
    </row>
    <row r="262" spans="1:8" x14ac:dyDescent="0.35">
      <c r="A262" t="s">
        <v>1179</v>
      </c>
      <c r="B262">
        <v>2025</v>
      </c>
      <c r="C262" t="s">
        <v>1180</v>
      </c>
      <c r="D262" t="s">
        <v>1181</v>
      </c>
      <c r="E262" t="b">
        <v>1</v>
      </c>
      <c r="F262" t="s">
        <v>969</v>
      </c>
      <c r="G262" t="s">
        <v>223</v>
      </c>
      <c r="H262">
        <v>1</v>
      </c>
    </row>
    <row r="263" spans="1:8" ht="409.5" x14ac:dyDescent="0.35">
      <c r="A263" t="s">
        <v>1182</v>
      </c>
      <c r="B263">
        <v>2025</v>
      </c>
      <c r="C263" t="s">
        <v>1183</v>
      </c>
      <c r="D263" s="1" t="s">
        <v>1184</v>
      </c>
      <c r="E263" t="b">
        <v>0</v>
      </c>
      <c r="F263" t="s">
        <v>1185</v>
      </c>
      <c r="G263" t="s">
        <v>222</v>
      </c>
      <c r="H263">
        <v>1</v>
      </c>
    </row>
    <row r="264" spans="1:8" x14ac:dyDescent="0.35">
      <c r="A264" t="s">
        <v>1186</v>
      </c>
      <c r="B264">
        <v>2025</v>
      </c>
      <c r="C264" t="s">
        <v>1187</v>
      </c>
      <c r="D264" t="s">
        <v>1188</v>
      </c>
      <c r="E264" t="b">
        <v>1</v>
      </c>
      <c r="F264" t="s">
        <v>250</v>
      </c>
      <c r="G264" t="s">
        <v>238</v>
      </c>
      <c r="H264">
        <v>0.5</v>
      </c>
    </row>
    <row r="265" spans="1:8" ht="409.5" x14ac:dyDescent="0.35">
      <c r="A265" t="s">
        <v>1189</v>
      </c>
      <c r="B265">
        <v>2025</v>
      </c>
      <c r="C265" t="s">
        <v>1190</v>
      </c>
      <c r="D265" s="1" t="s">
        <v>1191</v>
      </c>
      <c r="E265" t="b">
        <v>0</v>
      </c>
      <c r="F265" t="s">
        <v>816</v>
      </c>
      <c r="G265" t="s">
        <v>222</v>
      </c>
      <c r="H265">
        <v>1</v>
      </c>
    </row>
    <row r="266" spans="1:8" x14ac:dyDescent="0.35">
      <c r="A266" t="s">
        <v>1192</v>
      </c>
      <c r="B266">
        <v>2025</v>
      </c>
      <c r="C266" t="s">
        <v>1190</v>
      </c>
      <c r="D266" t="s">
        <v>549</v>
      </c>
      <c r="E266" t="b">
        <v>1</v>
      </c>
      <c r="F266" t="s">
        <v>250</v>
      </c>
      <c r="G266" t="s">
        <v>238</v>
      </c>
      <c r="H266">
        <v>0.5</v>
      </c>
    </row>
    <row r="267" spans="1:8" x14ac:dyDescent="0.35">
      <c r="A267" t="s">
        <v>1193</v>
      </c>
      <c r="B267">
        <v>2025</v>
      </c>
      <c r="C267" t="s">
        <v>1194</v>
      </c>
      <c r="D267" t="s">
        <v>1195</v>
      </c>
      <c r="E267" t="b">
        <v>1</v>
      </c>
      <c r="F267" t="s">
        <v>250</v>
      </c>
      <c r="G267" t="s">
        <v>238</v>
      </c>
      <c r="H267">
        <v>0.5</v>
      </c>
    </row>
    <row r="268" spans="1:8" x14ac:dyDescent="0.35">
      <c r="A268" t="s">
        <v>1196</v>
      </c>
      <c r="B268">
        <v>2025</v>
      </c>
      <c r="C268" t="s">
        <v>1197</v>
      </c>
      <c r="D268" t="s">
        <v>1198</v>
      </c>
      <c r="E268" t="b">
        <v>1</v>
      </c>
      <c r="F268" t="s">
        <v>250</v>
      </c>
      <c r="G268" t="s">
        <v>238</v>
      </c>
      <c r="H268">
        <v>0.5</v>
      </c>
    </row>
    <row r="269" spans="1:8" x14ac:dyDescent="0.35">
      <c r="A269" t="s">
        <v>1199</v>
      </c>
      <c r="B269">
        <v>2025</v>
      </c>
      <c r="C269" t="s">
        <v>1200</v>
      </c>
      <c r="D269" t="s">
        <v>1201</v>
      </c>
      <c r="E269" t="b">
        <v>1</v>
      </c>
      <c r="F269" t="s">
        <v>1202</v>
      </c>
      <c r="G269" t="s">
        <v>223</v>
      </c>
      <c r="H269">
        <v>0.9</v>
      </c>
    </row>
    <row r="270" spans="1:8" x14ac:dyDescent="0.35">
      <c r="A270" t="s">
        <v>1203</v>
      </c>
      <c r="B270">
        <v>2025</v>
      </c>
      <c r="C270" t="s">
        <v>1204</v>
      </c>
      <c r="D270" t="s">
        <v>1205</v>
      </c>
      <c r="E270" t="b">
        <v>1</v>
      </c>
      <c r="F270" t="s">
        <v>250</v>
      </c>
      <c r="G270" t="s">
        <v>238</v>
      </c>
      <c r="H270">
        <v>0.5</v>
      </c>
    </row>
    <row r="271" spans="1:8" ht="409.5" x14ac:dyDescent="0.35">
      <c r="A271" t="s">
        <v>1206</v>
      </c>
      <c r="B271">
        <v>2025</v>
      </c>
      <c r="C271" t="s">
        <v>1207</v>
      </c>
      <c r="D271" s="1" t="s">
        <v>1208</v>
      </c>
      <c r="E271" t="b">
        <v>0</v>
      </c>
      <c r="F271" t="s">
        <v>1209</v>
      </c>
      <c r="G271" t="s">
        <v>222</v>
      </c>
      <c r="H271">
        <v>1</v>
      </c>
    </row>
    <row r="272" spans="1:8" x14ac:dyDescent="0.35">
      <c r="A272" t="s">
        <v>1210</v>
      </c>
      <c r="B272">
        <v>2025</v>
      </c>
      <c r="C272" t="s">
        <v>1211</v>
      </c>
      <c r="D272" t="s">
        <v>1212</v>
      </c>
      <c r="E272" t="b">
        <v>1</v>
      </c>
      <c r="F272" t="s">
        <v>250</v>
      </c>
      <c r="G272" t="s">
        <v>238</v>
      </c>
      <c r="H272">
        <v>0.5</v>
      </c>
    </row>
    <row r="273" spans="1:8" x14ac:dyDescent="0.35">
      <c r="A273" t="s">
        <v>1213</v>
      </c>
      <c r="B273">
        <v>2025</v>
      </c>
      <c r="C273" t="s">
        <v>1214</v>
      </c>
      <c r="D273" t="s">
        <v>1215</v>
      </c>
      <c r="E273" t="b">
        <v>1</v>
      </c>
      <c r="F273" t="s">
        <v>1216</v>
      </c>
      <c r="G273" t="s">
        <v>223</v>
      </c>
      <c r="H273">
        <v>1</v>
      </c>
    </row>
    <row r="274" spans="1:8" x14ac:dyDescent="0.35">
      <c r="A274" t="s">
        <v>1217</v>
      </c>
      <c r="B274">
        <v>2025</v>
      </c>
      <c r="C274" t="s">
        <v>1218</v>
      </c>
      <c r="D274" t="s">
        <v>1219</v>
      </c>
      <c r="E274" t="b">
        <v>0</v>
      </c>
      <c r="F274" t="s">
        <v>1220</v>
      </c>
      <c r="G274" t="s">
        <v>222</v>
      </c>
      <c r="H274">
        <v>0.9</v>
      </c>
    </row>
    <row r="275" spans="1:8" x14ac:dyDescent="0.35">
      <c r="A275" t="s">
        <v>1221</v>
      </c>
      <c r="B275">
        <v>2025</v>
      </c>
      <c r="C275" t="s">
        <v>1222</v>
      </c>
      <c r="D275" t="s">
        <v>1223</v>
      </c>
      <c r="E275" t="b">
        <v>1</v>
      </c>
      <c r="F275" t="s">
        <v>250</v>
      </c>
      <c r="G275" t="s">
        <v>238</v>
      </c>
      <c r="H275">
        <v>0.5</v>
      </c>
    </row>
    <row r="276" spans="1:8" x14ac:dyDescent="0.35">
      <c r="A276" t="s">
        <v>1224</v>
      </c>
      <c r="B276">
        <v>2025</v>
      </c>
      <c r="C276" t="s">
        <v>1222</v>
      </c>
      <c r="D276" t="s">
        <v>1225</v>
      </c>
      <c r="E276" t="b">
        <v>1</v>
      </c>
      <c r="F276" t="s">
        <v>250</v>
      </c>
      <c r="G276" t="s">
        <v>238</v>
      </c>
      <c r="H276">
        <v>0.5</v>
      </c>
    </row>
    <row r="277" spans="1:8" x14ac:dyDescent="0.35">
      <c r="A277" t="s">
        <v>1226</v>
      </c>
      <c r="B277">
        <v>2025</v>
      </c>
      <c r="C277" t="s">
        <v>1227</v>
      </c>
      <c r="D277" t="s">
        <v>1228</v>
      </c>
      <c r="E277" t="b">
        <v>1</v>
      </c>
      <c r="F277" t="s">
        <v>1229</v>
      </c>
      <c r="G277" t="s">
        <v>223</v>
      </c>
      <c r="H277">
        <v>1</v>
      </c>
    </row>
    <row r="278" spans="1:8" ht="409.5" x14ac:dyDescent="0.35">
      <c r="A278" t="s">
        <v>1230</v>
      </c>
      <c r="B278">
        <v>2025</v>
      </c>
      <c r="C278" t="s">
        <v>1231</v>
      </c>
      <c r="D278" s="1" t="s">
        <v>1232</v>
      </c>
      <c r="E278" t="b">
        <v>0</v>
      </c>
      <c r="F278" t="s">
        <v>1233</v>
      </c>
      <c r="G278" t="s">
        <v>222</v>
      </c>
      <c r="H278">
        <v>1</v>
      </c>
    </row>
    <row r="279" spans="1:8" x14ac:dyDescent="0.35">
      <c r="A279" t="s">
        <v>1234</v>
      </c>
      <c r="B279">
        <v>2025</v>
      </c>
      <c r="C279" t="s">
        <v>1235</v>
      </c>
      <c r="D279" t="s">
        <v>1236</v>
      </c>
      <c r="E279" t="b">
        <v>1</v>
      </c>
      <c r="F279" t="s">
        <v>1237</v>
      </c>
      <c r="G279" t="s">
        <v>223</v>
      </c>
      <c r="H279">
        <v>1</v>
      </c>
    </row>
    <row r="280" spans="1:8" x14ac:dyDescent="0.35">
      <c r="A280" t="s">
        <v>1238</v>
      </c>
      <c r="B280">
        <v>2020</v>
      </c>
      <c r="C280" t="s">
        <v>1239</v>
      </c>
      <c r="D280" t="s">
        <v>1240</v>
      </c>
      <c r="E280" t="b">
        <v>1</v>
      </c>
      <c r="F280" t="s">
        <v>250</v>
      </c>
      <c r="G280" t="s">
        <v>238</v>
      </c>
      <c r="H280">
        <v>0.5</v>
      </c>
    </row>
    <row r="281" spans="1:8" x14ac:dyDescent="0.35">
      <c r="A281" t="s">
        <v>1241</v>
      </c>
      <c r="B281">
        <v>2020</v>
      </c>
      <c r="C281" t="s">
        <v>1242</v>
      </c>
      <c r="D281" t="s">
        <v>1243</v>
      </c>
      <c r="E281" t="b">
        <v>0</v>
      </c>
      <c r="F281" t="s">
        <v>1244</v>
      </c>
      <c r="G281" t="s">
        <v>222</v>
      </c>
      <c r="H281">
        <v>0.9</v>
      </c>
    </row>
    <row r="282" spans="1:8" x14ac:dyDescent="0.35">
      <c r="A282" t="s">
        <v>1245</v>
      </c>
      <c r="B282">
        <v>2020</v>
      </c>
      <c r="C282" t="s">
        <v>1246</v>
      </c>
      <c r="D282" t="s">
        <v>1247</v>
      </c>
      <c r="E282" t="b">
        <v>1</v>
      </c>
      <c r="F282" t="s">
        <v>1248</v>
      </c>
      <c r="G282" t="s">
        <v>223</v>
      </c>
      <c r="H282">
        <v>1</v>
      </c>
    </row>
    <row r="283" spans="1:8" x14ac:dyDescent="0.35">
      <c r="A283" t="s">
        <v>1249</v>
      </c>
      <c r="B283">
        <v>2020</v>
      </c>
      <c r="C283" t="s">
        <v>1250</v>
      </c>
      <c r="D283" t="s">
        <v>1251</v>
      </c>
      <c r="E283" t="b">
        <v>1</v>
      </c>
      <c r="F283" t="s">
        <v>1252</v>
      </c>
      <c r="G283" t="s">
        <v>223</v>
      </c>
      <c r="H283">
        <v>1</v>
      </c>
    </row>
    <row r="284" spans="1:8" x14ac:dyDescent="0.35">
      <c r="A284" t="s">
        <v>1253</v>
      </c>
      <c r="B284">
        <v>2020</v>
      </c>
      <c r="C284" t="s">
        <v>1254</v>
      </c>
      <c r="D284" t="s">
        <v>1255</v>
      </c>
      <c r="E284" t="b">
        <v>1</v>
      </c>
      <c r="F284" t="s">
        <v>1256</v>
      </c>
      <c r="G284" t="s">
        <v>223</v>
      </c>
      <c r="H284">
        <v>1</v>
      </c>
    </row>
    <row r="285" spans="1:8" x14ac:dyDescent="0.35">
      <c r="A285" t="s">
        <v>1257</v>
      </c>
      <c r="B285">
        <v>2020</v>
      </c>
      <c r="C285" t="s">
        <v>1258</v>
      </c>
      <c r="D285" t="s">
        <v>1259</v>
      </c>
      <c r="E285" t="b">
        <v>1</v>
      </c>
      <c r="F285" t="s">
        <v>250</v>
      </c>
      <c r="G285" t="s">
        <v>238</v>
      </c>
      <c r="H285">
        <v>0.5</v>
      </c>
    </row>
    <row r="286" spans="1:8" x14ac:dyDescent="0.35">
      <c r="A286" t="s">
        <v>1260</v>
      </c>
      <c r="B286">
        <v>2020</v>
      </c>
      <c r="C286" t="s">
        <v>1261</v>
      </c>
      <c r="D286" t="s">
        <v>1262</v>
      </c>
      <c r="E286" t="b">
        <v>0</v>
      </c>
      <c r="F286" t="s">
        <v>1263</v>
      </c>
      <c r="G286" t="s">
        <v>222</v>
      </c>
      <c r="H286">
        <v>1</v>
      </c>
    </row>
    <row r="287" spans="1:8" x14ac:dyDescent="0.35">
      <c r="A287" t="s">
        <v>1264</v>
      </c>
      <c r="B287">
        <v>2020</v>
      </c>
      <c r="C287" t="s">
        <v>1265</v>
      </c>
      <c r="D287" t="s">
        <v>1266</v>
      </c>
      <c r="E287" t="b">
        <v>1</v>
      </c>
      <c r="F287" t="s">
        <v>1267</v>
      </c>
      <c r="G287" t="s">
        <v>223</v>
      </c>
      <c r="H287">
        <v>1</v>
      </c>
    </row>
    <row r="288" spans="1:8" x14ac:dyDescent="0.35">
      <c r="A288" t="s">
        <v>1268</v>
      </c>
      <c r="B288">
        <v>2020</v>
      </c>
      <c r="C288" t="s">
        <v>1269</v>
      </c>
      <c r="D288" t="s">
        <v>1270</v>
      </c>
      <c r="E288" t="b">
        <v>1</v>
      </c>
      <c r="F288" t="s">
        <v>1271</v>
      </c>
      <c r="G288" t="s">
        <v>223</v>
      </c>
      <c r="H288">
        <v>0.9</v>
      </c>
    </row>
    <row r="289" spans="1:8" x14ac:dyDescent="0.35">
      <c r="A289" t="s">
        <v>1272</v>
      </c>
      <c r="B289">
        <v>2020</v>
      </c>
      <c r="C289" t="s">
        <v>1273</v>
      </c>
      <c r="D289" t="s">
        <v>549</v>
      </c>
      <c r="E289" t="b">
        <v>1</v>
      </c>
      <c r="F289" t="s">
        <v>250</v>
      </c>
      <c r="G289" t="s">
        <v>238</v>
      </c>
      <c r="H289">
        <v>0.5</v>
      </c>
    </row>
    <row r="290" spans="1:8" x14ac:dyDescent="0.35">
      <c r="A290" t="s">
        <v>1274</v>
      </c>
      <c r="B290">
        <v>2020</v>
      </c>
      <c r="C290" t="s">
        <v>1275</v>
      </c>
      <c r="D290" t="s">
        <v>1276</v>
      </c>
      <c r="E290" t="b">
        <v>1</v>
      </c>
      <c r="F290" t="s">
        <v>831</v>
      </c>
      <c r="G290" t="s">
        <v>223</v>
      </c>
      <c r="H290">
        <v>1</v>
      </c>
    </row>
    <row r="291" spans="1:8" x14ac:dyDescent="0.35">
      <c r="A291" t="s">
        <v>1277</v>
      </c>
      <c r="B291">
        <v>2020</v>
      </c>
      <c r="C291" t="s">
        <v>1278</v>
      </c>
      <c r="D291" t="s">
        <v>1279</v>
      </c>
      <c r="E291" t="b">
        <v>1</v>
      </c>
      <c r="F291" t="s">
        <v>969</v>
      </c>
      <c r="G291" t="s">
        <v>223</v>
      </c>
      <c r="H291">
        <v>1</v>
      </c>
    </row>
    <row r="292" spans="1:8" x14ac:dyDescent="0.35">
      <c r="A292" t="s">
        <v>1280</v>
      </c>
      <c r="B292">
        <v>2020</v>
      </c>
      <c r="C292" t="s">
        <v>1281</v>
      </c>
      <c r="D292" t="s">
        <v>1282</v>
      </c>
      <c r="E292" t="b">
        <v>1</v>
      </c>
      <c r="F292" t="s">
        <v>250</v>
      </c>
      <c r="G292" t="s">
        <v>238</v>
      </c>
      <c r="H292">
        <v>0.5</v>
      </c>
    </row>
    <row r="293" spans="1:8" x14ac:dyDescent="0.35">
      <c r="A293" t="s">
        <v>1283</v>
      </c>
      <c r="B293">
        <v>2020</v>
      </c>
      <c r="C293" t="s">
        <v>1284</v>
      </c>
      <c r="D293" t="s">
        <v>1285</v>
      </c>
      <c r="E293" t="b">
        <v>0</v>
      </c>
      <c r="F293" t="s">
        <v>816</v>
      </c>
      <c r="G293" t="s">
        <v>222</v>
      </c>
      <c r="H293">
        <v>1</v>
      </c>
    </row>
    <row r="294" spans="1:8" x14ac:dyDescent="0.35">
      <c r="A294" t="s">
        <v>1286</v>
      </c>
      <c r="B294">
        <v>2020</v>
      </c>
      <c r="C294" t="s">
        <v>1287</v>
      </c>
      <c r="D294" t="s">
        <v>1288</v>
      </c>
      <c r="E294" t="b">
        <v>0</v>
      </c>
      <c r="F294" t="s">
        <v>1289</v>
      </c>
      <c r="G294" t="s">
        <v>222</v>
      </c>
      <c r="H294">
        <v>0.9</v>
      </c>
    </row>
    <row r="295" spans="1:8" x14ac:dyDescent="0.35">
      <c r="A295" t="s">
        <v>1290</v>
      </c>
      <c r="B295">
        <v>2020</v>
      </c>
      <c r="C295" t="s">
        <v>1291</v>
      </c>
      <c r="D295" t="s">
        <v>1292</v>
      </c>
      <c r="E295" t="b">
        <v>1</v>
      </c>
      <c r="F295" t="s">
        <v>250</v>
      </c>
      <c r="G295" t="s">
        <v>238</v>
      </c>
      <c r="H295">
        <v>0.5</v>
      </c>
    </row>
    <row r="296" spans="1:8" x14ac:dyDescent="0.35">
      <c r="A296" t="s">
        <v>1293</v>
      </c>
      <c r="B296">
        <v>2020</v>
      </c>
      <c r="C296" t="s">
        <v>1294</v>
      </c>
      <c r="D296" t="s">
        <v>1295</v>
      </c>
      <c r="E296" t="b">
        <v>1</v>
      </c>
      <c r="F296" t="s">
        <v>1296</v>
      </c>
      <c r="G296" t="s">
        <v>223</v>
      </c>
      <c r="H296">
        <v>1</v>
      </c>
    </row>
    <row r="297" spans="1:8" x14ac:dyDescent="0.35">
      <c r="A297" t="s">
        <v>1297</v>
      </c>
      <c r="B297">
        <v>2020</v>
      </c>
      <c r="C297" t="s">
        <v>1298</v>
      </c>
      <c r="D297" t="s">
        <v>1299</v>
      </c>
      <c r="E297" t="b">
        <v>1</v>
      </c>
      <c r="F297" t="s">
        <v>1300</v>
      </c>
      <c r="G297" t="s">
        <v>223</v>
      </c>
      <c r="H297">
        <v>0.9</v>
      </c>
    </row>
    <row r="298" spans="1:8" x14ac:dyDescent="0.35">
      <c r="A298" t="s">
        <v>1301</v>
      </c>
      <c r="B298">
        <v>2020</v>
      </c>
      <c r="C298" t="s">
        <v>1302</v>
      </c>
      <c r="D298" t="s">
        <v>1303</v>
      </c>
      <c r="E298" t="b">
        <v>1</v>
      </c>
      <c r="F298" t="s">
        <v>250</v>
      </c>
      <c r="G298" t="s">
        <v>238</v>
      </c>
      <c r="H298">
        <v>0.5</v>
      </c>
    </row>
    <row r="299" spans="1:8" x14ac:dyDescent="0.35">
      <c r="A299" t="s">
        <v>1304</v>
      </c>
      <c r="B299">
        <v>2020</v>
      </c>
      <c r="C299" t="s">
        <v>1305</v>
      </c>
      <c r="D299" t="s">
        <v>1306</v>
      </c>
      <c r="E299" t="b">
        <v>1</v>
      </c>
      <c r="F299" t="s">
        <v>250</v>
      </c>
      <c r="G299" t="s">
        <v>238</v>
      </c>
      <c r="H299">
        <v>0.5</v>
      </c>
    </row>
    <row r="300" spans="1:8" x14ac:dyDescent="0.35">
      <c r="A300" t="s">
        <v>1307</v>
      </c>
      <c r="B300">
        <v>2020</v>
      </c>
      <c r="C300" t="s">
        <v>1308</v>
      </c>
      <c r="D300" t="s">
        <v>1309</v>
      </c>
      <c r="E300" t="b">
        <v>1</v>
      </c>
      <c r="F300" t="s">
        <v>250</v>
      </c>
      <c r="G300" t="s">
        <v>238</v>
      </c>
      <c r="H300">
        <v>0.5</v>
      </c>
    </row>
    <row r="301" spans="1:8" x14ac:dyDescent="0.35">
      <c r="A301" t="s">
        <v>1310</v>
      </c>
      <c r="B301">
        <v>2020</v>
      </c>
      <c r="C301" t="s">
        <v>1311</v>
      </c>
      <c r="D301" t="s">
        <v>1312</v>
      </c>
      <c r="E301" t="b">
        <v>1</v>
      </c>
      <c r="F301" t="s">
        <v>250</v>
      </c>
      <c r="G301" t="s">
        <v>238</v>
      </c>
      <c r="H301">
        <v>0.5</v>
      </c>
    </row>
    <row r="302" spans="1:8" x14ac:dyDescent="0.35">
      <c r="A302" t="s">
        <v>1313</v>
      </c>
      <c r="B302">
        <v>2020</v>
      </c>
      <c r="C302" t="s">
        <v>1314</v>
      </c>
      <c r="D302" t="s">
        <v>1315</v>
      </c>
      <c r="E302" t="b">
        <v>1</v>
      </c>
      <c r="F302" t="s">
        <v>250</v>
      </c>
      <c r="G302" t="s">
        <v>238</v>
      </c>
      <c r="H302">
        <v>0.5</v>
      </c>
    </row>
    <row r="303" spans="1:8" x14ac:dyDescent="0.35">
      <c r="A303" t="s">
        <v>1316</v>
      </c>
      <c r="B303">
        <v>2020</v>
      </c>
      <c r="C303" t="s">
        <v>1317</v>
      </c>
      <c r="D303" t="s">
        <v>1318</v>
      </c>
      <c r="E303" t="b">
        <v>0</v>
      </c>
      <c r="F303" t="s">
        <v>1319</v>
      </c>
      <c r="G303" t="s">
        <v>222</v>
      </c>
      <c r="H303">
        <v>1</v>
      </c>
    </row>
    <row r="304" spans="1:8" ht="409.5" x14ac:dyDescent="0.35">
      <c r="A304" t="s">
        <v>1320</v>
      </c>
      <c r="B304">
        <v>2020</v>
      </c>
      <c r="C304" t="s">
        <v>1321</v>
      </c>
      <c r="D304" s="1" t="s">
        <v>1322</v>
      </c>
      <c r="E304" t="b">
        <v>1</v>
      </c>
      <c r="F304" t="s">
        <v>1323</v>
      </c>
      <c r="G304" t="s">
        <v>223</v>
      </c>
      <c r="H304">
        <v>0.9</v>
      </c>
    </row>
    <row r="305" spans="1:8" x14ac:dyDescent="0.35">
      <c r="A305" t="s">
        <v>1324</v>
      </c>
      <c r="B305">
        <v>2020</v>
      </c>
      <c r="C305" t="s">
        <v>1325</v>
      </c>
      <c r="D305" t="s">
        <v>1326</v>
      </c>
      <c r="E305" t="b">
        <v>1</v>
      </c>
      <c r="F305" t="s">
        <v>250</v>
      </c>
      <c r="G305" t="s">
        <v>238</v>
      </c>
      <c r="H305">
        <v>0.5</v>
      </c>
    </row>
    <row r="306" spans="1:8" x14ac:dyDescent="0.35">
      <c r="A306" t="s">
        <v>1327</v>
      </c>
      <c r="B306">
        <v>2020</v>
      </c>
      <c r="C306" t="s">
        <v>1328</v>
      </c>
      <c r="D306" t="s">
        <v>1329</v>
      </c>
      <c r="E306" t="b">
        <v>1</v>
      </c>
      <c r="F306" t="s">
        <v>1330</v>
      </c>
      <c r="G306" t="s">
        <v>223</v>
      </c>
      <c r="H306">
        <v>1</v>
      </c>
    </row>
    <row r="307" spans="1:8" ht="409.5" x14ac:dyDescent="0.35">
      <c r="A307" t="s">
        <v>1331</v>
      </c>
      <c r="B307">
        <v>2020</v>
      </c>
      <c r="C307" t="s">
        <v>1332</v>
      </c>
      <c r="D307" s="1" t="s">
        <v>1333</v>
      </c>
      <c r="E307" t="b">
        <v>0</v>
      </c>
      <c r="F307" t="s">
        <v>1233</v>
      </c>
      <c r="G307" t="s">
        <v>222</v>
      </c>
      <c r="H307">
        <v>1</v>
      </c>
    </row>
    <row r="308" spans="1:8" x14ac:dyDescent="0.35">
      <c r="A308" t="s">
        <v>1334</v>
      </c>
      <c r="B308">
        <v>2020</v>
      </c>
      <c r="C308" t="s">
        <v>1335</v>
      </c>
      <c r="D308" t="s">
        <v>1336</v>
      </c>
      <c r="E308" t="b">
        <v>0</v>
      </c>
      <c r="F308" t="s">
        <v>1337</v>
      </c>
      <c r="G308" t="s">
        <v>222</v>
      </c>
      <c r="H308">
        <v>0.95</v>
      </c>
    </row>
    <row r="309" spans="1:8" x14ac:dyDescent="0.35">
      <c r="A309" t="s">
        <v>1338</v>
      </c>
      <c r="B309">
        <v>2020</v>
      </c>
      <c r="C309" t="s">
        <v>1339</v>
      </c>
      <c r="D309" t="s">
        <v>1340</v>
      </c>
      <c r="E309" t="b">
        <v>0</v>
      </c>
      <c r="F309" t="s">
        <v>1341</v>
      </c>
      <c r="G309" t="s">
        <v>222</v>
      </c>
      <c r="H309">
        <v>1</v>
      </c>
    </row>
    <row r="310" spans="1:8" ht="409.5" x14ac:dyDescent="0.35">
      <c r="A310" t="s">
        <v>1342</v>
      </c>
      <c r="B310">
        <v>2022</v>
      </c>
      <c r="C310" t="s">
        <v>1343</v>
      </c>
      <c r="D310" s="1" t="s">
        <v>1344</v>
      </c>
      <c r="E310" t="b">
        <v>1</v>
      </c>
      <c r="F310" t="s">
        <v>1345</v>
      </c>
      <c r="G310" t="s">
        <v>223</v>
      </c>
      <c r="H310">
        <v>1</v>
      </c>
    </row>
    <row r="311" spans="1:8" x14ac:dyDescent="0.35">
      <c r="A311" t="s">
        <v>1346</v>
      </c>
      <c r="B311">
        <v>2022</v>
      </c>
      <c r="C311" t="s">
        <v>1343</v>
      </c>
      <c r="D311" t="s">
        <v>1326</v>
      </c>
      <c r="E311" t="b">
        <v>1</v>
      </c>
      <c r="F311" t="s">
        <v>250</v>
      </c>
      <c r="G311" t="s">
        <v>238</v>
      </c>
      <c r="H311">
        <v>0.5</v>
      </c>
    </row>
    <row r="312" spans="1:8" x14ac:dyDescent="0.35">
      <c r="A312" t="s">
        <v>1347</v>
      </c>
      <c r="B312">
        <v>2022</v>
      </c>
      <c r="C312" t="s">
        <v>1348</v>
      </c>
      <c r="D312" t="s">
        <v>1349</v>
      </c>
      <c r="E312" t="b">
        <v>0</v>
      </c>
      <c r="F312" t="s">
        <v>1350</v>
      </c>
      <c r="G312" t="s">
        <v>222</v>
      </c>
      <c r="H312">
        <v>1</v>
      </c>
    </row>
    <row r="313" spans="1:8" x14ac:dyDescent="0.35">
      <c r="A313" t="s">
        <v>1351</v>
      </c>
      <c r="B313">
        <v>2022</v>
      </c>
      <c r="C313" t="s">
        <v>1352</v>
      </c>
      <c r="D313" t="s">
        <v>1353</v>
      </c>
      <c r="E313" t="b">
        <v>0</v>
      </c>
      <c r="F313" t="s">
        <v>1354</v>
      </c>
      <c r="G313" t="s">
        <v>222</v>
      </c>
      <c r="H313">
        <v>1</v>
      </c>
    </row>
    <row r="314" spans="1:8" ht="409.5" x14ac:dyDescent="0.35">
      <c r="A314" t="s">
        <v>1355</v>
      </c>
      <c r="B314">
        <v>2022</v>
      </c>
      <c r="C314" t="s">
        <v>1356</v>
      </c>
      <c r="D314" s="1" t="s">
        <v>1357</v>
      </c>
      <c r="E314" t="b">
        <v>1</v>
      </c>
      <c r="F314" t="s">
        <v>1358</v>
      </c>
      <c r="G314" t="s">
        <v>223</v>
      </c>
      <c r="H314">
        <v>1</v>
      </c>
    </row>
    <row r="315" spans="1:8" x14ac:dyDescent="0.35">
      <c r="A315" t="s">
        <v>1359</v>
      </c>
      <c r="B315">
        <v>2022</v>
      </c>
      <c r="C315" t="s">
        <v>1360</v>
      </c>
      <c r="D315" t="s">
        <v>1361</v>
      </c>
      <c r="E315" t="b">
        <v>0</v>
      </c>
      <c r="F315" t="s">
        <v>1362</v>
      </c>
      <c r="G315" t="s">
        <v>222</v>
      </c>
      <c r="H315">
        <v>1</v>
      </c>
    </row>
    <row r="316" spans="1:8" x14ac:dyDescent="0.35">
      <c r="A316" t="s">
        <v>1363</v>
      </c>
      <c r="B316">
        <v>2022</v>
      </c>
      <c r="C316" t="s">
        <v>1364</v>
      </c>
      <c r="D316" t="s">
        <v>1365</v>
      </c>
      <c r="E316" t="b">
        <v>0</v>
      </c>
      <c r="F316" t="s">
        <v>1366</v>
      </c>
      <c r="G316" t="s">
        <v>222</v>
      </c>
      <c r="H316">
        <v>0.9</v>
      </c>
    </row>
    <row r="317" spans="1:8" x14ac:dyDescent="0.35">
      <c r="A317" t="s">
        <v>1367</v>
      </c>
      <c r="B317">
        <v>2022</v>
      </c>
      <c r="C317" t="s">
        <v>1368</v>
      </c>
      <c r="D317" t="s">
        <v>549</v>
      </c>
      <c r="E317" t="b">
        <v>1</v>
      </c>
      <c r="F317" t="s">
        <v>250</v>
      </c>
      <c r="G317" t="s">
        <v>238</v>
      </c>
      <c r="H317">
        <v>0.5</v>
      </c>
    </row>
    <row r="318" spans="1:8" x14ac:dyDescent="0.35">
      <c r="A318" t="s">
        <v>1369</v>
      </c>
      <c r="B318">
        <v>2022</v>
      </c>
      <c r="C318" t="s">
        <v>1370</v>
      </c>
      <c r="D318" t="s">
        <v>1371</v>
      </c>
      <c r="E318" t="b">
        <v>0</v>
      </c>
      <c r="F318" t="s">
        <v>931</v>
      </c>
      <c r="G318" t="s">
        <v>222</v>
      </c>
      <c r="H318">
        <v>0.9</v>
      </c>
    </row>
    <row r="319" spans="1:8" x14ac:dyDescent="0.35">
      <c r="A319" t="s">
        <v>1372</v>
      </c>
      <c r="B319">
        <v>2022</v>
      </c>
      <c r="C319" t="s">
        <v>1373</v>
      </c>
      <c r="D319" t="s">
        <v>1374</v>
      </c>
      <c r="E319" t="b">
        <v>0</v>
      </c>
      <c r="F319" t="s">
        <v>1375</v>
      </c>
      <c r="G319" t="s">
        <v>222</v>
      </c>
      <c r="H319">
        <v>1</v>
      </c>
    </row>
    <row r="320" spans="1:8" x14ac:dyDescent="0.35">
      <c r="A320" t="s">
        <v>1376</v>
      </c>
      <c r="B320">
        <v>2022</v>
      </c>
      <c r="C320" t="s">
        <v>1377</v>
      </c>
      <c r="D320" t="s">
        <v>1378</v>
      </c>
      <c r="E320" t="b">
        <v>1</v>
      </c>
      <c r="F320" t="s">
        <v>250</v>
      </c>
      <c r="G320" t="s">
        <v>238</v>
      </c>
      <c r="H320">
        <v>0.5</v>
      </c>
    </row>
    <row r="321" spans="1:8" x14ac:dyDescent="0.35">
      <c r="A321" t="s">
        <v>1379</v>
      </c>
      <c r="B321">
        <v>2022</v>
      </c>
      <c r="C321" t="s">
        <v>1380</v>
      </c>
      <c r="D321" t="s">
        <v>1381</v>
      </c>
      <c r="E321" t="b">
        <v>1</v>
      </c>
      <c r="F321" t="s">
        <v>1382</v>
      </c>
      <c r="G321" t="s">
        <v>223</v>
      </c>
      <c r="H321">
        <v>1</v>
      </c>
    </row>
    <row r="322" spans="1:8" x14ac:dyDescent="0.35">
      <c r="A322" t="s">
        <v>1383</v>
      </c>
      <c r="B322">
        <v>2022</v>
      </c>
      <c r="C322" t="s">
        <v>1384</v>
      </c>
      <c r="D322" t="s">
        <v>1326</v>
      </c>
      <c r="E322" t="b">
        <v>1</v>
      </c>
      <c r="F322" t="s">
        <v>250</v>
      </c>
      <c r="G322" t="s">
        <v>238</v>
      </c>
      <c r="H322">
        <v>0.5</v>
      </c>
    </row>
    <row r="323" spans="1:8" x14ac:dyDescent="0.35">
      <c r="A323" t="s">
        <v>1385</v>
      </c>
      <c r="B323">
        <v>2022</v>
      </c>
      <c r="C323" t="s">
        <v>1386</v>
      </c>
      <c r="D323" t="s">
        <v>1387</v>
      </c>
      <c r="E323" t="b">
        <v>1</v>
      </c>
      <c r="F323" t="s">
        <v>1388</v>
      </c>
      <c r="G323" t="s">
        <v>223</v>
      </c>
      <c r="H323">
        <v>1</v>
      </c>
    </row>
    <row r="324" spans="1:8" x14ac:dyDescent="0.35">
      <c r="A324" t="s">
        <v>1389</v>
      </c>
      <c r="B324">
        <v>2022</v>
      </c>
      <c r="C324" t="s">
        <v>1390</v>
      </c>
      <c r="D324" t="s">
        <v>1391</v>
      </c>
      <c r="E324" t="b">
        <v>1</v>
      </c>
      <c r="F324" t="s">
        <v>250</v>
      </c>
      <c r="G324" t="s">
        <v>238</v>
      </c>
      <c r="H324">
        <v>0.5</v>
      </c>
    </row>
    <row r="325" spans="1:8" x14ac:dyDescent="0.35">
      <c r="A325" t="s">
        <v>1392</v>
      </c>
      <c r="B325">
        <v>2022</v>
      </c>
      <c r="C325" t="s">
        <v>1393</v>
      </c>
      <c r="D325" t="s">
        <v>1394</v>
      </c>
      <c r="E325" t="b">
        <v>1</v>
      </c>
      <c r="F325" t="s">
        <v>1395</v>
      </c>
      <c r="G325" t="s">
        <v>223</v>
      </c>
      <c r="H325">
        <v>0.9</v>
      </c>
    </row>
    <row r="326" spans="1:8" x14ac:dyDescent="0.35">
      <c r="A326" t="s">
        <v>1396</v>
      </c>
      <c r="B326">
        <v>2022</v>
      </c>
      <c r="C326" t="s">
        <v>1397</v>
      </c>
      <c r="D326" t="s">
        <v>1398</v>
      </c>
      <c r="E326" t="b">
        <v>1</v>
      </c>
      <c r="F326" t="s">
        <v>1399</v>
      </c>
      <c r="G326" t="s">
        <v>223</v>
      </c>
      <c r="H326">
        <v>1</v>
      </c>
    </row>
    <row r="327" spans="1:8" x14ac:dyDescent="0.35">
      <c r="A327" t="s">
        <v>1400</v>
      </c>
      <c r="B327">
        <v>2022</v>
      </c>
      <c r="C327" t="s">
        <v>1401</v>
      </c>
      <c r="D327" t="s">
        <v>1402</v>
      </c>
      <c r="E327" t="b">
        <v>1</v>
      </c>
      <c r="F327" t="s">
        <v>1399</v>
      </c>
      <c r="G327" t="s">
        <v>223</v>
      </c>
      <c r="H327">
        <v>0.9</v>
      </c>
    </row>
    <row r="328" spans="1:8" x14ac:dyDescent="0.35">
      <c r="A328" t="s">
        <v>1403</v>
      </c>
      <c r="B328">
        <v>2022</v>
      </c>
      <c r="C328" t="s">
        <v>1404</v>
      </c>
      <c r="D328" t="s">
        <v>1405</v>
      </c>
      <c r="E328" t="b">
        <v>1</v>
      </c>
      <c r="F328" t="s">
        <v>1406</v>
      </c>
      <c r="G328" t="s">
        <v>223</v>
      </c>
      <c r="H328">
        <v>1</v>
      </c>
    </row>
    <row r="329" spans="1:8" x14ac:dyDescent="0.35">
      <c r="A329" t="s">
        <v>1407</v>
      </c>
      <c r="B329">
        <v>2022</v>
      </c>
      <c r="C329" t="s">
        <v>1408</v>
      </c>
      <c r="D329" t="s">
        <v>1409</v>
      </c>
      <c r="E329" t="b">
        <v>1</v>
      </c>
      <c r="F329" t="s">
        <v>1410</v>
      </c>
      <c r="G329" t="s">
        <v>223</v>
      </c>
      <c r="H329">
        <v>1</v>
      </c>
    </row>
    <row r="330" spans="1:8" x14ac:dyDescent="0.35">
      <c r="A330" t="s">
        <v>1411</v>
      </c>
      <c r="B330">
        <v>2022</v>
      </c>
      <c r="C330" t="s">
        <v>1412</v>
      </c>
      <c r="D330" t="s">
        <v>1413</v>
      </c>
      <c r="E330" t="b">
        <v>1</v>
      </c>
      <c r="F330" t="s">
        <v>1414</v>
      </c>
      <c r="G330" t="s">
        <v>223</v>
      </c>
      <c r="H330">
        <v>1</v>
      </c>
    </row>
    <row r="331" spans="1:8" x14ac:dyDescent="0.35">
      <c r="A331" t="s">
        <v>1415</v>
      </c>
      <c r="B331">
        <v>2022</v>
      </c>
      <c r="C331" t="s">
        <v>1416</v>
      </c>
      <c r="D331" t="s">
        <v>1417</v>
      </c>
      <c r="E331" t="b">
        <v>1</v>
      </c>
      <c r="F331" t="s">
        <v>1418</v>
      </c>
      <c r="G331" t="s">
        <v>223</v>
      </c>
      <c r="H331">
        <v>1</v>
      </c>
    </row>
    <row r="332" spans="1:8" x14ac:dyDescent="0.35">
      <c r="A332" t="s">
        <v>1419</v>
      </c>
      <c r="B332">
        <v>2022</v>
      </c>
      <c r="C332" t="s">
        <v>1420</v>
      </c>
      <c r="D332" t="s">
        <v>1421</v>
      </c>
      <c r="E332" t="b">
        <v>1</v>
      </c>
      <c r="F332" t="s">
        <v>250</v>
      </c>
      <c r="G332" t="s">
        <v>238</v>
      </c>
      <c r="H332">
        <v>0.5</v>
      </c>
    </row>
    <row r="333" spans="1:8" x14ac:dyDescent="0.35">
      <c r="A333" t="s">
        <v>1422</v>
      </c>
      <c r="B333">
        <v>2022</v>
      </c>
      <c r="C333" t="s">
        <v>1423</v>
      </c>
      <c r="D333" t="s">
        <v>1424</v>
      </c>
      <c r="E333" t="b">
        <v>1</v>
      </c>
      <c r="F333" t="s">
        <v>1425</v>
      </c>
      <c r="G333" t="s">
        <v>223</v>
      </c>
      <c r="H333">
        <v>0.9</v>
      </c>
    </row>
    <row r="334" spans="1:8" ht="409.5" x14ac:dyDescent="0.35">
      <c r="A334" t="s">
        <v>1426</v>
      </c>
      <c r="B334">
        <v>2022</v>
      </c>
      <c r="C334" t="s">
        <v>1427</v>
      </c>
      <c r="D334" s="1" t="s">
        <v>1428</v>
      </c>
      <c r="E334" t="b">
        <v>1</v>
      </c>
      <c r="F334" t="s">
        <v>1429</v>
      </c>
      <c r="G334" t="s">
        <v>223</v>
      </c>
      <c r="H334">
        <v>1</v>
      </c>
    </row>
    <row r="335" spans="1:8" x14ac:dyDescent="0.35">
      <c r="A335" t="s">
        <v>1430</v>
      </c>
      <c r="B335">
        <v>2022</v>
      </c>
      <c r="C335" t="s">
        <v>1427</v>
      </c>
      <c r="D335" t="s">
        <v>549</v>
      </c>
      <c r="E335" t="b">
        <v>1</v>
      </c>
      <c r="F335" t="s">
        <v>250</v>
      </c>
      <c r="G335" t="s">
        <v>238</v>
      </c>
      <c r="H335">
        <v>0.5</v>
      </c>
    </row>
    <row r="336" spans="1:8" x14ac:dyDescent="0.35">
      <c r="A336" t="s">
        <v>1431</v>
      </c>
      <c r="B336">
        <v>2022</v>
      </c>
      <c r="C336" t="s">
        <v>1432</v>
      </c>
      <c r="D336" t="s">
        <v>1433</v>
      </c>
      <c r="E336" t="b">
        <v>1</v>
      </c>
      <c r="F336" t="s">
        <v>1434</v>
      </c>
      <c r="G336" t="s">
        <v>223</v>
      </c>
      <c r="H336">
        <v>1</v>
      </c>
    </row>
    <row r="337" spans="1:8" ht="409.5" x14ac:dyDescent="0.35">
      <c r="A337" t="s">
        <v>1435</v>
      </c>
      <c r="B337">
        <v>2022</v>
      </c>
      <c r="C337" t="s">
        <v>1436</v>
      </c>
      <c r="D337" s="1" t="s">
        <v>1437</v>
      </c>
      <c r="E337" t="b">
        <v>1</v>
      </c>
      <c r="F337" t="s">
        <v>1438</v>
      </c>
      <c r="G337" t="s">
        <v>223</v>
      </c>
      <c r="H337">
        <v>1</v>
      </c>
    </row>
    <row r="338" spans="1:8" x14ac:dyDescent="0.35">
      <c r="A338" t="s">
        <v>1439</v>
      </c>
      <c r="B338">
        <v>2022</v>
      </c>
      <c r="C338" t="s">
        <v>1440</v>
      </c>
      <c r="D338" t="s">
        <v>1441</v>
      </c>
      <c r="E338" t="b">
        <v>1</v>
      </c>
      <c r="F338" t="s">
        <v>253</v>
      </c>
      <c r="G338" t="s">
        <v>223</v>
      </c>
      <c r="H338">
        <v>1</v>
      </c>
    </row>
    <row r="339" spans="1:8" x14ac:dyDescent="0.35">
      <c r="A339" t="s">
        <v>1442</v>
      </c>
      <c r="B339">
        <v>2022</v>
      </c>
      <c r="C339" t="s">
        <v>1443</v>
      </c>
      <c r="D339" t="s">
        <v>1444</v>
      </c>
      <c r="E339" t="b">
        <v>1</v>
      </c>
      <c r="F339" t="s">
        <v>1445</v>
      </c>
      <c r="G339" t="s">
        <v>223</v>
      </c>
      <c r="H339">
        <v>1</v>
      </c>
    </row>
    <row r="340" spans="1:8" x14ac:dyDescent="0.35">
      <c r="A340" t="s">
        <v>1446</v>
      </c>
      <c r="B340">
        <v>2022</v>
      </c>
      <c r="C340" t="s">
        <v>1447</v>
      </c>
      <c r="D340" t="s">
        <v>1448</v>
      </c>
      <c r="E340" t="b">
        <v>1</v>
      </c>
      <c r="F340" t="s">
        <v>1449</v>
      </c>
      <c r="G340" t="s">
        <v>223</v>
      </c>
      <c r="H340">
        <v>1</v>
      </c>
    </row>
    <row r="341" spans="1:8" x14ac:dyDescent="0.35">
      <c r="A341" t="s">
        <v>1450</v>
      </c>
      <c r="B341">
        <v>2022</v>
      </c>
      <c r="C341" t="s">
        <v>1451</v>
      </c>
      <c r="D341" t="s">
        <v>1452</v>
      </c>
      <c r="E341" t="b">
        <v>1</v>
      </c>
      <c r="F341" t="s">
        <v>1453</v>
      </c>
      <c r="G341" t="s">
        <v>223</v>
      </c>
      <c r="H341">
        <v>1</v>
      </c>
    </row>
    <row r="342" spans="1:8" x14ac:dyDescent="0.35">
      <c r="A342" t="s">
        <v>1454</v>
      </c>
      <c r="B342">
        <v>2022</v>
      </c>
      <c r="C342" t="s">
        <v>1455</v>
      </c>
      <c r="D342" t="s">
        <v>1456</v>
      </c>
      <c r="E342" t="b">
        <v>1</v>
      </c>
      <c r="F342" t="s">
        <v>1457</v>
      </c>
      <c r="G342" t="s">
        <v>223</v>
      </c>
      <c r="H342">
        <v>1</v>
      </c>
    </row>
    <row r="343" spans="1:8" x14ac:dyDescent="0.35">
      <c r="A343" t="s">
        <v>1458</v>
      </c>
      <c r="B343">
        <v>2022</v>
      </c>
      <c r="C343" t="s">
        <v>1459</v>
      </c>
      <c r="D343" t="s">
        <v>1460</v>
      </c>
      <c r="E343" t="b">
        <v>1</v>
      </c>
      <c r="F343" t="s">
        <v>745</v>
      </c>
      <c r="G343" t="s">
        <v>223</v>
      </c>
      <c r="H343">
        <v>1</v>
      </c>
    </row>
    <row r="344" spans="1:8" x14ac:dyDescent="0.35">
      <c r="A344" t="s">
        <v>1461</v>
      </c>
      <c r="B344">
        <v>2022</v>
      </c>
      <c r="C344" t="s">
        <v>1462</v>
      </c>
      <c r="D344" t="s">
        <v>1463</v>
      </c>
      <c r="E344" t="b">
        <v>1</v>
      </c>
      <c r="F344" t="s">
        <v>1464</v>
      </c>
      <c r="G344" t="s">
        <v>223</v>
      </c>
      <c r="H344">
        <v>1</v>
      </c>
    </row>
    <row r="345" spans="1:8" x14ac:dyDescent="0.35">
      <c r="A345" t="s">
        <v>1465</v>
      </c>
      <c r="B345">
        <v>2022</v>
      </c>
      <c r="C345" t="s">
        <v>1466</v>
      </c>
      <c r="D345" t="s">
        <v>1467</v>
      </c>
      <c r="E345" t="b">
        <v>1</v>
      </c>
      <c r="F345" t="s">
        <v>1468</v>
      </c>
      <c r="G345" t="s">
        <v>223</v>
      </c>
      <c r="H345">
        <v>1</v>
      </c>
    </row>
    <row r="346" spans="1:8" x14ac:dyDescent="0.35">
      <c r="A346" t="s">
        <v>1469</v>
      </c>
      <c r="B346">
        <v>2022</v>
      </c>
      <c r="C346" t="s">
        <v>1470</v>
      </c>
      <c r="D346" t="s">
        <v>1471</v>
      </c>
      <c r="E346" t="b">
        <v>0</v>
      </c>
      <c r="F346" t="s">
        <v>1472</v>
      </c>
      <c r="G346" t="s">
        <v>222</v>
      </c>
      <c r="H346">
        <v>1</v>
      </c>
    </row>
    <row r="347" spans="1:8" x14ac:dyDescent="0.35">
      <c r="A347" t="s">
        <v>1473</v>
      </c>
      <c r="B347">
        <v>2022</v>
      </c>
      <c r="C347" t="s">
        <v>1474</v>
      </c>
      <c r="D347" t="s">
        <v>1475</v>
      </c>
      <c r="E347" t="b">
        <v>1</v>
      </c>
      <c r="F347" t="s">
        <v>250</v>
      </c>
      <c r="G347" t="s">
        <v>238</v>
      </c>
      <c r="H347">
        <v>0.5</v>
      </c>
    </row>
    <row r="348" spans="1:8" x14ac:dyDescent="0.35">
      <c r="A348" t="s">
        <v>1476</v>
      </c>
      <c r="B348">
        <v>2022</v>
      </c>
      <c r="C348" t="s">
        <v>1477</v>
      </c>
      <c r="D348" t="s">
        <v>549</v>
      </c>
      <c r="E348" t="b">
        <v>1</v>
      </c>
      <c r="F348" t="s">
        <v>250</v>
      </c>
      <c r="G348" t="s">
        <v>238</v>
      </c>
      <c r="H348">
        <v>0.5</v>
      </c>
    </row>
    <row r="349" spans="1:8" x14ac:dyDescent="0.35">
      <c r="A349" t="s">
        <v>1478</v>
      </c>
      <c r="B349">
        <v>2022</v>
      </c>
      <c r="C349" t="s">
        <v>1479</v>
      </c>
      <c r="D349" t="s">
        <v>1480</v>
      </c>
      <c r="E349" t="b">
        <v>0</v>
      </c>
      <c r="F349" t="s">
        <v>1481</v>
      </c>
      <c r="G349" t="s">
        <v>222</v>
      </c>
      <c r="H349">
        <v>0.9</v>
      </c>
    </row>
    <row r="350" spans="1:8" x14ac:dyDescent="0.35">
      <c r="A350" t="s">
        <v>1482</v>
      </c>
      <c r="B350">
        <v>2022</v>
      </c>
      <c r="C350" t="s">
        <v>1483</v>
      </c>
      <c r="D350" t="s">
        <v>1484</v>
      </c>
      <c r="E350" t="b">
        <v>0</v>
      </c>
      <c r="F350" t="s">
        <v>1485</v>
      </c>
      <c r="G350" t="s">
        <v>222</v>
      </c>
      <c r="H350">
        <v>1</v>
      </c>
    </row>
    <row r="351" spans="1:8" x14ac:dyDescent="0.35">
      <c r="A351" t="s">
        <v>1486</v>
      </c>
      <c r="B351">
        <v>2022</v>
      </c>
      <c r="C351" t="s">
        <v>1487</v>
      </c>
      <c r="D351" t="s">
        <v>1488</v>
      </c>
      <c r="E351" t="b">
        <v>1</v>
      </c>
      <c r="F351" t="s">
        <v>1489</v>
      </c>
      <c r="G351" t="s">
        <v>223</v>
      </c>
      <c r="H351">
        <v>1</v>
      </c>
    </row>
    <row r="352" spans="1:8" x14ac:dyDescent="0.35">
      <c r="A352" t="s">
        <v>1490</v>
      </c>
      <c r="B352">
        <v>2022</v>
      </c>
      <c r="C352" t="s">
        <v>1491</v>
      </c>
      <c r="D352" t="s">
        <v>1492</v>
      </c>
      <c r="E352" t="b">
        <v>1</v>
      </c>
      <c r="F352" t="s">
        <v>242</v>
      </c>
      <c r="G352" t="s">
        <v>223</v>
      </c>
      <c r="H352">
        <v>1</v>
      </c>
    </row>
    <row r="353" spans="1:8" x14ac:dyDescent="0.35">
      <c r="A353" t="s">
        <v>1493</v>
      </c>
      <c r="B353">
        <v>2022</v>
      </c>
      <c r="C353" t="s">
        <v>1494</v>
      </c>
      <c r="D353" t="s">
        <v>1495</v>
      </c>
      <c r="E353" t="b">
        <v>1</v>
      </c>
      <c r="F353" t="s">
        <v>1496</v>
      </c>
      <c r="G353" t="s">
        <v>223</v>
      </c>
      <c r="H353">
        <v>1</v>
      </c>
    </row>
    <row r="354" spans="1:8" x14ac:dyDescent="0.35">
      <c r="A354" t="s">
        <v>1497</v>
      </c>
      <c r="B354">
        <v>2022</v>
      </c>
      <c r="C354" t="s">
        <v>1498</v>
      </c>
      <c r="E354" t="b">
        <v>1</v>
      </c>
      <c r="F354" t="s">
        <v>1499</v>
      </c>
      <c r="G354" t="s">
        <v>223</v>
      </c>
      <c r="H354">
        <v>0.9</v>
      </c>
    </row>
    <row r="355" spans="1:8" x14ac:dyDescent="0.35">
      <c r="A355" t="s">
        <v>1500</v>
      </c>
      <c r="B355">
        <v>2022</v>
      </c>
      <c r="C355" t="s">
        <v>1501</v>
      </c>
      <c r="D355" t="s">
        <v>1502</v>
      </c>
      <c r="E355" t="b">
        <v>1</v>
      </c>
      <c r="F355" t="s">
        <v>1503</v>
      </c>
      <c r="G355" t="s">
        <v>223</v>
      </c>
      <c r="H355">
        <v>1</v>
      </c>
    </row>
    <row r="356" spans="1:8" x14ac:dyDescent="0.35">
      <c r="A356" t="s">
        <v>1504</v>
      </c>
      <c r="B356">
        <v>2022</v>
      </c>
      <c r="C356" t="s">
        <v>1501</v>
      </c>
      <c r="D356" t="s">
        <v>1502</v>
      </c>
      <c r="E356" t="b">
        <v>1</v>
      </c>
      <c r="F356" t="s">
        <v>1505</v>
      </c>
      <c r="G356" t="s">
        <v>223</v>
      </c>
      <c r="H356">
        <v>1</v>
      </c>
    </row>
    <row r="357" spans="1:8" x14ac:dyDescent="0.35">
      <c r="A357" t="s">
        <v>1506</v>
      </c>
      <c r="B357">
        <v>2022</v>
      </c>
      <c r="C357" t="s">
        <v>1507</v>
      </c>
      <c r="D357" t="s">
        <v>1508</v>
      </c>
      <c r="E357" t="b">
        <v>1</v>
      </c>
      <c r="F357" t="s">
        <v>1509</v>
      </c>
      <c r="G357" t="s">
        <v>223</v>
      </c>
      <c r="H357">
        <v>1</v>
      </c>
    </row>
    <row r="358" spans="1:8" x14ac:dyDescent="0.35">
      <c r="A358" t="s">
        <v>1510</v>
      </c>
      <c r="B358">
        <v>2022</v>
      </c>
      <c r="C358" t="s">
        <v>1511</v>
      </c>
      <c r="D358" t="s">
        <v>1512</v>
      </c>
      <c r="E358" t="b">
        <v>1</v>
      </c>
      <c r="F358" t="s">
        <v>1513</v>
      </c>
      <c r="G358" t="s">
        <v>223</v>
      </c>
      <c r="H358">
        <v>0.9</v>
      </c>
    </row>
    <row r="359" spans="1:8" x14ac:dyDescent="0.35">
      <c r="A359" t="s">
        <v>1514</v>
      </c>
      <c r="B359">
        <v>2022</v>
      </c>
      <c r="C359" t="s">
        <v>1515</v>
      </c>
      <c r="D359" t="s">
        <v>1516</v>
      </c>
      <c r="E359" t="b">
        <v>0</v>
      </c>
      <c r="F359" t="s">
        <v>1517</v>
      </c>
      <c r="G359" t="s">
        <v>222</v>
      </c>
      <c r="H35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359"/>
  <sheetViews>
    <sheetView workbookViewId="0">
      <selection sqref="A1:A1048576"/>
    </sheetView>
  </sheetViews>
  <sheetFormatPr defaultRowHeight="14.5" x14ac:dyDescent="0.35"/>
  <sheetData>
    <row r="1" spans="1:1" x14ac:dyDescent="0.35">
      <c r="A1" t="s">
        <v>0</v>
      </c>
    </row>
    <row r="2" spans="1:1" x14ac:dyDescent="0.35">
      <c r="A2" t="s">
        <v>4</v>
      </c>
    </row>
    <row r="3" spans="1:1" x14ac:dyDescent="0.35">
      <c r="A3" t="s">
        <v>7</v>
      </c>
    </row>
    <row r="4" spans="1:1" x14ac:dyDescent="0.35">
      <c r="A4" t="s">
        <v>10</v>
      </c>
    </row>
    <row r="5" spans="1:1" x14ac:dyDescent="0.35">
      <c r="A5" t="s">
        <v>13</v>
      </c>
    </row>
    <row r="6" spans="1:1" x14ac:dyDescent="0.35">
      <c r="A6" t="s">
        <v>16</v>
      </c>
    </row>
    <row r="7" spans="1:1" x14ac:dyDescent="0.35">
      <c r="A7" t="s">
        <v>19</v>
      </c>
    </row>
    <row r="8" spans="1:1" x14ac:dyDescent="0.35">
      <c r="A8" t="s">
        <v>22</v>
      </c>
    </row>
    <row r="9" spans="1:1" x14ac:dyDescent="0.35">
      <c r="A9" t="s">
        <v>25</v>
      </c>
    </row>
    <row r="10" spans="1:1" x14ac:dyDescent="0.35">
      <c r="A10" t="s">
        <v>28</v>
      </c>
    </row>
    <row r="11" spans="1:1" x14ac:dyDescent="0.35">
      <c r="A11" t="s">
        <v>31</v>
      </c>
    </row>
    <row r="12" spans="1:1" x14ac:dyDescent="0.35">
      <c r="A12" t="s">
        <v>34</v>
      </c>
    </row>
    <row r="13" spans="1:1" x14ac:dyDescent="0.35">
      <c r="A13" t="s">
        <v>37</v>
      </c>
    </row>
    <row r="14" spans="1:1" x14ac:dyDescent="0.35">
      <c r="A14" t="s">
        <v>40</v>
      </c>
    </row>
    <row r="15" spans="1:1" x14ac:dyDescent="0.35">
      <c r="A15" t="s">
        <v>43</v>
      </c>
    </row>
    <row r="16" spans="1:1" x14ac:dyDescent="0.35">
      <c r="A16" t="s">
        <v>46</v>
      </c>
    </row>
    <row r="17" spans="1:1" x14ac:dyDescent="0.35">
      <c r="A17" t="s">
        <v>49</v>
      </c>
    </row>
    <row r="18" spans="1:1" x14ac:dyDescent="0.35">
      <c r="A18" t="s">
        <v>52</v>
      </c>
    </row>
    <row r="19" spans="1:1" x14ac:dyDescent="0.35">
      <c r="A19" t="s">
        <v>57</v>
      </c>
    </row>
    <row r="20" spans="1:1" x14ac:dyDescent="0.35">
      <c r="A20" t="s">
        <v>60</v>
      </c>
    </row>
    <row r="21" spans="1:1" x14ac:dyDescent="0.35">
      <c r="A21" t="s">
        <v>63</v>
      </c>
    </row>
    <row r="22" spans="1:1" x14ac:dyDescent="0.35">
      <c r="A22" t="s">
        <v>66</v>
      </c>
    </row>
    <row r="23" spans="1:1" x14ac:dyDescent="0.35">
      <c r="A23" t="s">
        <v>69</v>
      </c>
    </row>
    <row r="24" spans="1:1" x14ac:dyDescent="0.35">
      <c r="A24" t="s">
        <v>72</v>
      </c>
    </row>
    <row r="25" spans="1:1" x14ac:dyDescent="0.35">
      <c r="A25" t="s">
        <v>75</v>
      </c>
    </row>
    <row r="26" spans="1:1" x14ac:dyDescent="0.35">
      <c r="A26" t="s">
        <v>78</v>
      </c>
    </row>
    <row r="27" spans="1:1" x14ac:dyDescent="0.35">
      <c r="A27" t="s">
        <v>81</v>
      </c>
    </row>
    <row r="28" spans="1:1" x14ac:dyDescent="0.35">
      <c r="A28" t="s">
        <v>84</v>
      </c>
    </row>
    <row r="29" spans="1:1" x14ac:dyDescent="0.35">
      <c r="A29" t="s">
        <v>87</v>
      </c>
    </row>
    <row r="30" spans="1:1" x14ac:dyDescent="0.35">
      <c r="A30" t="s">
        <v>90</v>
      </c>
    </row>
    <row r="31" spans="1:1" x14ac:dyDescent="0.35">
      <c r="A31" t="s">
        <v>93</v>
      </c>
    </row>
    <row r="32" spans="1:1" x14ac:dyDescent="0.35">
      <c r="A32" t="s">
        <v>96</v>
      </c>
    </row>
    <row r="33" spans="1:1" x14ac:dyDescent="0.35">
      <c r="A33" t="s">
        <v>99</v>
      </c>
    </row>
    <row r="34" spans="1:1" x14ac:dyDescent="0.35">
      <c r="A34" t="s">
        <v>102</v>
      </c>
    </row>
    <row r="35" spans="1:1" x14ac:dyDescent="0.35">
      <c r="A35" t="s">
        <v>105</v>
      </c>
    </row>
    <row r="36" spans="1:1" x14ac:dyDescent="0.35">
      <c r="A36" t="s">
        <v>108</v>
      </c>
    </row>
    <row r="37" spans="1:1" x14ac:dyDescent="0.35">
      <c r="A37" t="s">
        <v>111</v>
      </c>
    </row>
    <row r="38" spans="1:1" x14ac:dyDescent="0.35">
      <c r="A38" t="s">
        <v>114</v>
      </c>
    </row>
    <row r="39" spans="1:1" x14ac:dyDescent="0.35">
      <c r="A39" t="s">
        <v>117</v>
      </c>
    </row>
    <row r="40" spans="1:1" x14ac:dyDescent="0.35">
      <c r="A40" t="s">
        <v>120</v>
      </c>
    </row>
    <row r="41" spans="1:1" x14ac:dyDescent="0.35">
      <c r="A41" t="s">
        <v>123</v>
      </c>
    </row>
    <row r="42" spans="1:1" x14ac:dyDescent="0.35">
      <c r="A42" t="s">
        <v>126</v>
      </c>
    </row>
    <row r="43" spans="1:1" x14ac:dyDescent="0.35">
      <c r="A43" t="s">
        <v>129</v>
      </c>
    </row>
    <row r="44" spans="1:1" x14ac:dyDescent="0.35">
      <c r="A44" t="s">
        <v>132</v>
      </c>
    </row>
    <row r="45" spans="1:1" x14ac:dyDescent="0.35">
      <c r="A45" t="s">
        <v>135</v>
      </c>
    </row>
    <row r="46" spans="1:1" x14ac:dyDescent="0.35">
      <c r="A46" t="s">
        <v>138</v>
      </c>
    </row>
    <row r="47" spans="1:1" x14ac:dyDescent="0.35">
      <c r="A47" t="s">
        <v>141</v>
      </c>
    </row>
    <row r="48" spans="1:1" x14ac:dyDescent="0.35">
      <c r="A48" t="s">
        <v>144</v>
      </c>
    </row>
    <row r="49" spans="1:1" x14ac:dyDescent="0.35">
      <c r="A49" t="s">
        <v>147</v>
      </c>
    </row>
    <row r="50" spans="1:1" x14ac:dyDescent="0.35">
      <c r="A50" t="s">
        <v>150</v>
      </c>
    </row>
    <row r="51" spans="1:1" x14ac:dyDescent="0.35">
      <c r="A51" t="s">
        <v>153</v>
      </c>
    </row>
    <row r="52" spans="1:1" x14ac:dyDescent="0.35">
      <c r="A52" t="s">
        <v>271</v>
      </c>
    </row>
    <row r="53" spans="1:1" x14ac:dyDescent="0.35">
      <c r="A53" t="s">
        <v>274</v>
      </c>
    </row>
    <row r="54" spans="1:1" x14ac:dyDescent="0.35">
      <c r="A54" t="s">
        <v>277</v>
      </c>
    </row>
    <row r="55" spans="1:1" x14ac:dyDescent="0.35">
      <c r="A55" t="s">
        <v>280</v>
      </c>
    </row>
    <row r="56" spans="1:1" x14ac:dyDescent="0.35">
      <c r="A56" t="s">
        <v>283</v>
      </c>
    </row>
    <row r="57" spans="1:1" x14ac:dyDescent="0.35">
      <c r="A57" t="s">
        <v>286</v>
      </c>
    </row>
    <row r="58" spans="1:1" x14ac:dyDescent="0.35">
      <c r="A58" t="s">
        <v>289</v>
      </c>
    </row>
    <row r="59" spans="1:1" x14ac:dyDescent="0.35">
      <c r="A59" t="s">
        <v>292</v>
      </c>
    </row>
    <row r="60" spans="1:1" x14ac:dyDescent="0.35">
      <c r="A60" t="s">
        <v>295</v>
      </c>
    </row>
    <row r="61" spans="1:1" x14ac:dyDescent="0.35">
      <c r="A61" t="s">
        <v>298</v>
      </c>
    </row>
    <row r="62" spans="1:1" x14ac:dyDescent="0.35">
      <c r="A62" t="s">
        <v>301</v>
      </c>
    </row>
    <row r="63" spans="1:1" x14ac:dyDescent="0.35">
      <c r="A63" t="s">
        <v>304</v>
      </c>
    </row>
    <row r="64" spans="1:1" x14ac:dyDescent="0.35">
      <c r="A64" t="s">
        <v>307</v>
      </c>
    </row>
    <row r="65" spans="1:1" x14ac:dyDescent="0.35">
      <c r="A65" t="s">
        <v>310</v>
      </c>
    </row>
    <row r="66" spans="1:1" x14ac:dyDescent="0.35">
      <c r="A66" t="s">
        <v>313</v>
      </c>
    </row>
    <row r="67" spans="1:1" x14ac:dyDescent="0.35">
      <c r="A67" t="s">
        <v>316</v>
      </c>
    </row>
    <row r="68" spans="1:1" x14ac:dyDescent="0.35">
      <c r="A68" t="s">
        <v>319</v>
      </c>
    </row>
    <row r="69" spans="1:1" x14ac:dyDescent="0.35">
      <c r="A69" t="s">
        <v>322</v>
      </c>
    </row>
    <row r="70" spans="1:1" x14ac:dyDescent="0.35">
      <c r="A70" t="s">
        <v>325</v>
      </c>
    </row>
    <row r="71" spans="1:1" x14ac:dyDescent="0.35">
      <c r="A71" t="s">
        <v>328</v>
      </c>
    </row>
    <row r="72" spans="1:1" x14ac:dyDescent="0.35">
      <c r="A72" t="s">
        <v>331</v>
      </c>
    </row>
    <row r="73" spans="1:1" x14ac:dyDescent="0.35">
      <c r="A73" t="s">
        <v>334</v>
      </c>
    </row>
    <row r="74" spans="1:1" x14ac:dyDescent="0.35">
      <c r="A74" t="s">
        <v>337</v>
      </c>
    </row>
    <row r="75" spans="1:1" x14ac:dyDescent="0.35">
      <c r="A75" t="s">
        <v>340</v>
      </c>
    </row>
    <row r="76" spans="1:1" x14ac:dyDescent="0.35">
      <c r="A76" t="s">
        <v>343</v>
      </c>
    </row>
    <row r="77" spans="1:1" x14ac:dyDescent="0.35">
      <c r="A77" t="s">
        <v>346</v>
      </c>
    </row>
    <row r="78" spans="1:1" x14ac:dyDescent="0.35">
      <c r="A78" t="s">
        <v>349</v>
      </c>
    </row>
    <row r="79" spans="1:1" x14ac:dyDescent="0.35">
      <c r="A79" t="s">
        <v>352</v>
      </c>
    </row>
    <row r="80" spans="1:1" x14ac:dyDescent="0.35">
      <c r="A80" t="s">
        <v>355</v>
      </c>
    </row>
    <row r="81" spans="1:1" x14ac:dyDescent="0.35">
      <c r="A81" t="s">
        <v>358</v>
      </c>
    </row>
    <row r="82" spans="1:1" x14ac:dyDescent="0.35">
      <c r="A82" t="s">
        <v>361</v>
      </c>
    </row>
    <row r="83" spans="1:1" x14ac:dyDescent="0.35">
      <c r="A83" t="s">
        <v>367</v>
      </c>
    </row>
    <row r="84" spans="1:1" x14ac:dyDescent="0.35">
      <c r="A84" t="s">
        <v>373</v>
      </c>
    </row>
    <row r="85" spans="1:1" x14ac:dyDescent="0.35">
      <c r="A85" t="s">
        <v>376</v>
      </c>
    </row>
    <row r="86" spans="1:1" x14ac:dyDescent="0.35">
      <c r="A86" t="s">
        <v>379</v>
      </c>
    </row>
    <row r="87" spans="1:1" x14ac:dyDescent="0.35">
      <c r="A87" t="s">
        <v>382</v>
      </c>
    </row>
    <row r="88" spans="1:1" x14ac:dyDescent="0.35">
      <c r="A88" t="s">
        <v>385</v>
      </c>
    </row>
    <row r="89" spans="1:1" x14ac:dyDescent="0.35">
      <c r="A89" t="s">
        <v>388</v>
      </c>
    </row>
    <row r="90" spans="1:1" x14ac:dyDescent="0.35">
      <c r="A90" t="s">
        <v>391</v>
      </c>
    </row>
    <row r="91" spans="1:1" x14ac:dyDescent="0.35">
      <c r="A91" t="s">
        <v>394</v>
      </c>
    </row>
    <row r="92" spans="1:1" x14ac:dyDescent="0.35">
      <c r="A92" t="s">
        <v>397</v>
      </c>
    </row>
    <row r="93" spans="1:1" x14ac:dyDescent="0.35">
      <c r="A93" t="s">
        <v>400</v>
      </c>
    </row>
    <row r="94" spans="1:1" x14ac:dyDescent="0.35">
      <c r="A94" t="s">
        <v>403</v>
      </c>
    </row>
    <row r="95" spans="1:1" x14ac:dyDescent="0.35">
      <c r="A95" t="s">
        <v>406</v>
      </c>
    </row>
    <row r="96" spans="1:1" x14ac:dyDescent="0.35">
      <c r="A96" t="s">
        <v>409</v>
      </c>
    </row>
    <row r="97" spans="1:1" x14ac:dyDescent="0.35">
      <c r="A97" t="s">
        <v>412</v>
      </c>
    </row>
    <row r="98" spans="1:1" x14ac:dyDescent="0.35">
      <c r="A98" t="s">
        <v>415</v>
      </c>
    </row>
    <row r="99" spans="1:1" x14ac:dyDescent="0.35">
      <c r="A99" t="s">
        <v>418</v>
      </c>
    </row>
    <row r="100" spans="1:1" x14ac:dyDescent="0.35">
      <c r="A100" t="s">
        <v>421</v>
      </c>
    </row>
    <row r="101" spans="1:1" x14ac:dyDescent="0.35">
      <c r="A101" t="s">
        <v>424</v>
      </c>
    </row>
    <row r="102" spans="1:1" x14ac:dyDescent="0.35">
      <c r="A102" t="s">
        <v>427</v>
      </c>
    </row>
    <row r="103" spans="1:1" x14ac:dyDescent="0.35">
      <c r="A103" t="s">
        <v>430</v>
      </c>
    </row>
    <row r="104" spans="1:1" x14ac:dyDescent="0.35">
      <c r="A104" t="s">
        <v>433</v>
      </c>
    </row>
    <row r="105" spans="1:1" x14ac:dyDescent="0.35">
      <c r="A105" t="s">
        <v>436</v>
      </c>
    </row>
    <row r="106" spans="1:1" x14ac:dyDescent="0.35">
      <c r="A106" t="s">
        <v>439</v>
      </c>
    </row>
    <row r="107" spans="1:1" x14ac:dyDescent="0.35">
      <c r="A107" t="s">
        <v>442</v>
      </c>
    </row>
    <row r="108" spans="1:1" x14ac:dyDescent="0.35">
      <c r="A108" t="s">
        <v>445</v>
      </c>
    </row>
    <row r="109" spans="1:1" x14ac:dyDescent="0.35">
      <c r="A109" t="s">
        <v>448</v>
      </c>
    </row>
    <row r="110" spans="1:1" x14ac:dyDescent="0.35">
      <c r="A110" t="s">
        <v>451</v>
      </c>
    </row>
    <row r="111" spans="1:1" x14ac:dyDescent="0.35">
      <c r="A111" t="s">
        <v>454</v>
      </c>
    </row>
    <row r="112" spans="1:1" x14ac:dyDescent="0.35">
      <c r="A112" t="s">
        <v>457</v>
      </c>
    </row>
    <row r="113" spans="1:1" x14ac:dyDescent="0.35">
      <c r="A113" t="s">
        <v>460</v>
      </c>
    </row>
    <row r="114" spans="1:1" x14ac:dyDescent="0.35">
      <c r="A114" t="s">
        <v>463</v>
      </c>
    </row>
    <row r="115" spans="1:1" x14ac:dyDescent="0.35">
      <c r="A115" t="s">
        <v>466</v>
      </c>
    </row>
    <row r="116" spans="1:1" x14ac:dyDescent="0.35">
      <c r="A116" t="s">
        <v>469</v>
      </c>
    </row>
    <row r="117" spans="1:1" x14ac:dyDescent="0.35">
      <c r="A117" t="s">
        <v>472</v>
      </c>
    </row>
    <row r="118" spans="1:1" x14ac:dyDescent="0.35">
      <c r="A118" t="s">
        <v>475</v>
      </c>
    </row>
    <row r="119" spans="1:1" x14ac:dyDescent="0.35">
      <c r="A119" t="s">
        <v>478</v>
      </c>
    </row>
    <row r="120" spans="1:1" x14ac:dyDescent="0.35">
      <c r="A120" t="s">
        <v>481</v>
      </c>
    </row>
    <row r="121" spans="1:1" x14ac:dyDescent="0.35">
      <c r="A121" t="s">
        <v>484</v>
      </c>
    </row>
    <row r="122" spans="1:1" x14ac:dyDescent="0.35">
      <c r="A122" t="s">
        <v>487</v>
      </c>
    </row>
    <row r="123" spans="1:1" x14ac:dyDescent="0.35">
      <c r="A123" t="s">
        <v>490</v>
      </c>
    </row>
    <row r="124" spans="1:1" x14ac:dyDescent="0.35">
      <c r="A124" t="s">
        <v>493</v>
      </c>
    </row>
    <row r="125" spans="1:1" x14ac:dyDescent="0.35">
      <c r="A125" t="s">
        <v>496</v>
      </c>
    </row>
    <row r="126" spans="1:1" x14ac:dyDescent="0.35">
      <c r="A126" t="s">
        <v>499</v>
      </c>
    </row>
    <row r="127" spans="1:1" x14ac:dyDescent="0.35">
      <c r="A127" t="s">
        <v>502</v>
      </c>
    </row>
    <row r="128" spans="1:1" x14ac:dyDescent="0.35">
      <c r="A128" t="s">
        <v>505</v>
      </c>
    </row>
    <row r="129" spans="1:1" x14ac:dyDescent="0.35">
      <c r="A129" t="s">
        <v>508</v>
      </c>
    </row>
    <row r="130" spans="1:1" x14ac:dyDescent="0.35">
      <c r="A130" t="s">
        <v>511</v>
      </c>
    </row>
    <row r="131" spans="1:1" x14ac:dyDescent="0.35">
      <c r="A131" t="s">
        <v>514</v>
      </c>
    </row>
    <row r="132" spans="1:1" x14ac:dyDescent="0.35">
      <c r="A132" t="s">
        <v>517</v>
      </c>
    </row>
    <row r="133" spans="1:1" x14ac:dyDescent="0.35">
      <c r="A133" t="s">
        <v>520</v>
      </c>
    </row>
    <row r="134" spans="1:1" x14ac:dyDescent="0.35">
      <c r="A134" t="s">
        <v>523</v>
      </c>
    </row>
    <row r="135" spans="1:1" x14ac:dyDescent="0.35">
      <c r="A135" t="s">
        <v>526</v>
      </c>
    </row>
    <row r="136" spans="1:1" x14ac:dyDescent="0.35">
      <c r="A136" t="s">
        <v>529</v>
      </c>
    </row>
    <row r="137" spans="1:1" x14ac:dyDescent="0.35">
      <c r="A137" t="s">
        <v>532</v>
      </c>
    </row>
    <row r="138" spans="1:1" x14ac:dyDescent="0.35">
      <c r="A138" t="s">
        <v>535</v>
      </c>
    </row>
    <row r="139" spans="1:1" x14ac:dyDescent="0.35">
      <c r="A139" t="s">
        <v>538</v>
      </c>
    </row>
    <row r="140" spans="1:1" x14ac:dyDescent="0.35">
      <c r="A140" t="s">
        <v>541</v>
      </c>
    </row>
    <row r="141" spans="1:1" x14ac:dyDescent="0.35">
      <c r="A141" t="s">
        <v>544</v>
      </c>
    </row>
    <row r="142" spans="1:1" x14ac:dyDescent="0.35">
      <c r="A142" t="s">
        <v>547</v>
      </c>
    </row>
    <row r="143" spans="1:1" x14ac:dyDescent="0.35">
      <c r="A143" t="s">
        <v>550</v>
      </c>
    </row>
    <row r="144" spans="1:1" x14ac:dyDescent="0.35">
      <c r="A144" t="s">
        <v>553</v>
      </c>
    </row>
    <row r="145" spans="1:1" x14ac:dyDescent="0.35">
      <c r="A145" t="s">
        <v>556</v>
      </c>
    </row>
    <row r="146" spans="1:1" x14ac:dyDescent="0.35">
      <c r="A146" t="s">
        <v>559</v>
      </c>
    </row>
    <row r="147" spans="1:1" x14ac:dyDescent="0.35">
      <c r="A147" t="s">
        <v>562</v>
      </c>
    </row>
    <row r="148" spans="1:1" x14ac:dyDescent="0.35">
      <c r="A148" t="s">
        <v>565</v>
      </c>
    </row>
    <row r="149" spans="1:1" x14ac:dyDescent="0.35">
      <c r="A149" t="s">
        <v>568</v>
      </c>
    </row>
    <row r="150" spans="1:1" x14ac:dyDescent="0.35">
      <c r="A150" t="s">
        <v>570</v>
      </c>
    </row>
    <row r="151" spans="1:1" x14ac:dyDescent="0.35">
      <c r="A151" t="s">
        <v>573</v>
      </c>
    </row>
    <row r="152" spans="1:1" x14ac:dyDescent="0.35">
      <c r="A152" t="s">
        <v>576</v>
      </c>
    </row>
    <row r="153" spans="1:1" x14ac:dyDescent="0.35">
      <c r="A153" t="s">
        <v>579</v>
      </c>
    </row>
    <row r="154" spans="1:1" x14ac:dyDescent="0.35">
      <c r="A154" t="s">
        <v>582</v>
      </c>
    </row>
    <row r="155" spans="1:1" x14ac:dyDescent="0.35">
      <c r="A155" t="s">
        <v>585</v>
      </c>
    </row>
    <row r="156" spans="1:1" x14ac:dyDescent="0.35">
      <c r="A156" t="s">
        <v>588</v>
      </c>
    </row>
    <row r="157" spans="1:1" x14ac:dyDescent="0.35">
      <c r="A157" t="s">
        <v>591</v>
      </c>
    </row>
    <row r="158" spans="1:1" x14ac:dyDescent="0.35">
      <c r="A158" t="s">
        <v>594</v>
      </c>
    </row>
    <row r="159" spans="1:1" x14ac:dyDescent="0.35">
      <c r="A159" t="s">
        <v>597</v>
      </c>
    </row>
    <row r="160" spans="1:1" x14ac:dyDescent="0.35">
      <c r="A160" t="s">
        <v>600</v>
      </c>
    </row>
    <row r="161" spans="1:1" x14ac:dyDescent="0.35">
      <c r="A161" t="s">
        <v>603</v>
      </c>
    </row>
    <row r="162" spans="1:1" x14ac:dyDescent="0.35">
      <c r="A162" t="s">
        <v>606</v>
      </c>
    </row>
    <row r="163" spans="1:1" x14ac:dyDescent="0.35">
      <c r="A163" t="s">
        <v>609</v>
      </c>
    </row>
    <row r="164" spans="1:1" x14ac:dyDescent="0.35">
      <c r="A164" t="s">
        <v>612</v>
      </c>
    </row>
    <row r="165" spans="1:1" x14ac:dyDescent="0.35">
      <c r="A165" t="s">
        <v>615</v>
      </c>
    </row>
    <row r="166" spans="1:1" x14ac:dyDescent="0.35">
      <c r="A166" t="s">
        <v>618</v>
      </c>
    </row>
    <row r="167" spans="1:1" x14ac:dyDescent="0.35">
      <c r="A167" t="s">
        <v>621</v>
      </c>
    </row>
    <row r="168" spans="1:1" x14ac:dyDescent="0.35">
      <c r="A168" t="s">
        <v>624</v>
      </c>
    </row>
    <row r="169" spans="1:1" x14ac:dyDescent="0.35">
      <c r="A169" t="s">
        <v>627</v>
      </c>
    </row>
    <row r="170" spans="1:1" x14ac:dyDescent="0.35">
      <c r="A170" t="s">
        <v>630</v>
      </c>
    </row>
    <row r="171" spans="1:1" x14ac:dyDescent="0.35">
      <c r="A171" t="s">
        <v>633</v>
      </c>
    </row>
    <row r="172" spans="1:1" x14ac:dyDescent="0.35">
      <c r="A172" t="s">
        <v>636</v>
      </c>
    </row>
    <row r="173" spans="1:1" x14ac:dyDescent="0.35">
      <c r="A173" t="s">
        <v>638</v>
      </c>
    </row>
    <row r="174" spans="1:1" x14ac:dyDescent="0.35">
      <c r="A174" t="s">
        <v>641</v>
      </c>
    </row>
    <row r="175" spans="1:1" x14ac:dyDescent="0.35">
      <c r="A175" t="s">
        <v>644</v>
      </c>
    </row>
    <row r="176" spans="1:1" x14ac:dyDescent="0.35">
      <c r="A176" t="s">
        <v>647</v>
      </c>
    </row>
    <row r="177" spans="1:1" x14ac:dyDescent="0.35">
      <c r="A177" t="s">
        <v>650</v>
      </c>
    </row>
    <row r="178" spans="1:1" x14ac:dyDescent="0.35">
      <c r="A178" t="s">
        <v>653</v>
      </c>
    </row>
    <row r="179" spans="1:1" x14ac:dyDescent="0.35">
      <c r="A179" t="s">
        <v>655</v>
      </c>
    </row>
    <row r="180" spans="1:1" x14ac:dyDescent="0.35">
      <c r="A180" t="s">
        <v>658</v>
      </c>
    </row>
    <row r="181" spans="1:1" x14ac:dyDescent="0.35">
      <c r="A181" t="s">
        <v>661</v>
      </c>
    </row>
    <row r="182" spans="1:1" x14ac:dyDescent="0.35">
      <c r="A182" t="s">
        <v>663</v>
      </c>
    </row>
    <row r="183" spans="1:1" x14ac:dyDescent="0.35">
      <c r="A183" t="s">
        <v>666</v>
      </c>
    </row>
    <row r="184" spans="1:1" x14ac:dyDescent="0.35">
      <c r="A184" t="s">
        <v>669</v>
      </c>
    </row>
    <row r="185" spans="1:1" x14ac:dyDescent="0.35">
      <c r="A185" t="s">
        <v>672</v>
      </c>
    </row>
    <row r="186" spans="1:1" x14ac:dyDescent="0.35">
      <c r="A186" t="s">
        <v>675</v>
      </c>
    </row>
    <row r="187" spans="1:1" x14ac:dyDescent="0.35">
      <c r="A187" t="s">
        <v>678</v>
      </c>
    </row>
    <row r="188" spans="1:1" x14ac:dyDescent="0.35">
      <c r="A188" t="s">
        <v>681</v>
      </c>
    </row>
    <row r="189" spans="1:1" x14ac:dyDescent="0.35">
      <c r="A189" t="s">
        <v>684</v>
      </c>
    </row>
    <row r="190" spans="1:1" x14ac:dyDescent="0.35">
      <c r="A190" t="s">
        <v>687</v>
      </c>
    </row>
    <row r="191" spans="1:1" x14ac:dyDescent="0.35">
      <c r="A191" t="s">
        <v>690</v>
      </c>
    </row>
    <row r="192" spans="1:1" x14ac:dyDescent="0.35">
      <c r="A192" t="s">
        <v>693</v>
      </c>
    </row>
    <row r="193" spans="1:1" x14ac:dyDescent="0.35">
      <c r="A193" t="s">
        <v>696</v>
      </c>
    </row>
    <row r="194" spans="1:1" x14ac:dyDescent="0.35">
      <c r="A194" t="s">
        <v>699</v>
      </c>
    </row>
    <row r="195" spans="1:1" x14ac:dyDescent="0.35">
      <c r="A195" t="s">
        <v>702</v>
      </c>
    </row>
    <row r="196" spans="1:1" x14ac:dyDescent="0.35">
      <c r="A196" t="s">
        <v>705</v>
      </c>
    </row>
    <row r="197" spans="1:1" x14ac:dyDescent="0.35">
      <c r="A197" t="s">
        <v>708</v>
      </c>
    </row>
    <row r="198" spans="1:1" x14ac:dyDescent="0.35">
      <c r="A198" t="s">
        <v>711</v>
      </c>
    </row>
    <row r="199" spans="1:1" x14ac:dyDescent="0.35">
      <c r="A199" t="s">
        <v>950</v>
      </c>
    </row>
    <row r="200" spans="1:1" x14ac:dyDescent="0.35">
      <c r="A200" t="s">
        <v>953</v>
      </c>
    </row>
    <row r="201" spans="1:1" x14ac:dyDescent="0.35">
      <c r="A201" t="s">
        <v>957</v>
      </c>
    </row>
    <row r="202" spans="1:1" x14ac:dyDescent="0.35">
      <c r="A202" t="s">
        <v>959</v>
      </c>
    </row>
    <row r="203" spans="1:1" x14ac:dyDescent="0.35">
      <c r="A203" t="s">
        <v>963</v>
      </c>
    </row>
    <row r="204" spans="1:1" x14ac:dyDescent="0.35">
      <c r="A204" t="s">
        <v>966</v>
      </c>
    </row>
    <row r="205" spans="1:1" x14ac:dyDescent="0.35">
      <c r="A205" t="s">
        <v>970</v>
      </c>
    </row>
    <row r="206" spans="1:1" x14ac:dyDescent="0.35">
      <c r="A206" t="s">
        <v>974</v>
      </c>
    </row>
    <row r="207" spans="1:1" x14ac:dyDescent="0.35">
      <c r="A207" t="s">
        <v>978</v>
      </c>
    </row>
    <row r="208" spans="1:1" x14ac:dyDescent="0.35">
      <c r="A208" t="s">
        <v>982</v>
      </c>
    </row>
    <row r="209" spans="1:1" x14ac:dyDescent="0.35">
      <c r="A209" t="s">
        <v>985</v>
      </c>
    </row>
    <row r="210" spans="1:1" x14ac:dyDescent="0.35">
      <c r="A210" t="s">
        <v>989</v>
      </c>
    </row>
    <row r="211" spans="1:1" x14ac:dyDescent="0.35">
      <c r="A211" t="s">
        <v>993</v>
      </c>
    </row>
    <row r="212" spans="1:1" x14ac:dyDescent="0.35">
      <c r="A212" t="s">
        <v>997</v>
      </c>
    </row>
    <row r="213" spans="1:1" x14ac:dyDescent="0.35">
      <c r="A213" t="s">
        <v>1001</v>
      </c>
    </row>
    <row r="214" spans="1:1" x14ac:dyDescent="0.35">
      <c r="A214" t="s">
        <v>1004</v>
      </c>
    </row>
    <row r="215" spans="1:1" x14ac:dyDescent="0.35">
      <c r="A215" t="s">
        <v>1008</v>
      </c>
    </row>
    <row r="216" spans="1:1" x14ac:dyDescent="0.35">
      <c r="A216" t="s">
        <v>1012</v>
      </c>
    </row>
    <row r="217" spans="1:1" x14ac:dyDescent="0.35">
      <c r="A217" t="s">
        <v>1016</v>
      </c>
    </row>
    <row r="218" spans="1:1" x14ac:dyDescent="0.35">
      <c r="A218" t="s">
        <v>1020</v>
      </c>
    </row>
    <row r="219" spans="1:1" x14ac:dyDescent="0.35">
      <c r="A219" t="s">
        <v>1023</v>
      </c>
    </row>
    <row r="220" spans="1:1" x14ac:dyDescent="0.35">
      <c r="A220" t="s">
        <v>1026</v>
      </c>
    </row>
    <row r="221" spans="1:1" x14ac:dyDescent="0.35">
      <c r="A221" t="s">
        <v>1029</v>
      </c>
    </row>
    <row r="222" spans="1:1" x14ac:dyDescent="0.35">
      <c r="A222" t="s">
        <v>1032</v>
      </c>
    </row>
    <row r="223" spans="1:1" x14ac:dyDescent="0.35">
      <c r="A223" t="s">
        <v>1036</v>
      </c>
    </row>
    <row r="224" spans="1:1" x14ac:dyDescent="0.35">
      <c r="A224" t="s">
        <v>1040</v>
      </c>
    </row>
    <row r="225" spans="1:1" x14ac:dyDescent="0.35">
      <c r="A225" t="s">
        <v>1044</v>
      </c>
    </row>
    <row r="226" spans="1:1" x14ac:dyDescent="0.35">
      <c r="A226" t="s">
        <v>1048</v>
      </c>
    </row>
    <row r="227" spans="1:1" x14ac:dyDescent="0.35">
      <c r="A227" t="s">
        <v>1051</v>
      </c>
    </row>
    <row r="228" spans="1:1" x14ac:dyDescent="0.35">
      <c r="A228" t="s">
        <v>1054</v>
      </c>
    </row>
    <row r="229" spans="1:1" x14ac:dyDescent="0.35">
      <c r="A229" t="s">
        <v>1058</v>
      </c>
    </row>
    <row r="230" spans="1:1" x14ac:dyDescent="0.35">
      <c r="A230" t="s">
        <v>1062</v>
      </c>
    </row>
    <row r="231" spans="1:1" x14ac:dyDescent="0.35">
      <c r="A231" t="s">
        <v>1066</v>
      </c>
    </row>
    <row r="232" spans="1:1" x14ac:dyDescent="0.35">
      <c r="A232" t="s">
        <v>1070</v>
      </c>
    </row>
    <row r="233" spans="1:1" x14ac:dyDescent="0.35">
      <c r="A233" t="s">
        <v>1074</v>
      </c>
    </row>
    <row r="234" spans="1:1" x14ac:dyDescent="0.35">
      <c r="A234" t="s">
        <v>1078</v>
      </c>
    </row>
    <row r="235" spans="1:1" x14ac:dyDescent="0.35">
      <c r="A235" t="s">
        <v>1081</v>
      </c>
    </row>
    <row r="236" spans="1:1" x14ac:dyDescent="0.35">
      <c r="A236" t="s">
        <v>1084</v>
      </c>
    </row>
    <row r="237" spans="1:1" x14ac:dyDescent="0.35">
      <c r="A237" t="s">
        <v>1088</v>
      </c>
    </row>
    <row r="238" spans="1:1" x14ac:dyDescent="0.35">
      <c r="A238" t="s">
        <v>1092</v>
      </c>
    </row>
    <row r="239" spans="1:1" x14ac:dyDescent="0.35">
      <c r="A239" t="s">
        <v>1095</v>
      </c>
    </row>
    <row r="240" spans="1:1" x14ac:dyDescent="0.35">
      <c r="A240" t="s">
        <v>1099</v>
      </c>
    </row>
    <row r="241" spans="1:1" x14ac:dyDescent="0.35">
      <c r="A241" t="s">
        <v>1102</v>
      </c>
    </row>
    <row r="242" spans="1:1" x14ac:dyDescent="0.35">
      <c r="A242" t="s">
        <v>1105</v>
      </c>
    </row>
    <row r="243" spans="1:1" x14ac:dyDescent="0.35">
      <c r="A243" t="s">
        <v>1109</v>
      </c>
    </row>
    <row r="244" spans="1:1" x14ac:dyDescent="0.35">
      <c r="A244" t="s">
        <v>1113</v>
      </c>
    </row>
    <row r="245" spans="1:1" x14ac:dyDescent="0.35">
      <c r="A245" t="s">
        <v>1117</v>
      </c>
    </row>
    <row r="246" spans="1:1" x14ac:dyDescent="0.35">
      <c r="A246" t="s">
        <v>1121</v>
      </c>
    </row>
    <row r="247" spans="1:1" x14ac:dyDescent="0.35">
      <c r="A247" t="s">
        <v>1124</v>
      </c>
    </row>
    <row r="248" spans="1:1" x14ac:dyDescent="0.35">
      <c r="A248" t="s">
        <v>1128</v>
      </c>
    </row>
    <row r="249" spans="1:1" x14ac:dyDescent="0.35">
      <c r="A249" t="s">
        <v>1132</v>
      </c>
    </row>
    <row r="250" spans="1:1" x14ac:dyDescent="0.35">
      <c r="A250" t="s">
        <v>1136</v>
      </c>
    </row>
    <row r="251" spans="1:1" x14ac:dyDescent="0.35">
      <c r="A251" t="s">
        <v>1140</v>
      </c>
    </row>
    <row r="252" spans="1:1" x14ac:dyDescent="0.35">
      <c r="A252" t="s">
        <v>1144</v>
      </c>
    </row>
    <row r="253" spans="1:1" x14ac:dyDescent="0.35">
      <c r="A253" t="s">
        <v>1147</v>
      </c>
    </row>
    <row r="254" spans="1:1" x14ac:dyDescent="0.35">
      <c r="A254" t="s">
        <v>1150</v>
      </c>
    </row>
    <row r="255" spans="1:1" x14ac:dyDescent="0.35">
      <c r="A255" t="s">
        <v>1153</v>
      </c>
    </row>
    <row r="256" spans="1:1" x14ac:dyDescent="0.35">
      <c r="A256" t="s">
        <v>1157</v>
      </c>
    </row>
    <row r="257" spans="1:1" x14ac:dyDescent="0.35">
      <c r="A257" t="s">
        <v>1160</v>
      </c>
    </row>
    <row r="258" spans="1:1" x14ac:dyDescent="0.35">
      <c r="A258" t="s">
        <v>1164</v>
      </c>
    </row>
    <row r="259" spans="1:1" x14ac:dyDescent="0.35">
      <c r="A259" t="s">
        <v>1168</v>
      </c>
    </row>
    <row r="260" spans="1:1" x14ac:dyDescent="0.35">
      <c r="A260" t="s">
        <v>1171</v>
      </c>
    </row>
    <row r="261" spans="1:1" x14ac:dyDescent="0.35">
      <c r="A261" t="s">
        <v>1175</v>
      </c>
    </row>
    <row r="262" spans="1:1" x14ac:dyDescent="0.35">
      <c r="A262" t="s">
        <v>1179</v>
      </c>
    </row>
    <row r="263" spans="1:1" x14ac:dyDescent="0.35">
      <c r="A263" t="s">
        <v>1182</v>
      </c>
    </row>
    <row r="264" spans="1:1" x14ac:dyDescent="0.35">
      <c r="A264" t="s">
        <v>1186</v>
      </c>
    </row>
    <row r="265" spans="1:1" x14ac:dyDescent="0.35">
      <c r="A265" t="s">
        <v>1189</v>
      </c>
    </row>
    <row r="266" spans="1:1" x14ac:dyDescent="0.35">
      <c r="A266" t="s">
        <v>1192</v>
      </c>
    </row>
    <row r="267" spans="1:1" x14ac:dyDescent="0.35">
      <c r="A267" t="s">
        <v>1193</v>
      </c>
    </row>
    <row r="268" spans="1:1" x14ac:dyDescent="0.35">
      <c r="A268" t="s">
        <v>1196</v>
      </c>
    </row>
    <row r="269" spans="1:1" x14ac:dyDescent="0.35">
      <c r="A269" t="s">
        <v>1199</v>
      </c>
    </row>
    <row r="270" spans="1:1" x14ac:dyDescent="0.35">
      <c r="A270" t="s">
        <v>1203</v>
      </c>
    </row>
    <row r="271" spans="1:1" x14ac:dyDescent="0.35">
      <c r="A271" t="s">
        <v>1206</v>
      </c>
    </row>
    <row r="272" spans="1:1" x14ac:dyDescent="0.35">
      <c r="A272" t="s">
        <v>1210</v>
      </c>
    </row>
    <row r="273" spans="1:1" x14ac:dyDescent="0.35">
      <c r="A273" t="s">
        <v>1213</v>
      </c>
    </row>
    <row r="274" spans="1:1" x14ac:dyDescent="0.35">
      <c r="A274" t="s">
        <v>1217</v>
      </c>
    </row>
    <row r="275" spans="1:1" x14ac:dyDescent="0.35">
      <c r="A275" t="s">
        <v>1221</v>
      </c>
    </row>
    <row r="276" spans="1:1" x14ac:dyDescent="0.35">
      <c r="A276" t="s">
        <v>1224</v>
      </c>
    </row>
    <row r="277" spans="1:1" x14ac:dyDescent="0.35">
      <c r="A277" t="s">
        <v>1226</v>
      </c>
    </row>
    <row r="278" spans="1:1" x14ac:dyDescent="0.35">
      <c r="A278" t="s">
        <v>1230</v>
      </c>
    </row>
    <row r="279" spans="1:1" x14ac:dyDescent="0.35">
      <c r="A279" t="s">
        <v>1234</v>
      </c>
    </row>
    <row r="280" spans="1:1" x14ac:dyDescent="0.35">
      <c r="A280" t="s">
        <v>1238</v>
      </c>
    </row>
    <row r="281" spans="1:1" x14ac:dyDescent="0.35">
      <c r="A281" t="s">
        <v>1241</v>
      </c>
    </row>
    <row r="282" spans="1:1" x14ac:dyDescent="0.35">
      <c r="A282" t="s">
        <v>1245</v>
      </c>
    </row>
    <row r="283" spans="1:1" x14ac:dyDescent="0.35">
      <c r="A283" t="s">
        <v>1249</v>
      </c>
    </row>
    <row r="284" spans="1:1" x14ac:dyDescent="0.35">
      <c r="A284" t="s">
        <v>1253</v>
      </c>
    </row>
    <row r="285" spans="1:1" x14ac:dyDescent="0.35">
      <c r="A285" t="s">
        <v>1257</v>
      </c>
    </row>
    <row r="286" spans="1:1" x14ac:dyDescent="0.35">
      <c r="A286" t="s">
        <v>1260</v>
      </c>
    </row>
    <row r="287" spans="1:1" x14ac:dyDescent="0.35">
      <c r="A287" t="s">
        <v>1264</v>
      </c>
    </row>
    <row r="288" spans="1:1" x14ac:dyDescent="0.35">
      <c r="A288" t="s">
        <v>1268</v>
      </c>
    </row>
    <row r="289" spans="1:1" x14ac:dyDescent="0.35">
      <c r="A289" t="s">
        <v>1272</v>
      </c>
    </row>
    <row r="290" spans="1:1" x14ac:dyDescent="0.35">
      <c r="A290" t="s">
        <v>1274</v>
      </c>
    </row>
    <row r="291" spans="1:1" x14ac:dyDescent="0.35">
      <c r="A291" t="s">
        <v>1277</v>
      </c>
    </row>
    <row r="292" spans="1:1" x14ac:dyDescent="0.35">
      <c r="A292" t="s">
        <v>1280</v>
      </c>
    </row>
    <row r="293" spans="1:1" x14ac:dyDescent="0.35">
      <c r="A293" t="s">
        <v>1283</v>
      </c>
    </row>
    <row r="294" spans="1:1" x14ac:dyDescent="0.35">
      <c r="A294" t="s">
        <v>1286</v>
      </c>
    </row>
    <row r="295" spans="1:1" x14ac:dyDescent="0.35">
      <c r="A295" t="s">
        <v>1290</v>
      </c>
    </row>
    <row r="296" spans="1:1" x14ac:dyDescent="0.35">
      <c r="A296" t="s">
        <v>1293</v>
      </c>
    </row>
    <row r="297" spans="1:1" x14ac:dyDescent="0.35">
      <c r="A297" t="s">
        <v>1297</v>
      </c>
    </row>
    <row r="298" spans="1:1" x14ac:dyDescent="0.35">
      <c r="A298" t="s">
        <v>1301</v>
      </c>
    </row>
    <row r="299" spans="1:1" x14ac:dyDescent="0.35">
      <c r="A299" t="s">
        <v>1304</v>
      </c>
    </row>
    <row r="300" spans="1:1" x14ac:dyDescent="0.35">
      <c r="A300" t="s">
        <v>1307</v>
      </c>
    </row>
    <row r="301" spans="1:1" x14ac:dyDescent="0.35">
      <c r="A301" t="s">
        <v>1310</v>
      </c>
    </row>
    <row r="302" spans="1:1" x14ac:dyDescent="0.35">
      <c r="A302" t="s">
        <v>1313</v>
      </c>
    </row>
    <row r="303" spans="1:1" x14ac:dyDescent="0.35">
      <c r="A303" t="s">
        <v>1316</v>
      </c>
    </row>
    <row r="304" spans="1:1" x14ac:dyDescent="0.35">
      <c r="A304" t="s">
        <v>1320</v>
      </c>
    </row>
    <row r="305" spans="1:1" x14ac:dyDescent="0.35">
      <c r="A305" t="s">
        <v>1324</v>
      </c>
    </row>
    <row r="306" spans="1:1" x14ac:dyDescent="0.35">
      <c r="A306" t="s">
        <v>1327</v>
      </c>
    </row>
    <row r="307" spans="1:1" x14ac:dyDescent="0.35">
      <c r="A307" t="s">
        <v>1331</v>
      </c>
    </row>
    <row r="308" spans="1:1" x14ac:dyDescent="0.35">
      <c r="A308" t="s">
        <v>1334</v>
      </c>
    </row>
    <row r="309" spans="1:1" x14ac:dyDescent="0.35">
      <c r="A309" t="s">
        <v>1338</v>
      </c>
    </row>
    <row r="310" spans="1:1" x14ac:dyDescent="0.35">
      <c r="A310" t="s">
        <v>1342</v>
      </c>
    </row>
    <row r="311" spans="1:1" x14ac:dyDescent="0.35">
      <c r="A311" t="s">
        <v>1346</v>
      </c>
    </row>
    <row r="312" spans="1:1" x14ac:dyDescent="0.35">
      <c r="A312" t="s">
        <v>1347</v>
      </c>
    </row>
    <row r="313" spans="1:1" x14ac:dyDescent="0.35">
      <c r="A313" t="s">
        <v>1351</v>
      </c>
    </row>
    <row r="314" spans="1:1" x14ac:dyDescent="0.35">
      <c r="A314" t="s">
        <v>1355</v>
      </c>
    </row>
    <row r="315" spans="1:1" x14ac:dyDescent="0.35">
      <c r="A315" t="s">
        <v>1359</v>
      </c>
    </row>
    <row r="316" spans="1:1" x14ac:dyDescent="0.35">
      <c r="A316" t="s">
        <v>1363</v>
      </c>
    </row>
    <row r="317" spans="1:1" x14ac:dyDescent="0.35">
      <c r="A317" t="s">
        <v>1367</v>
      </c>
    </row>
    <row r="318" spans="1:1" x14ac:dyDescent="0.35">
      <c r="A318" t="s">
        <v>1369</v>
      </c>
    </row>
    <row r="319" spans="1:1" x14ac:dyDescent="0.35">
      <c r="A319" t="s">
        <v>1372</v>
      </c>
    </row>
    <row r="320" spans="1:1" x14ac:dyDescent="0.35">
      <c r="A320" t="s">
        <v>1376</v>
      </c>
    </row>
    <row r="321" spans="1:1" x14ac:dyDescent="0.35">
      <c r="A321" t="s">
        <v>1379</v>
      </c>
    </row>
    <row r="322" spans="1:1" x14ac:dyDescent="0.35">
      <c r="A322" t="s">
        <v>1383</v>
      </c>
    </row>
    <row r="323" spans="1:1" x14ac:dyDescent="0.35">
      <c r="A323" t="s">
        <v>1385</v>
      </c>
    </row>
    <row r="324" spans="1:1" x14ac:dyDescent="0.35">
      <c r="A324" t="s">
        <v>1389</v>
      </c>
    </row>
    <row r="325" spans="1:1" x14ac:dyDescent="0.35">
      <c r="A325" t="s">
        <v>1392</v>
      </c>
    </row>
    <row r="326" spans="1:1" x14ac:dyDescent="0.35">
      <c r="A326" t="s">
        <v>1396</v>
      </c>
    </row>
    <row r="327" spans="1:1" x14ac:dyDescent="0.35">
      <c r="A327" t="s">
        <v>1400</v>
      </c>
    </row>
    <row r="328" spans="1:1" x14ac:dyDescent="0.35">
      <c r="A328" t="s">
        <v>1403</v>
      </c>
    </row>
    <row r="329" spans="1:1" x14ac:dyDescent="0.35">
      <c r="A329" t="s">
        <v>1407</v>
      </c>
    </row>
    <row r="330" spans="1:1" x14ac:dyDescent="0.35">
      <c r="A330" t="s">
        <v>1411</v>
      </c>
    </row>
    <row r="331" spans="1:1" x14ac:dyDescent="0.35">
      <c r="A331" t="s">
        <v>1415</v>
      </c>
    </row>
    <row r="332" spans="1:1" x14ac:dyDescent="0.35">
      <c r="A332" t="s">
        <v>1419</v>
      </c>
    </row>
    <row r="333" spans="1:1" x14ac:dyDescent="0.35">
      <c r="A333" t="s">
        <v>1422</v>
      </c>
    </row>
    <row r="334" spans="1:1" x14ac:dyDescent="0.35">
      <c r="A334" t="s">
        <v>1426</v>
      </c>
    </row>
    <row r="335" spans="1:1" x14ac:dyDescent="0.35">
      <c r="A335" t="s">
        <v>1430</v>
      </c>
    </row>
    <row r="336" spans="1:1" x14ac:dyDescent="0.35">
      <c r="A336" t="s">
        <v>1431</v>
      </c>
    </row>
    <row r="337" spans="1:1" x14ac:dyDescent="0.35">
      <c r="A337" t="s">
        <v>1435</v>
      </c>
    </row>
    <row r="338" spans="1:1" x14ac:dyDescent="0.35">
      <c r="A338" t="s">
        <v>1439</v>
      </c>
    </row>
    <row r="339" spans="1:1" x14ac:dyDescent="0.35">
      <c r="A339" t="s">
        <v>1442</v>
      </c>
    </row>
    <row r="340" spans="1:1" x14ac:dyDescent="0.35">
      <c r="A340" t="s">
        <v>1446</v>
      </c>
    </row>
    <row r="341" spans="1:1" x14ac:dyDescent="0.35">
      <c r="A341" t="s">
        <v>1450</v>
      </c>
    </row>
    <row r="342" spans="1:1" x14ac:dyDescent="0.35">
      <c r="A342" t="s">
        <v>1454</v>
      </c>
    </row>
    <row r="343" spans="1:1" x14ac:dyDescent="0.35">
      <c r="A343" t="s">
        <v>1458</v>
      </c>
    </row>
    <row r="344" spans="1:1" x14ac:dyDescent="0.35">
      <c r="A344" t="s">
        <v>1461</v>
      </c>
    </row>
    <row r="345" spans="1:1" x14ac:dyDescent="0.35">
      <c r="A345" t="s">
        <v>1465</v>
      </c>
    </row>
    <row r="346" spans="1:1" x14ac:dyDescent="0.35">
      <c r="A346" t="s">
        <v>1469</v>
      </c>
    </row>
    <row r="347" spans="1:1" x14ac:dyDescent="0.35">
      <c r="A347" t="s">
        <v>1473</v>
      </c>
    </row>
    <row r="348" spans="1:1" x14ac:dyDescent="0.35">
      <c r="A348" t="s">
        <v>1476</v>
      </c>
    </row>
    <row r="349" spans="1:1" x14ac:dyDescent="0.35">
      <c r="A349" t="s">
        <v>1478</v>
      </c>
    </row>
    <row r="350" spans="1:1" x14ac:dyDescent="0.35">
      <c r="A350" t="s">
        <v>1482</v>
      </c>
    </row>
    <row r="351" spans="1:1" x14ac:dyDescent="0.35">
      <c r="A351" t="s">
        <v>1486</v>
      </c>
    </row>
    <row r="352" spans="1:1" x14ac:dyDescent="0.35">
      <c r="A352" t="s">
        <v>1490</v>
      </c>
    </row>
    <row r="353" spans="1:1" x14ac:dyDescent="0.35">
      <c r="A353" t="s">
        <v>1493</v>
      </c>
    </row>
    <row r="354" spans="1:1" x14ac:dyDescent="0.35">
      <c r="A354" t="s">
        <v>1497</v>
      </c>
    </row>
    <row r="355" spans="1:1" x14ac:dyDescent="0.35">
      <c r="A355" t="s">
        <v>1500</v>
      </c>
    </row>
    <row r="356" spans="1:1" x14ac:dyDescent="0.35">
      <c r="A356" t="s">
        <v>1504</v>
      </c>
    </row>
    <row r="357" spans="1:1" x14ac:dyDescent="0.35">
      <c r="A357" t="s">
        <v>1506</v>
      </c>
    </row>
    <row r="358" spans="1:1" x14ac:dyDescent="0.35">
      <c r="A358" t="s">
        <v>1510</v>
      </c>
    </row>
    <row r="359" spans="1:1" x14ac:dyDescent="0.35">
      <c r="A359" t="s">
        <v>1514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362"/>
  <sheetViews>
    <sheetView tabSelected="1" workbookViewId="0">
      <selection activeCell="E1" sqref="E1:G1048576"/>
    </sheetView>
  </sheetViews>
  <sheetFormatPr defaultRowHeight="14.5" x14ac:dyDescent="0.35"/>
  <cols>
    <col min="5" max="7" width="11.26953125" customWidth="1"/>
  </cols>
  <sheetData>
    <row r="1" spans="1:8" ht="15" thickBot="1" x14ac:dyDescent="0.4">
      <c r="A1" s="3" t="s">
        <v>156</v>
      </c>
      <c r="B1" s="3" t="s">
        <v>1</v>
      </c>
      <c r="C1" s="3" t="s">
        <v>2</v>
      </c>
      <c r="D1" s="4" t="s">
        <v>3</v>
      </c>
      <c r="E1" s="10" t="s">
        <v>157</v>
      </c>
      <c r="F1" s="11" t="s">
        <v>158</v>
      </c>
      <c r="G1" t="s">
        <v>246</v>
      </c>
      <c r="H1" t="s">
        <v>245</v>
      </c>
    </row>
    <row r="2" spans="1:8" x14ac:dyDescent="0.35">
      <c r="A2" t="s">
        <v>4</v>
      </c>
      <c r="B2">
        <v>2019</v>
      </c>
      <c r="C2" t="s">
        <v>5</v>
      </c>
      <c r="D2" t="s">
        <v>159</v>
      </c>
      <c r="E2" t="s">
        <v>221</v>
      </c>
      <c r="F2" t="s">
        <v>222</v>
      </c>
      <c r="G2" t="b">
        <f>IF(E2="Include", TRUE, FALSE)</f>
        <v>0</v>
      </c>
      <c r="H2" t="str">
        <f>VLOOKUP(A2,ID_Lookup!A:A,1,FALSE)</f>
        <v>J500</v>
      </c>
    </row>
    <row r="3" spans="1:8" x14ac:dyDescent="0.35">
      <c r="A3" t="s">
        <v>7</v>
      </c>
      <c r="B3">
        <v>2019</v>
      </c>
      <c r="C3" t="s">
        <v>8</v>
      </c>
      <c r="D3" t="s">
        <v>161</v>
      </c>
      <c r="E3" t="s">
        <v>221</v>
      </c>
      <c r="F3" t="s">
        <v>222</v>
      </c>
      <c r="G3" t="b">
        <f t="shared" ref="G3:G66" si="0">IF(E3="Include", TRUE, FALSE)</f>
        <v>0</v>
      </c>
      <c r="H3" t="str">
        <f>VLOOKUP(A3,ID_Lookup!A:A,1,FALSE)</f>
        <v>J501</v>
      </c>
    </row>
    <row r="4" spans="1:8" x14ac:dyDescent="0.35">
      <c r="A4" t="s">
        <v>10</v>
      </c>
      <c r="B4">
        <v>2019</v>
      </c>
      <c r="C4" t="s">
        <v>11</v>
      </c>
      <c r="D4" t="s">
        <v>162</v>
      </c>
      <c r="E4" t="s">
        <v>160</v>
      </c>
      <c r="F4" t="s">
        <v>223</v>
      </c>
      <c r="G4" t="b">
        <f t="shared" si="0"/>
        <v>1</v>
      </c>
      <c r="H4" t="str">
        <f>VLOOKUP(A4,ID_Lookup!A:A,1,FALSE)</f>
        <v>J502</v>
      </c>
    </row>
    <row r="5" spans="1:8" x14ac:dyDescent="0.35">
      <c r="A5" t="s">
        <v>13</v>
      </c>
      <c r="B5">
        <v>2019</v>
      </c>
      <c r="C5" t="s">
        <v>14</v>
      </c>
      <c r="D5" t="s">
        <v>163</v>
      </c>
      <c r="E5" t="s">
        <v>160</v>
      </c>
      <c r="F5" t="s">
        <v>224</v>
      </c>
      <c r="G5" t="b">
        <f t="shared" si="0"/>
        <v>1</v>
      </c>
      <c r="H5" t="str">
        <f>VLOOKUP(A5,ID_Lookup!A:A,1,FALSE)</f>
        <v>J503</v>
      </c>
    </row>
    <row r="6" spans="1:8" x14ac:dyDescent="0.35">
      <c r="A6" t="s">
        <v>16</v>
      </c>
      <c r="B6">
        <v>2019</v>
      </c>
      <c r="C6" t="s">
        <v>17</v>
      </c>
      <c r="D6" t="s">
        <v>164</v>
      </c>
      <c r="E6" t="s">
        <v>160</v>
      </c>
      <c r="F6" t="s">
        <v>224</v>
      </c>
      <c r="G6" t="b">
        <f t="shared" si="0"/>
        <v>1</v>
      </c>
      <c r="H6" t="str">
        <f>VLOOKUP(A6,ID_Lookup!A:A,1,FALSE)</f>
        <v>J504</v>
      </c>
    </row>
    <row r="7" spans="1:8" x14ac:dyDescent="0.35">
      <c r="A7" t="s">
        <v>19</v>
      </c>
      <c r="B7">
        <v>2019</v>
      </c>
      <c r="C7" t="s">
        <v>20</v>
      </c>
      <c r="D7" t="s">
        <v>165</v>
      </c>
      <c r="E7" t="s">
        <v>160</v>
      </c>
      <c r="F7" t="s">
        <v>224</v>
      </c>
      <c r="G7" t="b">
        <f t="shared" si="0"/>
        <v>1</v>
      </c>
      <c r="H7" t="str">
        <f>VLOOKUP(A7,ID_Lookup!A:A,1,FALSE)</f>
        <v>J505</v>
      </c>
    </row>
    <row r="8" spans="1:8" x14ac:dyDescent="0.35">
      <c r="A8" t="s">
        <v>22</v>
      </c>
      <c r="B8">
        <v>2019</v>
      </c>
      <c r="C8" t="s">
        <v>23</v>
      </c>
      <c r="D8" t="s">
        <v>166</v>
      </c>
      <c r="E8" t="s">
        <v>160</v>
      </c>
      <c r="F8" t="s">
        <v>224</v>
      </c>
      <c r="G8" t="b">
        <f t="shared" si="0"/>
        <v>1</v>
      </c>
      <c r="H8" t="str">
        <f>VLOOKUP(A8,ID_Lookup!A:A,1,FALSE)</f>
        <v>J506</v>
      </c>
    </row>
    <row r="9" spans="1:8" x14ac:dyDescent="0.35">
      <c r="A9" t="s">
        <v>25</v>
      </c>
      <c r="B9">
        <v>2019</v>
      </c>
      <c r="C9" t="s">
        <v>167</v>
      </c>
      <c r="D9" t="s">
        <v>168</v>
      </c>
      <c r="E9" t="s">
        <v>221</v>
      </c>
      <c r="F9" t="s">
        <v>225</v>
      </c>
      <c r="G9" t="b">
        <f t="shared" si="0"/>
        <v>0</v>
      </c>
      <c r="H9" t="str">
        <f>VLOOKUP(A9,ID_Lookup!A:A,1,FALSE)</f>
        <v>J507</v>
      </c>
    </row>
    <row r="10" spans="1:8" x14ac:dyDescent="0.35">
      <c r="A10" t="s">
        <v>28</v>
      </c>
      <c r="B10">
        <v>2019</v>
      </c>
      <c r="C10" t="s">
        <v>29</v>
      </c>
      <c r="D10" t="s">
        <v>169</v>
      </c>
      <c r="E10" t="s">
        <v>160</v>
      </c>
      <c r="F10" t="s">
        <v>223</v>
      </c>
      <c r="G10" t="b">
        <f t="shared" si="0"/>
        <v>1</v>
      </c>
      <c r="H10" t="str">
        <f>VLOOKUP(A10,ID_Lookup!A:A,1,FALSE)</f>
        <v>J508</v>
      </c>
    </row>
    <row r="11" spans="1:8" x14ac:dyDescent="0.35">
      <c r="A11" t="s">
        <v>31</v>
      </c>
      <c r="B11">
        <v>2019</v>
      </c>
      <c r="C11" t="s">
        <v>32</v>
      </c>
      <c r="D11" t="s">
        <v>170</v>
      </c>
      <c r="E11" t="s">
        <v>160</v>
      </c>
      <c r="F11" t="s">
        <v>226</v>
      </c>
      <c r="G11" t="b">
        <f t="shared" si="0"/>
        <v>1</v>
      </c>
      <c r="H11" t="str">
        <f>VLOOKUP(A11,ID_Lookup!A:A,1,FALSE)</f>
        <v>J509</v>
      </c>
    </row>
    <row r="12" spans="1:8" x14ac:dyDescent="0.35">
      <c r="A12" t="s">
        <v>34</v>
      </c>
      <c r="B12">
        <v>2019</v>
      </c>
      <c r="C12" t="s">
        <v>171</v>
      </c>
      <c r="D12" t="s">
        <v>172</v>
      </c>
      <c r="E12" t="s">
        <v>221</v>
      </c>
      <c r="F12" t="s">
        <v>225</v>
      </c>
      <c r="G12" t="b">
        <f t="shared" si="0"/>
        <v>0</v>
      </c>
      <c r="H12" t="str">
        <f>VLOOKUP(A12,ID_Lookup!A:A,1,FALSE)</f>
        <v>J510</v>
      </c>
    </row>
    <row r="13" spans="1:8" x14ac:dyDescent="0.35">
      <c r="A13" t="s">
        <v>37</v>
      </c>
      <c r="B13">
        <v>2019</v>
      </c>
      <c r="C13" t="s">
        <v>38</v>
      </c>
      <c r="D13" t="s">
        <v>39</v>
      </c>
      <c r="E13" t="s">
        <v>160</v>
      </c>
      <c r="F13" t="s">
        <v>223</v>
      </c>
      <c r="G13" t="b">
        <f t="shared" si="0"/>
        <v>1</v>
      </c>
      <c r="H13" t="str">
        <f>VLOOKUP(A13,ID_Lookup!A:A,1,FALSE)</f>
        <v>J511</v>
      </c>
    </row>
    <row r="14" spans="1:8" x14ac:dyDescent="0.35">
      <c r="A14" s="5" t="s">
        <v>40</v>
      </c>
      <c r="B14" s="5">
        <v>2019</v>
      </c>
      <c r="C14" s="5" t="s">
        <v>41</v>
      </c>
      <c r="D14" s="5" t="s">
        <v>42</v>
      </c>
      <c r="E14" s="5" t="s">
        <v>160</v>
      </c>
      <c r="G14" t="b">
        <f t="shared" si="0"/>
        <v>1</v>
      </c>
      <c r="H14" t="str">
        <f>VLOOKUP(A14,ID_Lookup!A:A,1,FALSE)</f>
        <v>J512</v>
      </c>
    </row>
    <row r="15" spans="1:8" x14ac:dyDescent="0.35">
      <c r="A15" t="s">
        <v>43</v>
      </c>
      <c r="B15">
        <v>2019</v>
      </c>
      <c r="C15" t="s">
        <v>173</v>
      </c>
      <c r="D15" t="s">
        <v>174</v>
      </c>
      <c r="E15" t="s">
        <v>160</v>
      </c>
      <c r="F15" t="s">
        <v>224</v>
      </c>
      <c r="G15" t="b">
        <f t="shared" si="0"/>
        <v>1</v>
      </c>
      <c r="H15" t="str">
        <f>VLOOKUP(A15,ID_Lookup!A:A,1,FALSE)</f>
        <v>J513</v>
      </c>
    </row>
    <row r="16" spans="1:8" x14ac:dyDescent="0.35">
      <c r="A16" t="s">
        <v>46</v>
      </c>
      <c r="B16">
        <v>2019</v>
      </c>
      <c r="C16" t="s">
        <v>175</v>
      </c>
      <c r="D16" t="s">
        <v>176</v>
      </c>
      <c r="E16" t="s">
        <v>160</v>
      </c>
      <c r="F16" t="s">
        <v>224</v>
      </c>
      <c r="G16" t="b">
        <f t="shared" si="0"/>
        <v>1</v>
      </c>
      <c r="H16" t="str">
        <f>VLOOKUP(A16,ID_Lookup!A:A,1,FALSE)</f>
        <v>J514</v>
      </c>
    </row>
    <row r="17" spans="1:8" x14ac:dyDescent="0.35">
      <c r="A17" t="s">
        <v>49</v>
      </c>
      <c r="B17">
        <v>2019</v>
      </c>
      <c r="C17" t="s">
        <v>50</v>
      </c>
      <c r="D17" t="s">
        <v>177</v>
      </c>
      <c r="E17" t="s">
        <v>160</v>
      </c>
      <c r="F17" t="s">
        <v>223</v>
      </c>
      <c r="G17" t="b">
        <f t="shared" si="0"/>
        <v>1</v>
      </c>
      <c r="H17" t="str">
        <f>VLOOKUP(A17,ID_Lookup!A:A,1,FALSE)</f>
        <v>J515</v>
      </c>
    </row>
    <row r="18" spans="1:8" x14ac:dyDescent="0.35">
      <c r="A18" t="s">
        <v>52</v>
      </c>
      <c r="B18">
        <v>2019</v>
      </c>
      <c r="C18" t="s">
        <v>53</v>
      </c>
      <c r="D18" t="s">
        <v>178</v>
      </c>
      <c r="E18" t="s">
        <v>160</v>
      </c>
      <c r="F18" t="s">
        <v>224</v>
      </c>
      <c r="G18" t="b">
        <f t="shared" si="0"/>
        <v>1</v>
      </c>
      <c r="H18" t="str">
        <f>VLOOKUP(A18,ID_Lookup!A:A,1,FALSE)</f>
        <v>J516</v>
      </c>
    </row>
    <row r="19" spans="1:8" s="2" customFormat="1" hidden="1" x14ac:dyDescent="0.35">
      <c r="A19" t="s">
        <v>55</v>
      </c>
      <c r="B19">
        <v>2019</v>
      </c>
      <c r="C19" t="s">
        <v>56</v>
      </c>
      <c r="D19" t="s">
        <v>179</v>
      </c>
      <c r="E19" t="s">
        <v>221</v>
      </c>
      <c r="F19" t="s">
        <v>227</v>
      </c>
      <c r="G19" t="b">
        <f t="shared" si="0"/>
        <v>0</v>
      </c>
      <c r="H19" t="e">
        <f>VLOOKUP(A19,ID_Lookup!A:A,1,FALSE)</f>
        <v>#N/A</v>
      </c>
    </row>
    <row r="20" spans="1:8" x14ac:dyDescent="0.35">
      <c r="A20" t="s">
        <v>57</v>
      </c>
      <c r="B20">
        <v>2019</v>
      </c>
      <c r="C20" t="s">
        <v>58</v>
      </c>
      <c r="D20" t="s">
        <v>180</v>
      </c>
      <c r="E20" t="s">
        <v>221</v>
      </c>
      <c r="F20" t="s">
        <v>222</v>
      </c>
      <c r="G20" t="b">
        <f t="shared" si="0"/>
        <v>0</v>
      </c>
      <c r="H20" t="str">
        <f>VLOOKUP(A20,ID_Lookup!A:A,1,FALSE)</f>
        <v>J518</v>
      </c>
    </row>
    <row r="21" spans="1:8" x14ac:dyDescent="0.35">
      <c r="A21" t="s">
        <v>60</v>
      </c>
      <c r="B21">
        <v>2019</v>
      </c>
      <c r="C21" t="s">
        <v>61</v>
      </c>
      <c r="D21" t="s">
        <v>181</v>
      </c>
      <c r="E21" t="s">
        <v>221</v>
      </c>
      <c r="F21" t="s">
        <v>222</v>
      </c>
      <c r="G21" t="b">
        <f t="shared" si="0"/>
        <v>0</v>
      </c>
      <c r="H21" t="str">
        <f>VLOOKUP(A21,ID_Lookup!A:A,1,FALSE)</f>
        <v>J519</v>
      </c>
    </row>
    <row r="22" spans="1:8" x14ac:dyDescent="0.35">
      <c r="A22" t="s">
        <v>63</v>
      </c>
      <c r="B22">
        <v>2019</v>
      </c>
      <c r="C22" t="s">
        <v>64</v>
      </c>
      <c r="D22" t="s">
        <v>65</v>
      </c>
      <c r="E22" t="s">
        <v>160</v>
      </c>
      <c r="F22" t="s">
        <v>223</v>
      </c>
      <c r="G22" t="b">
        <f t="shared" si="0"/>
        <v>1</v>
      </c>
      <c r="H22" t="str">
        <f>VLOOKUP(A22,ID_Lookup!A:A,1,FALSE)</f>
        <v>J520</v>
      </c>
    </row>
    <row r="23" spans="1:8" x14ac:dyDescent="0.35">
      <c r="A23" t="s">
        <v>66</v>
      </c>
      <c r="B23">
        <v>2019</v>
      </c>
      <c r="C23" t="s">
        <v>67</v>
      </c>
      <c r="D23" t="s">
        <v>182</v>
      </c>
      <c r="E23" t="s">
        <v>160</v>
      </c>
      <c r="F23" t="s">
        <v>226</v>
      </c>
      <c r="G23" t="b">
        <f t="shared" si="0"/>
        <v>1</v>
      </c>
      <c r="H23" t="str">
        <f>VLOOKUP(A23,ID_Lookup!A:A,1,FALSE)</f>
        <v>J521</v>
      </c>
    </row>
    <row r="24" spans="1:8" x14ac:dyDescent="0.35">
      <c r="A24" t="s">
        <v>69</v>
      </c>
      <c r="B24">
        <v>2019</v>
      </c>
      <c r="C24" t="s">
        <v>70</v>
      </c>
      <c r="D24" t="s">
        <v>183</v>
      </c>
      <c r="E24" t="s">
        <v>160</v>
      </c>
      <c r="F24" t="s">
        <v>228</v>
      </c>
      <c r="G24" t="b">
        <f t="shared" si="0"/>
        <v>1</v>
      </c>
      <c r="H24" t="str">
        <f>VLOOKUP(A24,ID_Lookup!A:A,1,FALSE)</f>
        <v>J522</v>
      </c>
    </row>
    <row r="25" spans="1:8" x14ac:dyDescent="0.35">
      <c r="A25" t="s">
        <v>72</v>
      </c>
      <c r="B25">
        <v>2019</v>
      </c>
      <c r="C25" t="s">
        <v>184</v>
      </c>
      <c r="D25" t="s">
        <v>185</v>
      </c>
      <c r="E25" t="s">
        <v>160</v>
      </c>
      <c r="F25" t="s">
        <v>224</v>
      </c>
      <c r="G25" t="b">
        <f t="shared" si="0"/>
        <v>1</v>
      </c>
      <c r="H25" t="str">
        <f>VLOOKUP(A25,ID_Lookup!A:A,1,FALSE)</f>
        <v>J523</v>
      </c>
    </row>
    <row r="26" spans="1:8" x14ac:dyDescent="0.35">
      <c r="A26" t="s">
        <v>75</v>
      </c>
      <c r="B26">
        <v>2019</v>
      </c>
      <c r="C26" t="s">
        <v>186</v>
      </c>
      <c r="D26" t="s">
        <v>187</v>
      </c>
      <c r="E26" t="s">
        <v>160</v>
      </c>
      <c r="F26" t="s">
        <v>224</v>
      </c>
      <c r="G26" t="b">
        <f t="shared" si="0"/>
        <v>1</v>
      </c>
      <c r="H26" t="str">
        <f>VLOOKUP(A26,ID_Lookup!A:A,1,FALSE)</f>
        <v>J524</v>
      </c>
    </row>
    <row r="27" spans="1:8" x14ac:dyDescent="0.35">
      <c r="A27" t="s">
        <v>78</v>
      </c>
      <c r="B27">
        <v>2019</v>
      </c>
      <c r="C27" t="s">
        <v>79</v>
      </c>
      <c r="D27" t="s">
        <v>80</v>
      </c>
      <c r="E27" t="s">
        <v>160</v>
      </c>
      <c r="F27" t="s">
        <v>223</v>
      </c>
      <c r="G27" t="b">
        <f t="shared" si="0"/>
        <v>1</v>
      </c>
      <c r="H27" t="str">
        <f>VLOOKUP(A27,ID_Lookup!A:A,1,FALSE)</f>
        <v>J525</v>
      </c>
    </row>
    <row r="28" spans="1:8" x14ac:dyDescent="0.35">
      <c r="A28" t="s">
        <v>81</v>
      </c>
      <c r="B28">
        <v>2019</v>
      </c>
      <c r="C28" t="s">
        <v>82</v>
      </c>
      <c r="D28" t="s">
        <v>83</v>
      </c>
      <c r="E28" t="s">
        <v>221</v>
      </c>
      <c r="F28" t="s">
        <v>227</v>
      </c>
      <c r="G28" t="b">
        <f t="shared" si="0"/>
        <v>0</v>
      </c>
      <c r="H28" t="str">
        <f>VLOOKUP(A28,ID_Lookup!A:A,1,FALSE)</f>
        <v>J526</v>
      </c>
    </row>
    <row r="29" spans="1:8" x14ac:dyDescent="0.35">
      <c r="A29" t="s">
        <v>84</v>
      </c>
      <c r="B29">
        <v>2019</v>
      </c>
      <c r="C29" t="s">
        <v>85</v>
      </c>
      <c r="D29" t="s">
        <v>188</v>
      </c>
      <c r="E29" t="s">
        <v>160</v>
      </c>
      <c r="F29" t="s">
        <v>223</v>
      </c>
      <c r="G29" t="b">
        <f t="shared" si="0"/>
        <v>1</v>
      </c>
      <c r="H29" t="str">
        <f>VLOOKUP(A29,ID_Lookup!A:A,1,FALSE)</f>
        <v>J527</v>
      </c>
    </row>
    <row r="30" spans="1:8" x14ac:dyDescent="0.35">
      <c r="A30" t="s">
        <v>87</v>
      </c>
      <c r="B30">
        <v>2019</v>
      </c>
      <c r="C30" t="s">
        <v>189</v>
      </c>
      <c r="D30" t="s">
        <v>190</v>
      </c>
      <c r="E30" t="s">
        <v>160</v>
      </c>
      <c r="F30" t="s">
        <v>224</v>
      </c>
      <c r="G30" t="b">
        <f t="shared" si="0"/>
        <v>1</v>
      </c>
      <c r="H30" t="str">
        <f>VLOOKUP(A30,ID_Lookup!A:A,1,FALSE)</f>
        <v>J528</v>
      </c>
    </row>
    <row r="31" spans="1:8" x14ac:dyDescent="0.35">
      <c r="A31" t="s">
        <v>90</v>
      </c>
      <c r="B31">
        <v>2019</v>
      </c>
      <c r="C31" t="s">
        <v>91</v>
      </c>
      <c r="D31" t="s">
        <v>191</v>
      </c>
      <c r="E31" t="s">
        <v>160</v>
      </c>
      <c r="F31" t="s">
        <v>224</v>
      </c>
      <c r="G31" t="b">
        <f t="shared" si="0"/>
        <v>1</v>
      </c>
      <c r="H31" t="str">
        <f>VLOOKUP(A31,ID_Lookup!A:A,1,FALSE)</f>
        <v>J529</v>
      </c>
    </row>
    <row r="32" spans="1:8" x14ac:dyDescent="0.35">
      <c r="A32" t="s">
        <v>93</v>
      </c>
      <c r="B32">
        <v>2019</v>
      </c>
      <c r="C32" t="s">
        <v>94</v>
      </c>
      <c r="D32" t="s">
        <v>192</v>
      </c>
      <c r="E32" t="s">
        <v>160</v>
      </c>
      <c r="F32" t="s">
        <v>224</v>
      </c>
      <c r="G32" t="b">
        <f t="shared" si="0"/>
        <v>1</v>
      </c>
      <c r="H32" t="str">
        <f>VLOOKUP(A32,ID_Lookup!A:A,1,FALSE)</f>
        <v>J530</v>
      </c>
    </row>
    <row r="33" spans="1:8" x14ac:dyDescent="0.35">
      <c r="A33" t="s">
        <v>96</v>
      </c>
      <c r="B33">
        <v>2019</v>
      </c>
      <c r="C33" t="s">
        <v>97</v>
      </c>
      <c r="D33" t="s">
        <v>193</v>
      </c>
      <c r="E33" t="s">
        <v>221</v>
      </c>
      <c r="F33" t="s">
        <v>229</v>
      </c>
      <c r="G33" t="b">
        <f t="shared" si="0"/>
        <v>0</v>
      </c>
      <c r="H33" t="str">
        <f>VLOOKUP(A33,ID_Lookup!A:A,1,FALSE)</f>
        <v>J531</v>
      </c>
    </row>
    <row r="34" spans="1:8" x14ac:dyDescent="0.35">
      <c r="A34" t="s">
        <v>99</v>
      </c>
      <c r="B34">
        <v>2019</v>
      </c>
      <c r="C34" t="s">
        <v>100</v>
      </c>
      <c r="D34" t="s">
        <v>101</v>
      </c>
      <c r="E34" t="s">
        <v>160</v>
      </c>
      <c r="F34" t="s">
        <v>223</v>
      </c>
      <c r="G34" t="b">
        <f t="shared" si="0"/>
        <v>1</v>
      </c>
      <c r="H34" t="str">
        <f>VLOOKUP(A34,ID_Lookup!A:A,1,FALSE)</f>
        <v>J532</v>
      </c>
    </row>
    <row r="35" spans="1:8" x14ac:dyDescent="0.35">
      <c r="A35" t="s">
        <v>102</v>
      </c>
      <c r="B35">
        <v>2019</v>
      </c>
      <c r="C35" t="s">
        <v>103</v>
      </c>
      <c r="D35" t="s">
        <v>194</v>
      </c>
      <c r="E35" t="s">
        <v>160</v>
      </c>
      <c r="F35" t="s">
        <v>224</v>
      </c>
      <c r="G35" t="b">
        <f t="shared" si="0"/>
        <v>1</v>
      </c>
      <c r="H35" t="str">
        <f>VLOOKUP(A35,ID_Lookup!A:A,1,FALSE)</f>
        <v>J533</v>
      </c>
    </row>
    <row r="36" spans="1:8" ht="409.5" x14ac:dyDescent="0.35">
      <c r="A36" t="s">
        <v>105</v>
      </c>
      <c r="B36">
        <v>2019</v>
      </c>
      <c r="C36" t="s">
        <v>106</v>
      </c>
      <c r="D36" s="1" t="s">
        <v>107</v>
      </c>
      <c r="E36" t="s">
        <v>160</v>
      </c>
      <c r="F36" t="s">
        <v>223</v>
      </c>
      <c r="G36" t="b">
        <f t="shared" si="0"/>
        <v>1</v>
      </c>
      <c r="H36" t="str">
        <f>VLOOKUP(A36,ID_Lookup!A:A,1,FALSE)</f>
        <v>J534</v>
      </c>
    </row>
    <row r="37" spans="1:8" x14ac:dyDescent="0.35">
      <c r="A37" t="s">
        <v>108</v>
      </c>
      <c r="B37">
        <v>2019</v>
      </c>
      <c r="C37" t="s">
        <v>109</v>
      </c>
      <c r="D37" t="s">
        <v>195</v>
      </c>
      <c r="E37" t="s">
        <v>160</v>
      </c>
      <c r="F37" t="s">
        <v>224</v>
      </c>
      <c r="G37" t="b">
        <f t="shared" si="0"/>
        <v>1</v>
      </c>
      <c r="H37" t="str">
        <f>VLOOKUP(A37,ID_Lookup!A:A,1,FALSE)</f>
        <v>J535</v>
      </c>
    </row>
    <row r="38" spans="1:8" x14ac:dyDescent="0.35">
      <c r="A38" t="s">
        <v>111</v>
      </c>
      <c r="B38">
        <v>2019</v>
      </c>
      <c r="C38" t="s">
        <v>112</v>
      </c>
      <c r="D38" t="s">
        <v>196</v>
      </c>
      <c r="E38" t="s">
        <v>160</v>
      </c>
      <c r="F38" t="s">
        <v>230</v>
      </c>
      <c r="G38" t="b">
        <f t="shared" si="0"/>
        <v>1</v>
      </c>
      <c r="H38" t="str">
        <f>VLOOKUP(A38,ID_Lookup!A:A,1,FALSE)</f>
        <v>J536</v>
      </c>
    </row>
    <row r="39" spans="1:8" x14ac:dyDescent="0.35">
      <c r="A39" t="s">
        <v>114</v>
      </c>
      <c r="B39">
        <v>2019</v>
      </c>
      <c r="C39" t="s">
        <v>115</v>
      </c>
      <c r="D39" t="s">
        <v>197</v>
      </c>
      <c r="E39" t="s">
        <v>160</v>
      </c>
      <c r="F39" t="s">
        <v>223</v>
      </c>
      <c r="G39" t="b">
        <f t="shared" si="0"/>
        <v>1</v>
      </c>
      <c r="H39" t="str">
        <f>VLOOKUP(A39,ID_Lookup!A:A,1,FALSE)</f>
        <v>J537</v>
      </c>
    </row>
    <row r="40" spans="1:8" x14ac:dyDescent="0.35">
      <c r="A40" t="s">
        <v>117</v>
      </c>
      <c r="B40">
        <v>2019</v>
      </c>
      <c r="C40" t="s">
        <v>118</v>
      </c>
      <c r="D40" t="s">
        <v>198</v>
      </c>
      <c r="E40" t="s">
        <v>221</v>
      </c>
      <c r="F40" t="s">
        <v>225</v>
      </c>
      <c r="G40" t="b">
        <f t="shared" si="0"/>
        <v>0</v>
      </c>
      <c r="H40" t="str">
        <f>VLOOKUP(A40,ID_Lookup!A:A,1,FALSE)</f>
        <v>J538</v>
      </c>
    </row>
    <row r="41" spans="1:8" x14ac:dyDescent="0.35">
      <c r="A41" t="s">
        <v>120</v>
      </c>
      <c r="B41">
        <v>2019</v>
      </c>
      <c r="C41" t="s">
        <v>199</v>
      </c>
      <c r="D41" t="s">
        <v>200</v>
      </c>
      <c r="E41" t="s">
        <v>221</v>
      </c>
      <c r="F41" t="s">
        <v>231</v>
      </c>
      <c r="G41" t="b">
        <f t="shared" si="0"/>
        <v>0</v>
      </c>
      <c r="H41" t="str">
        <f>VLOOKUP(A41,ID_Lookup!A:A,1,FALSE)</f>
        <v>J539</v>
      </c>
    </row>
    <row r="42" spans="1:8" x14ac:dyDescent="0.35">
      <c r="A42" t="s">
        <v>123</v>
      </c>
      <c r="B42">
        <v>2019</v>
      </c>
      <c r="C42" t="s">
        <v>124</v>
      </c>
      <c r="D42" t="s">
        <v>201</v>
      </c>
      <c r="E42" t="s">
        <v>160</v>
      </c>
      <c r="F42" t="s">
        <v>224</v>
      </c>
      <c r="G42" t="b">
        <f t="shared" si="0"/>
        <v>1</v>
      </c>
      <c r="H42" t="str">
        <f>VLOOKUP(A42,ID_Lookup!A:A,1,FALSE)</f>
        <v>J540</v>
      </c>
    </row>
    <row r="43" spans="1:8" ht="409.5" x14ac:dyDescent="0.35">
      <c r="A43" t="s">
        <v>126</v>
      </c>
      <c r="B43">
        <v>2019</v>
      </c>
      <c r="C43" t="s">
        <v>127</v>
      </c>
      <c r="D43" s="1" t="s">
        <v>128</v>
      </c>
      <c r="E43" t="s">
        <v>160</v>
      </c>
      <c r="F43" t="s">
        <v>223</v>
      </c>
      <c r="G43" t="b">
        <f t="shared" si="0"/>
        <v>1</v>
      </c>
      <c r="H43" t="str">
        <f>VLOOKUP(A43,ID_Lookup!A:A,1,FALSE)</f>
        <v>J541</v>
      </c>
    </row>
    <row r="44" spans="1:8" x14ac:dyDescent="0.35">
      <c r="A44" t="s">
        <v>129</v>
      </c>
      <c r="B44">
        <v>2019</v>
      </c>
      <c r="C44" t="s">
        <v>202</v>
      </c>
      <c r="D44" t="s">
        <v>203</v>
      </c>
      <c r="E44" t="s">
        <v>160</v>
      </c>
      <c r="F44" t="s">
        <v>223</v>
      </c>
      <c r="G44" t="b">
        <f t="shared" si="0"/>
        <v>1</v>
      </c>
      <c r="H44" t="str">
        <f>VLOOKUP(A44,ID_Lookup!A:A,1,FALSE)</f>
        <v>J542</v>
      </c>
    </row>
    <row r="45" spans="1:8" x14ac:dyDescent="0.35">
      <c r="A45" t="s">
        <v>132</v>
      </c>
      <c r="B45">
        <v>2019</v>
      </c>
      <c r="C45" t="s">
        <v>133</v>
      </c>
      <c r="D45" t="s">
        <v>204</v>
      </c>
      <c r="E45" t="s">
        <v>160</v>
      </c>
      <c r="F45" t="s">
        <v>223</v>
      </c>
      <c r="G45" t="b">
        <f t="shared" si="0"/>
        <v>1</v>
      </c>
      <c r="H45" t="str">
        <f>VLOOKUP(A45,ID_Lookup!A:A,1,FALSE)</f>
        <v>J543</v>
      </c>
    </row>
    <row r="46" spans="1:8" x14ac:dyDescent="0.35">
      <c r="A46" t="s">
        <v>135</v>
      </c>
      <c r="B46">
        <v>2019</v>
      </c>
      <c r="C46" t="s">
        <v>136</v>
      </c>
      <c r="D46" t="s">
        <v>137</v>
      </c>
      <c r="E46" t="s">
        <v>160</v>
      </c>
      <c r="F46" t="s">
        <v>226</v>
      </c>
      <c r="G46" t="b">
        <f t="shared" si="0"/>
        <v>1</v>
      </c>
      <c r="H46" t="str">
        <f>VLOOKUP(A46,ID_Lookup!A:A,1,FALSE)</f>
        <v>J544</v>
      </c>
    </row>
    <row r="47" spans="1:8" x14ac:dyDescent="0.35">
      <c r="A47" t="s">
        <v>138</v>
      </c>
      <c r="B47">
        <v>2019</v>
      </c>
      <c r="C47" t="s">
        <v>139</v>
      </c>
      <c r="D47" t="s">
        <v>140</v>
      </c>
      <c r="E47" t="s">
        <v>160</v>
      </c>
      <c r="F47" t="s">
        <v>226</v>
      </c>
      <c r="G47" t="b">
        <f t="shared" si="0"/>
        <v>1</v>
      </c>
      <c r="H47" t="str">
        <f>VLOOKUP(A47,ID_Lookup!A:A,1,FALSE)</f>
        <v>J545</v>
      </c>
    </row>
    <row r="48" spans="1:8" x14ac:dyDescent="0.35">
      <c r="A48" t="s">
        <v>141</v>
      </c>
      <c r="B48">
        <v>2019</v>
      </c>
      <c r="C48" t="s">
        <v>142</v>
      </c>
      <c r="D48" t="s">
        <v>205</v>
      </c>
      <c r="E48" t="s">
        <v>160</v>
      </c>
      <c r="F48" t="s">
        <v>223</v>
      </c>
      <c r="G48" t="b">
        <f t="shared" si="0"/>
        <v>1</v>
      </c>
      <c r="H48" t="str">
        <f>VLOOKUP(A48,ID_Lookup!A:A,1,FALSE)</f>
        <v>J546</v>
      </c>
    </row>
    <row r="49" spans="1:8" x14ac:dyDescent="0.35">
      <c r="A49" t="s">
        <v>144</v>
      </c>
      <c r="B49">
        <v>2019</v>
      </c>
      <c r="C49" t="s">
        <v>145</v>
      </c>
      <c r="D49" t="s">
        <v>146</v>
      </c>
      <c r="E49" t="s">
        <v>160</v>
      </c>
      <c r="F49" t="s">
        <v>223</v>
      </c>
      <c r="G49" t="b">
        <f t="shared" si="0"/>
        <v>1</v>
      </c>
      <c r="H49" t="str">
        <f>VLOOKUP(A49,ID_Lookup!A:A,1,FALSE)</f>
        <v>J547</v>
      </c>
    </row>
    <row r="50" spans="1:8" x14ac:dyDescent="0.35">
      <c r="A50" t="s">
        <v>147</v>
      </c>
      <c r="B50">
        <v>2019</v>
      </c>
      <c r="C50" t="s">
        <v>206</v>
      </c>
      <c r="D50" t="s">
        <v>207</v>
      </c>
      <c r="E50" t="s">
        <v>221</v>
      </c>
      <c r="F50" t="s">
        <v>232</v>
      </c>
      <c r="G50" t="b">
        <f t="shared" si="0"/>
        <v>0</v>
      </c>
      <c r="H50" t="str">
        <f>VLOOKUP(A50,ID_Lookup!A:A,1,FALSE)</f>
        <v>J548</v>
      </c>
    </row>
    <row r="51" spans="1:8" x14ac:dyDescent="0.35">
      <c r="A51" t="s">
        <v>150</v>
      </c>
      <c r="B51">
        <v>2019</v>
      </c>
      <c r="C51" t="s">
        <v>151</v>
      </c>
      <c r="D51" t="s">
        <v>152</v>
      </c>
      <c r="E51" t="s">
        <v>160</v>
      </c>
      <c r="F51" t="s">
        <v>226</v>
      </c>
      <c r="G51" t="b">
        <f t="shared" si="0"/>
        <v>1</v>
      </c>
      <c r="H51" t="str">
        <f>VLOOKUP(A51,ID_Lookup!A:A,1,FALSE)</f>
        <v>J549</v>
      </c>
    </row>
    <row r="52" spans="1:8" x14ac:dyDescent="0.35">
      <c r="A52" t="s">
        <v>153</v>
      </c>
      <c r="B52">
        <v>2019</v>
      </c>
      <c r="C52" t="s">
        <v>154</v>
      </c>
      <c r="D52" t="s">
        <v>208</v>
      </c>
      <c r="E52" t="s">
        <v>221</v>
      </c>
      <c r="F52" t="s">
        <v>233</v>
      </c>
      <c r="G52" t="b">
        <f t="shared" si="0"/>
        <v>0</v>
      </c>
      <c r="H52" t="str">
        <f>VLOOKUP(A52,ID_Lookup!A:A,1,FALSE)</f>
        <v>J550</v>
      </c>
    </row>
    <row r="53" spans="1:8" x14ac:dyDescent="0.35">
      <c r="A53" t="s">
        <v>271</v>
      </c>
      <c r="B53">
        <v>2019</v>
      </c>
      <c r="C53" t="s">
        <v>272</v>
      </c>
      <c r="D53" t="s">
        <v>273</v>
      </c>
      <c r="E53" t="s">
        <v>160</v>
      </c>
      <c r="F53" t="s">
        <v>230</v>
      </c>
      <c r="G53" t="b">
        <f t="shared" si="0"/>
        <v>1</v>
      </c>
      <c r="H53" t="str">
        <f>VLOOKUP(A53,ID_Lookup!A:A,1,FALSE)</f>
        <v>J551</v>
      </c>
    </row>
    <row r="54" spans="1:8" x14ac:dyDescent="0.35">
      <c r="A54" t="s">
        <v>274</v>
      </c>
      <c r="B54">
        <v>2019</v>
      </c>
      <c r="C54" t="s">
        <v>275</v>
      </c>
      <c r="D54" t="s">
        <v>276</v>
      </c>
      <c r="E54" t="s">
        <v>160</v>
      </c>
      <c r="F54" t="s">
        <v>714</v>
      </c>
      <c r="G54" t="b">
        <f t="shared" si="0"/>
        <v>1</v>
      </c>
      <c r="H54" t="str">
        <f>VLOOKUP(A54,ID_Lookup!A:A,1,FALSE)</f>
        <v>J552</v>
      </c>
    </row>
    <row r="55" spans="1:8" x14ac:dyDescent="0.35">
      <c r="A55" t="s">
        <v>277</v>
      </c>
      <c r="B55">
        <v>2019</v>
      </c>
      <c r="C55" t="s">
        <v>278</v>
      </c>
      <c r="D55" t="s">
        <v>279</v>
      </c>
      <c r="E55" t="s">
        <v>160</v>
      </c>
      <c r="F55" t="s">
        <v>224</v>
      </c>
      <c r="G55" t="b">
        <f t="shared" si="0"/>
        <v>1</v>
      </c>
      <c r="H55" t="str">
        <f>VLOOKUP(A55,ID_Lookup!A:A,1,FALSE)</f>
        <v>J553</v>
      </c>
    </row>
    <row r="56" spans="1:8" x14ac:dyDescent="0.35">
      <c r="A56" t="s">
        <v>280</v>
      </c>
      <c r="B56">
        <v>2019</v>
      </c>
      <c r="C56" t="s">
        <v>281</v>
      </c>
      <c r="D56" t="s">
        <v>282</v>
      </c>
      <c r="E56" t="s">
        <v>160</v>
      </c>
      <c r="F56" t="s">
        <v>223</v>
      </c>
      <c r="G56" t="b">
        <f t="shared" si="0"/>
        <v>1</v>
      </c>
      <c r="H56" t="str">
        <f>VLOOKUP(A56,ID_Lookup!A:A,1,FALSE)</f>
        <v>J554</v>
      </c>
    </row>
    <row r="57" spans="1:8" x14ac:dyDescent="0.35">
      <c r="A57" t="s">
        <v>283</v>
      </c>
      <c r="B57">
        <v>2019</v>
      </c>
      <c r="C57" t="s">
        <v>284</v>
      </c>
      <c r="D57" t="s">
        <v>285</v>
      </c>
      <c r="E57" t="s">
        <v>160</v>
      </c>
      <c r="F57" t="s">
        <v>223</v>
      </c>
      <c r="G57" t="b">
        <f t="shared" si="0"/>
        <v>1</v>
      </c>
      <c r="H57" t="str">
        <f>VLOOKUP(A57,ID_Lookup!A:A,1,FALSE)</f>
        <v>J555</v>
      </c>
    </row>
    <row r="58" spans="1:8" x14ac:dyDescent="0.35">
      <c r="A58" t="s">
        <v>286</v>
      </c>
      <c r="B58">
        <v>2019</v>
      </c>
      <c r="C58" t="s">
        <v>287</v>
      </c>
      <c r="D58" t="s">
        <v>288</v>
      </c>
      <c r="E58" t="s">
        <v>160</v>
      </c>
      <c r="F58" t="s">
        <v>223</v>
      </c>
      <c r="G58" t="b">
        <f t="shared" si="0"/>
        <v>1</v>
      </c>
      <c r="H58" t="str">
        <f>VLOOKUP(A58,ID_Lookup!A:A,1,FALSE)</f>
        <v>J556</v>
      </c>
    </row>
    <row r="59" spans="1:8" x14ac:dyDescent="0.35">
      <c r="A59" t="s">
        <v>289</v>
      </c>
      <c r="B59">
        <v>2019</v>
      </c>
      <c r="C59" t="s">
        <v>290</v>
      </c>
      <c r="D59" t="s">
        <v>291</v>
      </c>
      <c r="E59" t="s">
        <v>160</v>
      </c>
      <c r="F59" t="s">
        <v>226</v>
      </c>
      <c r="G59" t="b">
        <f t="shared" si="0"/>
        <v>1</v>
      </c>
      <c r="H59" t="str">
        <f>VLOOKUP(A59,ID_Lookup!A:A,1,FALSE)</f>
        <v>J557</v>
      </c>
    </row>
    <row r="60" spans="1:8" x14ac:dyDescent="0.35">
      <c r="A60" t="s">
        <v>292</v>
      </c>
      <c r="B60">
        <v>2019</v>
      </c>
      <c r="C60" t="s">
        <v>293</v>
      </c>
      <c r="D60" t="s">
        <v>294</v>
      </c>
      <c r="E60" t="s">
        <v>160</v>
      </c>
      <c r="F60" t="s">
        <v>224</v>
      </c>
      <c r="G60" t="b">
        <f t="shared" si="0"/>
        <v>1</v>
      </c>
      <c r="H60" t="str">
        <f>VLOOKUP(A60,ID_Lookup!A:A,1,FALSE)</f>
        <v>J558</v>
      </c>
    </row>
    <row r="61" spans="1:8" x14ac:dyDescent="0.35">
      <c r="A61" t="s">
        <v>295</v>
      </c>
      <c r="B61">
        <v>2019</v>
      </c>
      <c r="C61" t="s">
        <v>296</v>
      </c>
      <c r="D61" t="s">
        <v>297</v>
      </c>
      <c r="E61" t="s">
        <v>160</v>
      </c>
      <c r="F61" t="s">
        <v>223</v>
      </c>
      <c r="G61" t="b">
        <f t="shared" si="0"/>
        <v>1</v>
      </c>
      <c r="H61" t="str">
        <f>VLOOKUP(A61,ID_Lookup!A:A,1,FALSE)</f>
        <v>J559</v>
      </c>
    </row>
    <row r="62" spans="1:8" x14ac:dyDescent="0.35">
      <c r="A62" t="s">
        <v>298</v>
      </c>
      <c r="B62">
        <v>2019</v>
      </c>
      <c r="C62" t="s">
        <v>299</v>
      </c>
      <c r="D62" t="s">
        <v>300</v>
      </c>
      <c r="E62" t="s">
        <v>221</v>
      </c>
      <c r="F62" t="s">
        <v>222</v>
      </c>
      <c r="G62" t="b">
        <f t="shared" si="0"/>
        <v>0</v>
      </c>
      <c r="H62" t="str">
        <f>VLOOKUP(A62,ID_Lookup!A:A,1,FALSE)</f>
        <v>J560</v>
      </c>
    </row>
    <row r="63" spans="1:8" x14ac:dyDescent="0.35">
      <c r="A63" t="s">
        <v>301</v>
      </c>
      <c r="B63">
        <v>2019</v>
      </c>
      <c r="C63" t="s">
        <v>302</v>
      </c>
      <c r="D63" t="s">
        <v>303</v>
      </c>
      <c r="E63" t="s">
        <v>160</v>
      </c>
      <c r="F63" t="s">
        <v>224</v>
      </c>
      <c r="G63" t="b">
        <f t="shared" si="0"/>
        <v>1</v>
      </c>
      <c r="H63" t="str">
        <f>VLOOKUP(A63,ID_Lookup!A:A,1,FALSE)</f>
        <v>J561</v>
      </c>
    </row>
    <row r="64" spans="1:8" x14ac:dyDescent="0.35">
      <c r="A64" t="s">
        <v>304</v>
      </c>
      <c r="B64">
        <v>2019</v>
      </c>
      <c r="C64" t="s">
        <v>305</v>
      </c>
      <c r="D64" t="s">
        <v>306</v>
      </c>
      <c r="E64" t="s">
        <v>160</v>
      </c>
      <c r="F64" t="s">
        <v>226</v>
      </c>
      <c r="G64" t="b">
        <f t="shared" si="0"/>
        <v>1</v>
      </c>
      <c r="H64" t="str">
        <f>VLOOKUP(A64,ID_Lookup!A:A,1,FALSE)</f>
        <v>J562</v>
      </c>
    </row>
    <row r="65" spans="1:8" x14ac:dyDescent="0.35">
      <c r="A65" t="s">
        <v>307</v>
      </c>
      <c r="B65">
        <v>2019</v>
      </c>
      <c r="C65" t="s">
        <v>308</v>
      </c>
      <c r="D65" t="s">
        <v>309</v>
      </c>
      <c r="E65" t="s">
        <v>160</v>
      </c>
      <c r="F65" t="s">
        <v>226</v>
      </c>
      <c r="G65" t="b">
        <f t="shared" si="0"/>
        <v>1</v>
      </c>
      <c r="H65" t="str">
        <f>VLOOKUP(A65,ID_Lookup!A:A,1,FALSE)</f>
        <v>J563</v>
      </c>
    </row>
    <row r="66" spans="1:8" x14ac:dyDescent="0.35">
      <c r="A66" t="s">
        <v>310</v>
      </c>
      <c r="B66">
        <v>2019</v>
      </c>
      <c r="C66" t="s">
        <v>311</v>
      </c>
      <c r="D66" t="s">
        <v>312</v>
      </c>
      <c r="E66" t="s">
        <v>160</v>
      </c>
      <c r="F66" t="s">
        <v>224</v>
      </c>
      <c r="G66" t="b">
        <f t="shared" si="0"/>
        <v>1</v>
      </c>
      <c r="H66" t="str">
        <f>VLOOKUP(A66,ID_Lookup!A:A,1,FALSE)</f>
        <v>J564</v>
      </c>
    </row>
    <row r="67" spans="1:8" x14ac:dyDescent="0.35">
      <c r="A67" t="s">
        <v>313</v>
      </c>
      <c r="B67">
        <v>2019</v>
      </c>
      <c r="C67" t="s">
        <v>314</v>
      </c>
      <c r="D67" t="s">
        <v>315</v>
      </c>
      <c r="E67" t="s">
        <v>160</v>
      </c>
      <c r="F67" t="s">
        <v>226</v>
      </c>
      <c r="G67" t="b">
        <f t="shared" ref="G67:G130" si="1">IF(E67="Include", TRUE, FALSE)</f>
        <v>1</v>
      </c>
      <c r="H67" t="str">
        <f>VLOOKUP(A67,ID_Lookup!A:A,1,FALSE)</f>
        <v>J565</v>
      </c>
    </row>
    <row r="68" spans="1:8" x14ac:dyDescent="0.35">
      <c r="A68" t="s">
        <v>316</v>
      </c>
      <c r="B68">
        <v>2019</v>
      </c>
      <c r="C68" t="s">
        <v>317</v>
      </c>
      <c r="D68" t="s">
        <v>318</v>
      </c>
      <c r="E68" t="s">
        <v>160</v>
      </c>
      <c r="F68" t="s">
        <v>224</v>
      </c>
      <c r="G68" t="b">
        <f t="shared" si="1"/>
        <v>1</v>
      </c>
      <c r="H68" t="str">
        <f>VLOOKUP(A68,ID_Lookup!A:A,1,FALSE)</f>
        <v>J566</v>
      </c>
    </row>
    <row r="69" spans="1:8" x14ac:dyDescent="0.35">
      <c r="A69" t="s">
        <v>319</v>
      </c>
      <c r="B69">
        <v>2019</v>
      </c>
      <c r="C69" t="s">
        <v>320</v>
      </c>
      <c r="D69" t="s">
        <v>321</v>
      </c>
      <c r="E69" t="s">
        <v>160</v>
      </c>
      <c r="F69" t="s">
        <v>224</v>
      </c>
      <c r="G69" t="b">
        <f t="shared" si="1"/>
        <v>1</v>
      </c>
      <c r="H69" t="str">
        <f>VLOOKUP(A69,ID_Lookup!A:A,1,FALSE)</f>
        <v>J567</v>
      </c>
    </row>
    <row r="70" spans="1:8" x14ac:dyDescent="0.35">
      <c r="A70" t="s">
        <v>322</v>
      </c>
      <c r="B70">
        <v>2019</v>
      </c>
      <c r="C70" t="s">
        <v>323</v>
      </c>
      <c r="D70" t="s">
        <v>324</v>
      </c>
      <c r="E70" t="s">
        <v>221</v>
      </c>
      <c r="F70" t="s">
        <v>715</v>
      </c>
      <c r="G70" t="b">
        <f t="shared" si="1"/>
        <v>0</v>
      </c>
      <c r="H70" t="str">
        <f>VLOOKUP(A70,ID_Lookup!A:A,1,FALSE)</f>
        <v>J568</v>
      </c>
    </row>
    <row r="71" spans="1:8" ht="409.5" x14ac:dyDescent="0.35">
      <c r="A71" t="s">
        <v>325</v>
      </c>
      <c r="B71">
        <v>2019</v>
      </c>
      <c r="C71" t="s">
        <v>326</v>
      </c>
      <c r="D71" s="1" t="s">
        <v>327</v>
      </c>
      <c r="E71" t="s">
        <v>221</v>
      </c>
      <c r="F71" t="s">
        <v>716</v>
      </c>
      <c r="G71" t="b">
        <f t="shared" si="1"/>
        <v>0</v>
      </c>
      <c r="H71" t="str">
        <f>VLOOKUP(A71,ID_Lookup!A:A,1,FALSE)</f>
        <v>J569</v>
      </c>
    </row>
    <row r="72" spans="1:8" x14ac:dyDescent="0.35">
      <c r="A72" t="s">
        <v>328</v>
      </c>
      <c r="B72">
        <v>2019</v>
      </c>
      <c r="C72" t="s">
        <v>329</v>
      </c>
      <c r="D72" t="s">
        <v>330</v>
      </c>
      <c r="E72" t="s">
        <v>160</v>
      </c>
      <c r="F72" t="s">
        <v>224</v>
      </c>
      <c r="G72" t="b">
        <f t="shared" si="1"/>
        <v>1</v>
      </c>
      <c r="H72" t="str">
        <f>VLOOKUP(A72,ID_Lookup!A:A,1,FALSE)</f>
        <v>J570</v>
      </c>
    </row>
    <row r="73" spans="1:8" ht="409.5" x14ac:dyDescent="0.35">
      <c r="A73" t="s">
        <v>331</v>
      </c>
      <c r="B73">
        <v>2019</v>
      </c>
      <c r="C73" t="s">
        <v>332</v>
      </c>
      <c r="D73" s="1" t="s">
        <v>333</v>
      </c>
      <c r="E73" t="s">
        <v>160</v>
      </c>
      <c r="F73" t="s">
        <v>717</v>
      </c>
      <c r="G73" t="b">
        <f t="shared" si="1"/>
        <v>1</v>
      </c>
      <c r="H73" t="str">
        <f>VLOOKUP(A73,ID_Lookup!A:A,1,FALSE)</f>
        <v>J571</v>
      </c>
    </row>
    <row r="74" spans="1:8" x14ac:dyDescent="0.35">
      <c r="A74" t="s">
        <v>334</v>
      </c>
      <c r="B74">
        <v>2019</v>
      </c>
      <c r="C74" t="s">
        <v>335</v>
      </c>
      <c r="D74" t="s">
        <v>336</v>
      </c>
      <c r="E74" t="s">
        <v>221</v>
      </c>
      <c r="F74" t="s">
        <v>718</v>
      </c>
      <c r="G74" t="b">
        <f t="shared" si="1"/>
        <v>0</v>
      </c>
      <c r="H74" t="str">
        <f>VLOOKUP(A74,ID_Lookup!A:A,1,FALSE)</f>
        <v>J572</v>
      </c>
    </row>
    <row r="75" spans="1:8" x14ac:dyDescent="0.35">
      <c r="A75" t="s">
        <v>337</v>
      </c>
      <c r="B75">
        <v>2019</v>
      </c>
      <c r="C75" t="s">
        <v>338</v>
      </c>
      <c r="D75" t="s">
        <v>339</v>
      </c>
      <c r="E75" t="s">
        <v>160</v>
      </c>
      <c r="F75" t="s">
        <v>226</v>
      </c>
      <c r="G75" t="b">
        <f t="shared" si="1"/>
        <v>1</v>
      </c>
      <c r="H75" t="str">
        <f>VLOOKUP(A75,ID_Lookup!A:A,1,FALSE)</f>
        <v>J573</v>
      </c>
    </row>
    <row r="76" spans="1:8" x14ac:dyDescent="0.35">
      <c r="A76" t="s">
        <v>340</v>
      </c>
      <c r="B76">
        <v>2019</v>
      </c>
      <c r="C76" t="s">
        <v>341</v>
      </c>
      <c r="D76" t="s">
        <v>342</v>
      </c>
      <c r="E76" t="s">
        <v>160</v>
      </c>
      <c r="F76" t="s">
        <v>226</v>
      </c>
      <c r="G76" t="b">
        <f t="shared" si="1"/>
        <v>1</v>
      </c>
      <c r="H76" t="str">
        <f>VLOOKUP(A76,ID_Lookup!A:A,1,FALSE)</f>
        <v>J574</v>
      </c>
    </row>
    <row r="77" spans="1:8" x14ac:dyDescent="0.35">
      <c r="A77" t="s">
        <v>343</v>
      </c>
      <c r="B77">
        <v>2019</v>
      </c>
      <c r="C77" t="s">
        <v>344</v>
      </c>
      <c r="D77" t="s">
        <v>345</v>
      </c>
      <c r="E77" t="s">
        <v>160</v>
      </c>
      <c r="F77" t="s">
        <v>226</v>
      </c>
      <c r="G77" t="b">
        <f t="shared" si="1"/>
        <v>1</v>
      </c>
      <c r="H77" t="str">
        <f>VLOOKUP(A77,ID_Lookup!A:A,1,FALSE)</f>
        <v>J575</v>
      </c>
    </row>
    <row r="78" spans="1:8" x14ac:dyDescent="0.35">
      <c r="A78" t="s">
        <v>346</v>
      </c>
      <c r="B78">
        <v>2019</v>
      </c>
      <c r="C78" t="s">
        <v>347</v>
      </c>
      <c r="D78" t="s">
        <v>348</v>
      </c>
      <c r="E78" t="s">
        <v>160</v>
      </c>
      <c r="F78" t="s">
        <v>223</v>
      </c>
      <c r="G78" t="b">
        <f t="shared" si="1"/>
        <v>1</v>
      </c>
      <c r="H78" t="str">
        <f>VLOOKUP(A78,ID_Lookup!A:A,1,FALSE)</f>
        <v>J576</v>
      </c>
    </row>
    <row r="79" spans="1:8" x14ac:dyDescent="0.35">
      <c r="A79" t="s">
        <v>349</v>
      </c>
      <c r="B79">
        <v>2019</v>
      </c>
      <c r="C79" t="s">
        <v>350</v>
      </c>
      <c r="D79" t="s">
        <v>351</v>
      </c>
      <c r="E79" t="s">
        <v>221</v>
      </c>
      <c r="F79" t="s">
        <v>715</v>
      </c>
      <c r="G79" t="b">
        <f t="shared" si="1"/>
        <v>0</v>
      </c>
      <c r="H79" t="str">
        <f>VLOOKUP(A79,ID_Lookup!A:A,1,FALSE)</f>
        <v>J577</v>
      </c>
    </row>
    <row r="80" spans="1:8" x14ac:dyDescent="0.35">
      <c r="A80" t="s">
        <v>352</v>
      </c>
      <c r="B80">
        <v>2019</v>
      </c>
      <c r="C80" t="s">
        <v>353</v>
      </c>
      <c r="D80" t="s">
        <v>354</v>
      </c>
      <c r="E80" t="s">
        <v>221</v>
      </c>
      <c r="F80" t="s">
        <v>719</v>
      </c>
      <c r="G80" t="b">
        <f t="shared" si="1"/>
        <v>0</v>
      </c>
      <c r="H80" t="str">
        <f>VLOOKUP(A80,ID_Lookup!A:A,1,FALSE)</f>
        <v>J578</v>
      </c>
    </row>
    <row r="81" spans="1:8" x14ac:dyDescent="0.35">
      <c r="A81" t="s">
        <v>355</v>
      </c>
      <c r="B81">
        <v>2019</v>
      </c>
      <c r="C81" s="6" t="s">
        <v>356</v>
      </c>
      <c r="D81" t="s">
        <v>357</v>
      </c>
      <c r="E81" t="s">
        <v>221</v>
      </c>
      <c r="F81" t="s">
        <v>715</v>
      </c>
      <c r="G81" t="b">
        <f t="shared" si="1"/>
        <v>0</v>
      </c>
      <c r="H81" t="str">
        <f>VLOOKUP(A81,ID_Lookup!A:A,1,FALSE)</f>
        <v>J579</v>
      </c>
    </row>
    <row r="82" spans="1:8" x14ac:dyDescent="0.35">
      <c r="A82" s="5" t="s">
        <v>358</v>
      </c>
      <c r="B82" s="5">
        <v>2019</v>
      </c>
      <c r="C82" s="5" t="s">
        <v>359</v>
      </c>
      <c r="D82" s="5" t="s">
        <v>360</v>
      </c>
      <c r="E82" s="5" t="s">
        <v>160</v>
      </c>
      <c r="F82" s="5"/>
      <c r="G82" t="b">
        <f t="shared" si="1"/>
        <v>1</v>
      </c>
      <c r="H82" t="str">
        <f>VLOOKUP(A82,ID_Lookup!A:A,1,FALSE)</f>
        <v>J580</v>
      </c>
    </row>
    <row r="83" spans="1:8" x14ac:dyDescent="0.35">
      <c r="A83" t="s">
        <v>361</v>
      </c>
      <c r="B83">
        <v>2019</v>
      </c>
      <c r="C83" t="s">
        <v>362</v>
      </c>
      <c r="D83" t="s">
        <v>363</v>
      </c>
      <c r="E83" t="s">
        <v>160</v>
      </c>
      <c r="F83" t="s">
        <v>223</v>
      </c>
      <c r="G83" t="b">
        <f t="shared" si="1"/>
        <v>1</v>
      </c>
      <c r="H83" t="str">
        <f>VLOOKUP(A83,ID_Lookup!A:A,1,FALSE)</f>
        <v>J581</v>
      </c>
    </row>
    <row r="84" spans="1:8" hidden="1" x14ac:dyDescent="0.35">
      <c r="A84" t="s">
        <v>364</v>
      </c>
      <c r="B84">
        <v>2019</v>
      </c>
      <c r="C84" t="s">
        <v>365</v>
      </c>
      <c r="D84" t="s">
        <v>366</v>
      </c>
      <c r="E84" t="s">
        <v>160</v>
      </c>
      <c r="F84" t="s">
        <v>224</v>
      </c>
      <c r="G84" t="b">
        <f t="shared" si="1"/>
        <v>1</v>
      </c>
      <c r="H84" t="e">
        <f>VLOOKUP(A84,ID_Lookup!A:A,1,FALSE)</f>
        <v>#N/A</v>
      </c>
    </row>
    <row r="85" spans="1:8" x14ac:dyDescent="0.35">
      <c r="A85" t="s">
        <v>367</v>
      </c>
      <c r="B85">
        <v>2019</v>
      </c>
      <c r="C85" t="s">
        <v>368</v>
      </c>
      <c r="D85" t="s">
        <v>369</v>
      </c>
      <c r="E85" t="s">
        <v>160</v>
      </c>
      <c r="F85" t="s">
        <v>224</v>
      </c>
      <c r="G85" t="b">
        <f t="shared" si="1"/>
        <v>1</v>
      </c>
      <c r="H85" t="str">
        <f>VLOOKUP(A85,ID_Lookup!A:A,1,FALSE)</f>
        <v>J583</v>
      </c>
    </row>
    <row r="86" spans="1:8" hidden="1" x14ac:dyDescent="0.35">
      <c r="A86" t="s">
        <v>370</v>
      </c>
      <c r="B86">
        <v>2019</v>
      </c>
      <c r="C86" t="s">
        <v>371</v>
      </c>
      <c r="D86" t="s">
        <v>372</v>
      </c>
      <c r="E86" t="s">
        <v>160</v>
      </c>
      <c r="F86" t="s">
        <v>226</v>
      </c>
      <c r="G86" t="b">
        <f t="shared" si="1"/>
        <v>1</v>
      </c>
      <c r="H86" t="e">
        <f>VLOOKUP(A86,ID_Lookup!A:A,1,FALSE)</f>
        <v>#N/A</v>
      </c>
    </row>
    <row r="87" spans="1:8" x14ac:dyDescent="0.35">
      <c r="A87" t="s">
        <v>373</v>
      </c>
      <c r="B87">
        <v>2019</v>
      </c>
      <c r="C87" t="s">
        <v>374</v>
      </c>
      <c r="D87" t="s">
        <v>375</v>
      </c>
      <c r="E87" t="s">
        <v>221</v>
      </c>
      <c r="F87" t="s">
        <v>231</v>
      </c>
      <c r="G87" t="b">
        <f t="shared" si="1"/>
        <v>0</v>
      </c>
      <c r="H87" t="str">
        <f>VLOOKUP(A87,ID_Lookup!A:A,1,FALSE)</f>
        <v>J585</v>
      </c>
    </row>
    <row r="88" spans="1:8" x14ac:dyDescent="0.35">
      <c r="A88" t="s">
        <v>376</v>
      </c>
      <c r="B88">
        <v>2019</v>
      </c>
      <c r="C88" t="s">
        <v>377</v>
      </c>
      <c r="D88" t="s">
        <v>378</v>
      </c>
      <c r="E88" t="s">
        <v>221</v>
      </c>
      <c r="F88" t="s">
        <v>231</v>
      </c>
      <c r="G88" t="b">
        <f t="shared" si="1"/>
        <v>0</v>
      </c>
      <c r="H88" t="str">
        <f>VLOOKUP(A88,ID_Lookup!A:A,1,FALSE)</f>
        <v>J586</v>
      </c>
    </row>
    <row r="89" spans="1:8" ht="409.5" x14ac:dyDescent="0.35">
      <c r="A89" t="s">
        <v>379</v>
      </c>
      <c r="B89">
        <v>2019</v>
      </c>
      <c r="C89" t="s">
        <v>380</v>
      </c>
      <c r="D89" s="1" t="s">
        <v>381</v>
      </c>
      <c r="E89" t="s">
        <v>160</v>
      </c>
      <c r="F89" t="s">
        <v>720</v>
      </c>
      <c r="G89" t="b">
        <f t="shared" si="1"/>
        <v>1</v>
      </c>
      <c r="H89" t="str">
        <f>VLOOKUP(A89,ID_Lookup!A:A,1,FALSE)</f>
        <v>J587</v>
      </c>
    </row>
    <row r="90" spans="1:8" ht="409.5" x14ac:dyDescent="0.35">
      <c r="A90" t="s">
        <v>382</v>
      </c>
      <c r="B90">
        <v>2019</v>
      </c>
      <c r="C90" t="s">
        <v>383</v>
      </c>
      <c r="D90" s="1" t="s">
        <v>384</v>
      </c>
      <c r="E90" t="s">
        <v>160</v>
      </c>
      <c r="F90" t="s">
        <v>721</v>
      </c>
      <c r="G90" t="b">
        <f t="shared" si="1"/>
        <v>1</v>
      </c>
      <c r="H90" t="str">
        <f>VLOOKUP(A90,ID_Lookup!A:A,1,FALSE)</f>
        <v>J588</v>
      </c>
    </row>
    <row r="91" spans="1:8" x14ac:dyDescent="0.35">
      <c r="A91" t="s">
        <v>385</v>
      </c>
      <c r="B91">
        <v>2019</v>
      </c>
      <c r="C91" t="s">
        <v>386</v>
      </c>
      <c r="D91" t="s">
        <v>387</v>
      </c>
      <c r="E91" t="s">
        <v>221</v>
      </c>
      <c r="F91" t="s">
        <v>722</v>
      </c>
      <c r="G91" t="b">
        <f t="shared" si="1"/>
        <v>0</v>
      </c>
      <c r="H91" t="str">
        <f>VLOOKUP(A91,ID_Lookup!A:A,1,FALSE)</f>
        <v>J589</v>
      </c>
    </row>
    <row r="92" spans="1:8" x14ac:dyDescent="0.35">
      <c r="A92" t="s">
        <v>388</v>
      </c>
      <c r="B92">
        <v>2019</v>
      </c>
      <c r="C92" t="s">
        <v>389</v>
      </c>
      <c r="D92" t="s">
        <v>390</v>
      </c>
      <c r="E92" t="s">
        <v>160</v>
      </c>
      <c r="F92" t="s">
        <v>720</v>
      </c>
      <c r="G92" t="b">
        <f t="shared" si="1"/>
        <v>1</v>
      </c>
      <c r="H92" t="str">
        <f>VLOOKUP(A92,ID_Lookup!A:A,1,FALSE)</f>
        <v>J590</v>
      </c>
    </row>
    <row r="93" spans="1:8" x14ac:dyDescent="0.35">
      <c r="A93" t="s">
        <v>391</v>
      </c>
      <c r="B93">
        <v>2019</v>
      </c>
      <c r="C93" t="s">
        <v>392</v>
      </c>
      <c r="D93" t="s">
        <v>393</v>
      </c>
      <c r="E93" t="s">
        <v>160</v>
      </c>
      <c r="F93" t="s">
        <v>224</v>
      </c>
      <c r="G93" t="b">
        <f t="shared" si="1"/>
        <v>1</v>
      </c>
      <c r="H93" t="str">
        <f>VLOOKUP(A93,ID_Lookup!A:A,1,FALSE)</f>
        <v>J591</v>
      </c>
    </row>
    <row r="94" spans="1:8" x14ac:dyDescent="0.35">
      <c r="A94" t="s">
        <v>394</v>
      </c>
      <c r="B94">
        <v>2019</v>
      </c>
      <c r="C94" t="s">
        <v>395</v>
      </c>
      <c r="D94" t="s">
        <v>396</v>
      </c>
      <c r="E94" t="s">
        <v>160</v>
      </c>
      <c r="F94" t="s">
        <v>223</v>
      </c>
      <c r="G94" t="b">
        <f t="shared" si="1"/>
        <v>1</v>
      </c>
      <c r="H94" t="str">
        <f>VLOOKUP(A94,ID_Lookup!A:A,1,FALSE)</f>
        <v>J592</v>
      </c>
    </row>
    <row r="95" spans="1:8" x14ac:dyDescent="0.35">
      <c r="A95" t="s">
        <v>397</v>
      </c>
      <c r="B95">
        <v>2019</v>
      </c>
      <c r="C95" t="s">
        <v>398</v>
      </c>
      <c r="D95" t="s">
        <v>399</v>
      </c>
      <c r="E95" t="s">
        <v>160</v>
      </c>
      <c r="F95" t="s">
        <v>223</v>
      </c>
      <c r="G95" t="b">
        <f t="shared" si="1"/>
        <v>1</v>
      </c>
      <c r="H95" t="str">
        <f>VLOOKUP(A95,ID_Lookup!A:A,1,FALSE)</f>
        <v>J593</v>
      </c>
    </row>
    <row r="96" spans="1:8" x14ac:dyDescent="0.35">
      <c r="A96" t="s">
        <v>400</v>
      </c>
      <c r="B96">
        <v>2019</v>
      </c>
      <c r="C96" t="s">
        <v>401</v>
      </c>
      <c r="D96" t="s">
        <v>402</v>
      </c>
      <c r="E96" t="s">
        <v>160</v>
      </c>
      <c r="F96" t="s">
        <v>721</v>
      </c>
      <c r="G96" t="b">
        <f t="shared" si="1"/>
        <v>1</v>
      </c>
      <c r="H96" t="str">
        <f>VLOOKUP(A96,ID_Lookup!A:A,1,FALSE)</f>
        <v>J594</v>
      </c>
    </row>
    <row r="97" spans="1:8" x14ac:dyDescent="0.35">
      <c r="A97" t="s">
        <v>403</v>
      </c>
      <c r="B97">
        <v>2019</v>
      </c>
      <c r="C97" t="s">
        <v>404</v>
      </c>
      <c r="D97" t="s">
        <v>405</v>
      </c>
      <c r="E97" t="s">
        <v>160</v>
      </c>
      <c r="F97" t="s">
        <v>224</v>
      </c>
      <c r="G97" t="b">
        <f t="shared" si="1"/>
        <v>1</v>
      </c>
      <c r="H97" t="str">
        <f>VLOOKUP(A97,ID_Lookup!A:A,1,FALSE)</f>
        <v>J595</v>
      </c>
    </row>
    <row r="98" spans="1:8" x14ac:dyDescent="0.35">
      <c r="A98" t="s">
        <v>406</v>
      </c>
      <c r="B98">
        <v>2019</v>
      </c>
      <c r="C98" t="s">
        <v>407</v>
      </c>
      <c r="D98" t="s">
        <v>408</v>
      </c>
      <c r="E98" t="s">
        <v>221</v>
      </c>
      <c r="F98" t="s">
        <v>723</v>
      </c>
      <c r="G98" t="b">
        <f t="shared" si="1"/>
        <v>0</v>
      </c>
      <c r="H98" t="str">
        <f>VLOOKUP(A98,ID_Lookup!A:A,1,FALSE)</f>
        <v>J596</v>
      </c>
    </row>
    <row r="99" spans="1:8" x14ac:dyDescent="0.35">
      <c r="A99" t="s">
        <v>409</v>
      </c>
      <c r="B99">
        <v>2019</v>
      </c>
      <c r="C99" t="s">
        <v>410</v>
      </c>
      <c r="D99" t="s">
        <v>411</v>
      </c>
      <c r="E99" t="s">
        <v>221</v>
      </c>
      <c r="F99" t="s">
        <v>231</v>
      </c>
      <c r="G99" t="b">
        <f t="shared" si="1"/>
        <v>0</v>
      </c>
      <c r="H99" t="str">
        <f>VLOOKUP(A99,ID_Lookup!A:A,1,FALSE)</f>
        <v>J597</v>
      </c>
    </row>
    <row r="100" spans="1:8" x14ac:dyDescent="0.35">
      <c r="A100" t="s">
        <v>412</v>
      </c>
      <c r="B100">
        <v>2019</v>
      </c>
      <c r="C100" t="s">
        <v>413</v>
      </c>
      <c r="D100" t="s">
        <v>414</v>
      </c>
      <c r="E100" t="s">
        <v>160</v>
      </c>
      <c r="F100" t="s">
        <v>223</v>
      </c>
      <c r="G100" t="b">
        <f t="shared" si="1"/>
        <v>1</v>
      </c>
      <c r="H100" t="str">
        <f>VLOOKUP(A100,ID_Lookup!A:A,1,FALSE)</f>
        <v>J598</v>
      </c>
    </row>
    <row r="101" spans="1:8" x14ac:dyDescent="0.35">
      <c r="A101" t="s">
        <v>415</v>
      </c>
      <c r="B101">
        <v>2019</v>
      </c>
      <c r="C101" t="s">
        <v>416</v>
      </c>
      <c r="D101" t="s">
        <v>417</v>
      </c>
      <c r="E101" t="s">
        <v>160</v>
      </c>
      <c r="F101" t="s">
        <v>224</v>
      </c>
      <c r="G101" t="b">
        <f t="shared" si="1"/>
        <v>1</v>
      </c>
      <c r="H101" t="str">
        <f>VLOOKUP(A101,ID_Lookup!A:A,1,FALSE)</f>
        <v>J599</v>
      </c>
    </row>
    <row r="102" spans="1:8" x14ac:dyDescent="0.35">
      <c r="A102" t="s">
        <v>418</v>
      </c>
      <c r="B102">
        <v>2021</v>
      </c>
      <c r="C102" t="s">
        <v>419</v>
      </c>
      <c r="D102" t="s">
        <v>420</v>
      </c>
      <c r="E102" t="s">
        <v>160</v>
      </c>
      <c r="F102" t="s">
        <v>724</v>
      </c>
      <c r="G102" t="b">
        <f t="shared" si="1"/>
        <v>1</v>
      </c>
      <c r="H102" t="str">
        <f>VLOOKUP(A102,ID_Lookup!A:A,1,FALSE)</f>
        <v>J2830</v>
      </c>
    </row>
    <row r="103" spans="1:8" x14ac:dyDescent="0.35">
      <c r="A103" t="s">
        <v>421</v>
      </c>
      <c r="B103">
        <v>2021</v>
      </c>
      <c r="C103" t="s">
        <v>422</v>
      </c>
      <c r="D103" t="s">
        <v>423</v>
      </c>
      <c r="E103" t="s">
        <v>221</v>
      </c>
      <c r="F103" t="s">
        <v>231</v>
      </c>
      <c r="G103" t="b">
        <f t="shared" si="1"/>
        <v>0</v>
      </c>
      <c r="H103" t="str">
        <f>VLOOKUP(A103,ID_Lookup!A:A,1,FALSE)</f>
        <v>J2831</v>
      </c>
    </row>
    <row r="104" spans="1:8" x14ac:dyDescent="0.35">
      <c r="A104" t="s">
        <v>424</v>
      </c>
      <c r="B104">
        <v>2021</v>
      </c>
      <c r="C104" t="s">
        <v>425</v>
      </c>
      <c r="D104" t="s">
        <v>426</v>
      </c>
      <c r="E104" t="s">
        <v>160</v>
      </c>
      <c r="F104" t="s">
        <v>223</v>
      </c>
      <c r="G104" t="b">
        <f t="shared" si="1"/>
        <v>1</v>
      </c>
      <c r="H104" t="str">
        <f>VLOOKUP(A104,ID_Lookup!A:A,1,FALSE)</f>
        <v>J2832</v>
      </c>
    </row>
    <row r="105" spans="1:8" x14ac:dyDescent="0.35">
      <c r="A105" t="s">
        <v>427</v>
      </c>
      <c r="B105">
        <v>2021</v>
      </c>
      <c r="C105" t="s">
        <v>428</v>
      </c>
      <c r="D105" t="s">
        <v>429</v>
      </c>
      <c r="E105" t="s">
        <v>160</v>
      </c>
      <c r="F105" t="s">
        <v>223</v>
      </c>
      <c r="G105" t="b">
        <f t="shared" si="1"/>
        <v>1</v>
      </c>
      <c r="H105" t="str">
        <f>VLOOKUP(A105,ID_Lookup!A:A,1,FALSE)</f>
        <v>J2833</v>
      </c>
    </row>
    <row r="106" spans="1:8" ht="409.5" x14ac:dyDescent="0.35">
      <c r="A106" t="s">
        <v>430</v>
      </c>
      <c r="B106">
        <v>2021</v>
      </c>
      <c r="C106" t="s">
        <v>431</v>
      </c>
      <c r="D106" s="1" t="s">
        <v>432</v>
      </c>
      <c r="E106" t="s">
        <v>221</v>
      </c>
      <c r="F106" t="s">
        <v>227</v>
      </c>
      <c r="G106" t="b">
        <f t="shared" si="1"/>
        <v>0</v>
      </c>
      <c r="H106" t="str">
        <f>VLOOKUP(A106,ID_Lookup!A:A,1,FALSE)</f>
        <v>J2834</v>
      </c>
    </row>
    <row r="107" spans="1:8" x14ac:dyDescent="0.35">
      <c r="A107" t="s">
        <v>433</v>
      </c>
      <c r="B107">
        <v>2021</v>
      </c>
      <c r="C107" t="s">
        <v>434</v>
      </c>
      <c r="D107" t="s">
        <v>435</v>
      </c>
      <c r="E107" t="s">
        <v>221</v>
      </c>
      <c r="F107" t="s">
        <v>231</v>
      </c>
      <c r="G107" t="b">
        <f t="shared" si="1"/>
        <v>0</v>
      </c>
      <c r="H107" t="str">
        <f>VLOOKUP(A107,ID_Lookup!A:A,1,FALSE)</f>
        <v>J2835</v>
      </c>
    </row>
    <row r="108" spans="1:8" x14ac:dyDescent="0.35">
      <c r="A108" t="s">
        <v>436</v>
      </c>
      <c r="B108">
        <v>2021</v>
      </c>
      <c r="C108" t="s">
        <v>437</v>
      </c>
      <c r="D108" t="s">
        <v>438</v>
      </c>
      <c r="E108" t="s">
        <v>160</v>
      </c>
      <c r="F108" t="s">
        <v>725</v>
      </c>
      <c r="G108" t="b">
        <f t="shared" si="1"/>
        <v>1</v>
      </c>
      <c r="H108" t="str">
        <f>VLOOKUP(A108,ID_Lookup!A:A,1,FALSE)</f>
        <v>J2836</v>
      </c>
    </row>
    <row r="109" spans="1:8" x14ac:dyDescent="0.35">
      <c r="A109" t="s">
        <v>439</v>
      </c>
      <c r="B109">
        <v>2021</v>
      </c>
      <c r="C109" t="s">
        <v>440</v>
      </c>
      <c r="D109" t="s">
        <v>441</v>
      </c>
      <c r="E109" t="s">
        <v>221</v>
      </c>
      <c r="F109" t="s">
        <v>726</v>
      </c>
      <c r="G109" t="b">
        <f t="shared" si="1"/>
        <v>0</v>
      </c>
      <c r="H109" t="str">
        <f>VLOOKUP(A109,ID_Lookup!A:A,1,FALSE)</f>
        <v>J2837</v>
      </c>
    </row>
    <row r="110" spans="1:8" x14ac:dyDescent="0.35">
      <c r="A110" t="s">
        <v>442</v>
      </c>
      <c r="B110">
        <v>2021</v>
      </c>
      <c r="C110" t="s">
        <v>443</v>
      </c>
      <c r="D110" t="s">
        <v>444</v>
      </c>
      <c r="E110" t="s">
        <v>221</v>
      </c>
      <c r="F110" t="s">
        <v>726</v>
      </c>
      <c r="G110" t="b">
        <f t="shared" si="1"/>
        <v>0</v>
      </c>
      <c r="H110" t="str">
        <f>VLOOKUP(A110,ID_Lookup!A:A,1,FALSE)</f>
        <v>J2838</v>
      </c>
    </row>
    <row r="111" spans="1:8" x14ac:dyDescent="0.35">
      <c r="A111" t="s">
        <v>445</v>
      </c>
      <c r="B111">
        <v>2021</v>
      </c>
      <c r="C111" t="s">
        <v>446</v>
      </c>
      <c r="D111" t="s">
        <v>447</v>
      </c>
      <c r="E111" t="s">
        <v>221</v>
      </c>
      <c r="F111" t="s">
        <v>726</v>
      </c>
      <c r="G111" t="b">
        <f t="shared" si="1"/>
        <v>0</v>
      </c>
      <c r="H111" t="str">
        <f>VLOOKUP(A111,ID_Lookup!A:A,1,FALSE)</f>
        <v>J2839</v>
      </c>
    </row>
    <row r="112" spans="1:8" x14ac:dyDescent="0.35">
      <c r="A112" t="s">
        <v>448</v>
      </c>
      <c r="B112">
        <v>2021</v>
      </c>
      <c r="C112" t="s">
        <v>449</v>
      </c>
      <c r="D112" t="s">
        <v>450</v>
      </c>
      <c r="E112" t="s">
        <v>160</v>
      </c>
      <c r="F112" t="s">
        <v>725</v>
      </c>
      <c r="G112" t="b">
        <f t="shared" si="1"/>
        <v>1</v>
      </c>
      <c r="H112" t="str">
        <f>VLOOKUP(A112,ID_Lookup!A:A,1,FALSE)</f>
        <v>J2840</v>
      </c>
    </row>
    <row r="113" spans="1:8" x14ac:dyDescent="0.35">
      <c r="A113" t="s">
        <v>451</v>
      </c>
      <c r="B113">
        <v>2021</v>
      </c>
      <c r="C113" t="s">
        <v>452</v>
      </c>
      <c r="D113" t="s">
        <v>453</v>
      </c>
      <c r="E113" t="s">
        <v>160</v>
      </c>
      <c r="F113" t="s">
        <v>224</v>
      </c>
      <c r="G113" t="b">
        <f t="shared" si="1"/>
        <v>1</v>
      </c>
      <c r="H113" t="str">
        <f>VLOOKUP(A113,ID_Lookup!A:A,1,FALSE)</f>
        <v>J2841</v>
      </c>
    </row>
    <row r="114" spans="1:8" x14ac:dyDescent="0.35">
      <c r="A114" t="s">
        <v>454</v>
      </c>
      <c r="B114">
        <v>2021</v>
      </c>
      <c r="C114" t="s">
        <v>455</v>
      </c>
      <c r="D114" t="s">
        <v>456</v>
      </c>
      <c r="E114" t="s">
        <v>160</v>
      </c>
      <c r="F114" t="s">
        <v>725</v>
      </c>
      <c r="G114" t="b">
        <f t="shared" si="1"/>
        <v>1</v>
      </c>
      <c r="H114" t="str">
        <f>VLOOKUP(A114,ID_Lookup!A:A,1,FALSE)</f>
        <v>J2842</v>
      </c>
    </row>
    <row r="115" spans="1:8" x14ac:dyDescent="0.35">
      <c r="A115" t="s">
        <v>457</v>
      </c>
      <c r="B115">
        <v>2021</v>
      </c>
      <c r="C115" t="s">
        <v>458</v>
      </c>
      <c r="D115" t="s">
        <v>459</v>
      </c>
      <c r="E115" t="s">
        <v>160</v>
      </c>
      <c r="F115" t="s">
        <v>223</v>
      </c>
      <c r="G115" t="b">
        <f t="shared" si="1"/>
        <v>1</v>
      </c>
      <c r="H115" t="str">
        <f>VLOOKUP(A115,ID_Lookup!A:A,1,FALSE)</f>
        <v>J2843</v>
      </c>
    </row>
    <row r="116" spans="1:8" x14ac:dyDescent="0.35">
      <c r="A116" t="s">
        <v>460</v>
      </c>
      <c r="B116">
        <v>2021</v>
      </c>
      <c r="C116" t="s">
        <v>461</v>
      </c>
      <c r="D116" t="s">
        <v>462</v>
      </c>
      <c r="E116" t="s">
        <v>160</v>
      </c>
      <c r="F116" t="s">
        <v>725</v>
      </c>
      <c r="G116" t="b">
        <f t="shared" si="1"/>
        <v>1</v>
      </c>
      <c r="H116" t="str">
        <f>VLOOKUP(A116,ID_Lookup!A:A,1,FALSE)</f>
        <v>J2844</v>
      </c>
    </row>
    <row r="117" spans="1:8" x14ac:dyDescent="0.35">
      <c r="A117" t="s">
        <v>463</v>
      </c>
      <c r="B117">
        <v>2021</v>
      </c>
      <c r="C117" t="s">
        <v>464</v>
      </c>
      <c r="D117" t="s">
        <v>465</v>
      </c>
      <c r="E117" t="s">
        <v>160</v>
      </c>
      <c r="F117" t="s">
        <v>223</v>
      </c>
      <c r="G117" t="b">
        <f t="shared" si="1"/>
        <v>1</v>
      </c>
      <c r="H117" t="str">
        <f>VLOOKUP(A117,ID_Lookup!A:A,1,FALSE)</f>
        <v>J2845</v>
      </c>
    </row>
    <row r="118" spans="1:8" x14ac:dyDescent="0.35">
      <c r="A118" t="s">
        <v>466</v>
      </c>
      <c r="B118">
        <v>2021</v>
      </c>
      <c r="C118" t="s">
        <v>467</v>
      </c>
      <c r="D118" t="s">
        <v>468</v>
      </c>
      <c r="E118" t="s">
        <v>160</v>
      </c>
      <c r="F118" t="s">
        <v>727</v>
      </c>
      <c r="G118" t="b">
        <f t="shared" si="1"/>
        <v>1</v>
      </c>
      <c r="H118" t="str">
        <f>VLOOKUP(A118,ID_Lookup!A:A,1,FALSE)</f>
        <v>J2846</v>
      </c>
    </row>
    <row r="119" spans="1:8" x14ac:dyDescent="0.35">
      <c r="A119" t="s">
        <v>469</v>
      </c>
      <c r="B119">
        <v>2021</v>
      </c>
      <c r="C119" t="s">
        <v>470</v>
      </c>
      <c r="D119" t="s">
        <v>471</v>
      </c>
      <c r="E119" t="s">
        <v>160</v>
      </c>
      <c r="F119" t="s">
        <v>223</v>
      </c>
      <c r="G119" t="b">
        <f t="shared" si="1"/>
        <v>1</v>
      </c>
      <c r="H119" t="str">
        <f>VLOOKUP(A119,ID_Lookup!A:A,1,FALSE)</f>
        <v>J2847</v>
      </c>
    </row>
    <row r="120" spans="1:8" x14ac:dyDescent="0.35">
      <c r="A120" t="s">
        <v>472</v>
      </c>
      <c r="B120">
        <v>2021</v>
      </c>
      <c r="C120" t="s">
        <v>473</v>
      </c>
      <c r="D120" t="s">
        <v>474</v>
      </c>
      <c r="E120" t="s">
        <v>160</v>
      </c>
      <c r="F120" t="s">
        <v>721</v>
      </c>
      <c r="G120" t="b">
        <f t="shared" si="1"/>
        <v>1</v>
      </c>
      <c r="H120" t="str">
        <f>VLOOKUP(A120,ID_Lookup!A:A,1,FALSE)</f>
        <v>J2848</v>
      </c>
    </row>
    <row r="121" spans="1:8" x14ac:dyDescent="0.35">
      <c r="A121" t="s">
        <v>475</v>
      </c>
      <c r="B121">
        <v>2021</v>
      </c>
      <c r="C121" t="s">
        <v>476</v>
      </c>
      <c r="D121" t="s">
        <v>477</v>
      </c>
      <c r="E121" t="s">
        <v>221</v>
      </c>
      <c r="F121" t="s">
        <v>728</v>
      </c>
      <c r="G121" t="b">
        <f t="shared" si="1"/>
        <v>0</v>
      </c>
      <c r="H121" t="str">
        <f>VLOOKUP(A121,ID_Lookup!A:A,1,FALSE)</f>
        <v>J2849</v>
      </c>
    </row>
    <row r="122" spans="1:8" ht="409.5" x14ac:dyDescent="0.35">
      <c r="A122" t="s">
        <v>478</v>
      </c>
      <c r="B122">
        <v>2021</v>
      </c>
      <c r="C122" t="s">
        <v>479</v>
      </c>
      <c r="D122" s="1" t="s">
        <v>480</v>
      </c>
      <c r="E122" t="s">
        <v>160</v>
      </c>
      <c r="F122" t="s">
        <v>725</v>
      </c>
      <c r="G122" t="b">
        <f t="shared" si="1"/>
        <v>1</v>
      </c>
      <c r="H122" t="str">
        <f>VLOOKUP(A122,ID_Lookup!A:A,1,FALSE)</f>
        <v>J2850</v>
      </c>
    </row>
    <row r="123" spans="1:8" x14ac:dyDescent="0.35">
      <c r="A123" t="s">
        <v>481</v>
      </c>
      <c r="B123">
        <v>2021</v>
      </c>
      <c r="C123" t="s">
        <v>482</v>
      </c>
      <c r="D123" t="s">
        <v>483</v>
      </c>
      <c r="E123" t="s">
        <v>160</v>
      </c>
      <c r="F123" t="s">
        <v>729</v>
      </c>
      <c r="G123" t="b">
        <f t="shared" si="1"/>
        <v>1</v>
      </c>
      <c r="H123" t="str">
        <f>VLOOKUP(A123,ID_Lookup!A:A,1,FALSE)</f>
        <v>J2851</v>
      </c>
    </row>
    <row r="124" spans="1:8" x14ac:dyDescent="0.35">
      <c r="A124" s="5" t="s">
        <v>484</v>
      </c>
      <c r="B124" s="5">
        <v>2021</v>
      </c>
      <c r="C124" s="5" t="s">
        <v>485</v>
      </c>
      <c r="D124" s="5" t="s">
        <v>486</v>
      </c>
      <c r="E124" s="5" t="s">
        <v>160</v>
      </c>
      <c r="F124" s="5"/>
      <c r="G124" t="b">
        <f t="shared" si="1"/>
        <v>1</v>
      </c>
      <c r="H124" t="str">
        <f>VLOOKUP(A124,ID_Lookup!A:A,1,FALSE)</f>
        <v>J2852</v>
      </c>
    </row>
    <row r="125" spans="1:8" x14ac:dyDescent="0.35">
      <c r="A125" t="s">
        <v>487</v>
      </c>
      <c r="B125">
        <v>2021</v>
      </c>
      <c r="C125" t="s">
        <v>488</v>
      </c>
      <c r="D125" t="s">
        <v>489</v>
      </c>
      <c r="E125" t="s">
        <v>160</v>
      </c>
      <c r="F125" t="s">
        <v>224</v>
      </c>
      <c r="G125" t="b">
        <f t="shared" si="1"/>
        <v>1</v>
      </c>
      <c r="H125" t="str">
        <f>VLOOKUP(A125,ID_Lookup!A:A,1,FALSE)</f>
        <v>J2853</v>
      </c>
    </row>
    <row r="126" spans="1:8" x14ac:dyDescent="0.35">
      <c r="A126" t="s">
        <v>490</v>
      </c>
      <c r="B126">
        <v>2021</v>
      </c>
      <c r="C126" t="s">
        <v>491</v>
      </c>
      <c r="D126" t="s">
        <v>492</v>
      </c>
      <c r="E126" t="s">
        <v>221</v>
      </c>
      <c r="F126" t="s">
        <v>728</v>
      </c>
      <c r="G126" t="b">
        <f t="shared" si="1"/>
        <v>0</v>
      </c>
      <c r="H126" t="str">
        <f>VLOOKUP(A126,ID_Lookup!A:A,1,FALSE)</f>
        <v>J2854</v>
      </c>
    </row>
    <row r="127" spans="1:8" x14ac:dyDescent="0.35">
      <c r="A127" t="s">
        <v>493</v>
      </c>
      <c r="B127">
        <v>2021</v>
      </c>
      <c r="C127" t="s">
        <v>494</v>
      </c>
      <c r="D127" t="s">
        <v>495</v>
      </c>
      <c r="E127" t="s">
        <v>160</v>
      </c>
      <c r="F127" t="s">
        <v>223</v>
      </c>
      <c r="G127" t="b">
        <f t="shared" si="1"/>
        <v>1</v>
      </c>
      <c r="H127" t="str">
        <f>VLOOKUP(A127,ID_Lookup!A:A,1,FALSE)</f>
        <v>J2855</v>
      </c>
    </row>
    <row r="128" spans="1:8" x14ac:dyDescent="0.35">
      <c r="A128" t="s">
        <v>496</v>
      </c>
      <c r="B128">
        <v>2021</v>
      </c>
      <c r="C128" t="s">
        <v>497</v>
      </c>
      <c r="D128" t="s">
        <v>498</v>
      </c>
      <c r="E128" t="s">
        <v>160</v>
      </c>
      <c r="F128" t="s">
        <v>223</v>
      </c>
      <c r="G128" t="b">
        <f t="shared" si="1"/>
        <v>1</v>
      </c>
      <c r="H128" t="str">
        <f>VLOOKUP(A128,ID_Lookup!A:A,1,FALSE)</f>
        <v>J2856</v>
      </c>
    </row>
    <row r="129" spans="1:8" x14ac:dyDescent="0.35">
      <c r="A129" t="s">
        <v>499</v>
      </c>
      <c r="B129">
        <v>2021</v>
      </c>
      <c r="C129" t="s">
        <v>500</v>
      </c>
      <c r="D129" t="s">
        <v>501</v>
      </c>
      <c r="E129" t="s">
        <v>160</v>
      </c>
      <c r="F129" t="s">
        <v>224</v>
      </c>
      <c r="G129" t="b">
        <f t="shared" si="1"/>
        <v>1</v>
      </c>
      <c r="H129" t="str">
        <f>VLOOKUP(A129,ID_Lookup!A:A,1,FALSE)</f>
        <v>J2857</v>
      </c>
    </row>
    <row r="130" spans="1:8" x14ac:dyDescent="0.35">
      <c r="A130" t="s">
        <v>502</v>
      </c>
      <c r="B130">
        <v>2021</v>
      </c>
      <c r="C130" t="s">
        <v>503</v>
      </c>
      <c r="D130" t="s">
        <v>504</v>
      </c>
      <c r="E130" t="s">
        <v>160</v>
      </c>
      <c r="F130" t="s">
        <v>224</v>
      </c>
      <c r="G130" t="b">
        <f t="shared" si="1"/>
        <v>1</v>
      </c>
      <c r="H130" t="str">
        <f>VLOOKUP(A130,ID_Lookup!A:A,1,FALSE)</f>
        <v>J2858</v>
      </c>
    </row>
    <row r="131" spans="1:8" x14ac:dyDescent="0.35">
      <c r="A131" t="s">
        <v>505</v>
      </c>
      <c r="B131">
        <v>2021</v>
      </c>
      <c r="C131" t="s">
        <v>506</v>
      </c>
      <c r="D131" t="s">
        <v>507</v>
      </c>
      <c r="E131" t="s">
        <v>221</v>
      </c>
      <c r="F131" t="s">
        <v>715</v>
      </c>
      <c r="G131" t="b">
        <f t="shared" ref="G131:G194" si="2">IF(E131="Include", TRUE, FALSE)</f>
        <v>0</v>
      </c>
      <c r="H131" t="str">
        <f>VLOOKUP(A131,ID_Lookup!A:A,1,FALSE)</f>
        <v>J2859</v>
      </c>
    </row>
    <row r="132" spans="1:8" x14ac:dyDescent="0.35">
      <c r="A132" t="s">
        <v>508</v>
      </c>
      <c r="B132">
        <v>2021</v>
      </c>
      <c r="C132" t="s">
        <v>509</v>
      </c>
      <c r="D132" t="s">
        <v>510</v>
      </c>
      <c r="E132" t="s">
        <v>221</v>
      </c>
      <c r="F132" t="s">
        <v>715</v>
      </c>
      <c r="G132" t="b">
        <f t="shared" si="2"/>
        <v>0</v>
      </c>
      <c r="H132" t="str">
        <f>VLOOKUP(A132,ID_Lookup!A:A,1,FALSE)</f>
        <v>J2860</v>
      </c>
    </row>
    <row r="133" spans="1:8" x14ac:dyDescent="0.35">
      <c r="A133" t="s">
        <v>511</v>
      </c>
      <c r="B133">
        <v>2021</v>
      </c>
      <c r="C133" t="s">
        <v>512</v>
      </c>
      <c r="D133" t="s">
        <v>513</v>
      </c>
      <c r="E133" t="s">
        <v>160</v>
      </c>
      <c r="F133" t="s">
        <v>730</v>
      </c>
      <c r="G133" t="b">
        <f t="shared" si="2"/>
        <v>1</v>
      </c>
      <c r="H133" t="str">
        <f>VLOOKUP(A133,ID_Lookup!A:A,1,FALSE)</f>
        <v>J2861</v>
      </c>
    </row>
    <row r="134" spans="1:8" x14ac:dyDescent="0.35">
      <c r="A134" t="s">
        <v>514</v>
      </c>
      <c r="B134">
        <v>2021</v>
      </c>
      <c r="C134" t="s">
        <v>515</v>
      </c>
      <c r="D134" t="s">
        <v>516</v>
      </c>
      <c r="E134" t="s">
        <v>160</v>
      </c>
      <c r="F134" t="s">
        <v>717</v>
      </c>
      <c r="G134" t="b">
        <f t="shared" si="2"/>
        <v>1</v>
      </c>
      <c r="H134" t="str">
        <f>VLOOKUP(A134,ID_Lookup!A:A,1,FALSE)</f>
        <v>J2862</v>
      </c>
    </row>
    <row r="135" spans="1:8" ht="409.5" x14ac:dyDescent="0.35">
      <c r="A135" t="s">
        <v>517</v>
      </c>
      <c r="B135">
        <v>2021</v>
      </c>
      <c r="C135" t="s">
        <v>518</v>
      </c>
      <c r="D135" s="1" t="s">
        <v>519</v>
      </c>
      <c r="E135" t="s">
        <v>160</v>
      </c>
      <c r="F135" t="s">
        <v>223</v>
      </c>
      <c r="G135" t="b">
        <f t="shared" si="2"/>
        <v>1</v>
      </c>
      <c r="H135" t="str">
        <f>VLOOKUP(A135,ID_Lookup!A:A,1,FALSE)</f>
        <v>J2863</v>
      </c>
    </row>
    <row r="136" spans="1:8" x14ac:dyDescent="0.35">
      <c r="A136" t="s">
        <v>520</v>
      </c>
      <c r="B136">
        <v>2021</v>
      </c>
      <c r="C136" t="s">
        <v>521</v>
      </c>
      <c r="D136" t="s">
        <v>522</v>
      </c>
      <c r="E136" t="s">
        <v>160</v>
      </c>
      <c r="F136" t="s">
        <v>223</v>
      </c>
      <c r="G136" t="b">
        <f t="shared" si="2"/>
        <v>1</v>
      </c>
      <c r="H136" t="str">
        <f>VLOOKUP(A136,ID_Lookup!A:A,1,FALSE)</f>
        <v>J2864</v>
      </c>
    </row>
    <row r="137" spans="1:8" x14ac:dyDescent="0.35">
      <c r="A137" t="s">
        <v>523</v>
      </c>
      <c r="B137">
        <v>2021</v>
      </c>
      <c r="C137" t="s">
        <v>524</v>
      </c>
      <c r="D137" t="s">
        <v>525</v>
      </c>
      <c r="E137" t="s">
        <v>221</v>
      </c>
      <c r="F137" t="s">
        <v>231</v>
      </c>
      <c r="G137" t="b">
        <f t="shared" si="2"/>
        <v>0</v>
      </c>
      <c r="H137" t="str">
        <f>VLOOKUP(A137,ID_Lookup!A:A,1,FALSE)</f>
        <v>J2865</v>
      </c>
    </row>
    <row r="138" spans="1:8" x14ac:dyDescent="0.35">
      <c r="A138" t="s">
        <v>526</v>
      </c>
      <c r="B138">
        <v>2021</v>
      </c>
      <c r="C138" t="s">
        <v>527</v>
      </c>
      <c r="D138" t="s">
        <v>528</v>
      </c>
      <c r="E138" t="s">
        <v>160</v>
      </c>
      <c r="F138" t="s">
        <v>223</v>
      </c>
      <c r="G138" t="b">
        <f t="shared" si="2"/>
        <v>1</v>
      </c>
      <c r="H138" t="str">
        <f>VLOOKUP(A138,ID_Lookup!A:A,1,FALSE)</f>
        <v>J2866</v>
      </c>
    </row>
    <row r="139" spans="1:8" x14ac:dyDescent="0.35">
      <c r="A139" t="s">
        <v>529</v>
      </c>
      <c r="B139">
        <v>2021</v>
      </c>
      <c r="C139" t="s">
        <v>530</v>
      </c>
      <c r="D139" t="s">
        <v>531</v>
      </c>
      <c r="E139" t="s">
        <v>221</v>
      </c>
      <c r="F139" t="s">
        <v>231</v>
      </c>
      <c r="G139" t="b">
        <f t="shared" si="2"/>
        <v>0</v>
      </c>
      <c r="H139" t="str">
        <f>VLOOKUP(A139,ID_Lookup!A:A,1,FALSE)</f>
        <v>J2867</v>
      </c>
    </row>
    <row r="140" spans="1:8" x14ac:dyDescent="0.35">
      <c r="A140" t="s">
        <v>532</v>
      </c>
      <c r="B140">
        <v>2021</v>
      </c>
      <c r="C140" t="s">
        <v>533</v>
      </c>
      <c r="D140" t="s">
        <v>534</v>
      </c>
      <c r="E140" t="s">
        <v>221</v>
      </c>
      <c r="F140" t="s">
        <v>231</v>
      </c>
      <c r="G140" t="b">
        <f t="shared" si="2"/>
        <v>0</v>
      </c>
      <c r="H140" t="str">
        <f>VLOOKUP(A140,ID_Lookup!A:A,1,FALSE)</f>
        <v>J2868</v>
      </c>
    </row>
    <row r="141" spans="1:8" x14ac:dyDescent="0.35">
      <c r="A141" t="s">
        <v>535</v>
      </c>
      <c r="B141">
        <v>2021</v>
      </c>
      <c r="C141" t="s">
        <v>536</v>
      </c>
      <c r="D141" t="s">
        <v>537</v>
      </c>
      <c r="E141" t="s">
        <v>160</v>
      </c>
      <c r="F141" t="s">
        <v>725</v>
      </c>
      <c r="G141" t="b">
        <f t="shared" si="2"/>
        <v>1</v>
      </c>
      <c r="H141" t="str">
        <f>VLOOKUP(A141,ID_Lookup!A:A,1,FALSE)</f>
        <v>J2869</v>
      </c>
    </row>
    <row r="142" spans="1:8" x14ac:dyDescent="0.35">
      <c r="A142" t="s">
        <v>538</v>
      </c>
      <c r="B142">
        <v>2021</v>
      </c>
      <c r="C142" t="s">
        <v>539</v>
      </c>
      <c r="D142" t="s">
        <v>540</v>
      </c>
      <c r="E142" t="s">
        <v>221</v>
      </c>
      <c r="F142" t="s">
        <v>231</v>
      </c>
      <c r="G142" t="b">
        <f t="shared" si="2"/>
        <v>0</v>
      </c>
      <c r="H142" t="str">
        <f>VLOOKUP(A142,ID_Lookup!A:A,1,FALSE)</f>
        <v>J2870</v>
      </c>
    </row>
    <row r="143" spans="1:8" x14ac:dyDescent="0.35">
      <c r="A143" t="s">
        <v>541</v>
      </c>
      <c r="B143">
        <v>2021</v>
      </c>
      <c r="C143" t="s">
        <v>542</v>
      </c>
      <c r="D143" t="s">
        <v>543</v>
      </c>
      <c r="E143" t="s">
        <v>221</v>
      </c>
      <c r="F143" t="s">
        <v>728</v>
      </c>
      <c r="G143" t="b">
        <f t="shared" si="2"/>
        <v>0</v>
      </c>
      <c r="H143" t="str">
        <f>VLOOKUP(A143,ID_Lookup!A:A,1,FALSE)</f>
        <v>J2871</v>
      </c>
    </row>
    <row r="144" spans="1:8" x14ac:dyDescent="0.35">
      <c r="A144" t="s">
        <v>544</v>
      </c>
      <c r="B144">
        <v>2021</v>
      </c>
      <c r="C144" t="s">
        <v>545</v>
      </c>
      <c r="D144" t="s">
        <v>546</v>
      </c>
      <c r="E144" t="s">
        <v>160</v>
      </c>
      <c r="F144" t="s">
        <v>226</v>
      </c>
      <c r="G144" t="b">
        <f t="shared" si="2"/>
        <v>1</v>
      </c>
      <c r="H144" t="str">
        <f>VLOOKUP(A144,ID_Lookup!A:A,1,FALSE)</f>
        <v>J2872</v>
      </c>
    </row>
    <row r="145" spans="1:8" x14ac:dyDescent="0.35">
      <c r="A145" t="s">
        <v>547</v>
      </c>
      <c r="B145">
        <v>2021</v>
      </c>
      <c r="C145" t="s">
        <v>548</v>
      </c>
      <c r="D145" t="s">
        <v>549</v>
      </c>
      <c r="E145" t="s">
        <v>160</v>
      </c>
      <c r="F145" t="s">
        <v>731</v>
      </c>
      <c r="G145" t="b">
        <f t="shared" si="2"/>
        <v>1</v>
      </c>
      <c r="H145" t="str">
        <f>VLOOKUP(A145,ID_Lookup!A:A,1,FALSE)</f>
        <v>J2873</v>
      </c>
    </row>
    <row r="146" spans="1:8" x14ac:dyDescent="0.35">
      <c r="A146" t="s">
        <v>550</v>
      </c>
      <c r="B146">
        <v>2021</v>
      </c>
      <c r="C146" t="s">
        <v>551</v>
      </c>
      <c r="D146" t="s">
        <v>552</v>
      </c>
      <c r="E146" t="s">
        <v>160</v>
      </c>
      <c r="F146" t="s">
        <v>731</v>
      </c>
      <c r="G146" t="b">
        <f t="shared" si="2"/>
        <v>1</v>
      </c>
      <c r="H146" t="str">
        <f>VLOOKUP(A146,ID_Lookup!A:A,1,FALSE)</f>
        <v>J2874</v>
      </c>
    </row>
    <row r="147" spans="1:8" x14ac:dyDescent="0.35">
      <c r="A147" t="s">
        <v>553</v>
      </c>
      <c r="B147">
        <v>2021</v>
      </c>
      <c r="C147" t="s">
        <v>554</v>
      </c>
      <c r="D147" t="s">
        <v>555</v>
      </c>
      <c r="E147" t="s">
        <v>221</v>
      </c>
      <c r="F147" t="s">
        <v>231</v>
      </c>
      <c r="G147" t="b">
        <f t="shared" si="2"/>
        <v>0</v>
      </c>
      <c r="H147" t="str">
        <f>VLOOKUP(A147,ID_Lookup!A:A,1,FALSE)</f>
        <v>J2875</v>
      </c>
    </row>
    <row r="148" spans="1:8" x14ac:dyDescent="0.35">
      <c r="A148" t="s">
        <v>556</v>
      </c>
      <c r="B148">
        <v>2021</v>
      </c>
      <c r="C148" t="s">
        <v>557</v>
      </c>
      <c r="D148" t="s">
        <v>558</v>
      </c>
      <c r="E148" t="s">
        <v>160</v>
      </c>
      <c r="F148" t="s">
        <v>226</v>
      </c>
      <c r="G148" t="b">
        <f t="shared" si="2"/>
        <v>1</v>
      </c>
      <c r="H148" t="str">
        <f>VLOOKUP(A148,ID_Lookup!A:A,1,FALSE)</f>
        <v>J2876</v>
      </c>
    </row>
    <row r="149" spans="1:8" x14ac:dyDescent="0.35">
      <c r="A149" t="s">
        <v>559</v>
      </c>
      <c r="B149">
        <v>2021</v>
      </c>
      <c r="C149" t="s">
        <v>560</v>
      </c>
      <c r="D149" t="s">
        <v>561</v>
      </c>
      <c r="E149" t="s">
        <v>160</v>
      </c>
      <c r="F149" t="s">
        <v>721</v>
      </c>
      <c r="G149" t="b">
        <f t="shared" si="2"/>
        <v>1</v>
      </c>
      <c r="H149" t="str">
        <f>VLOOKUP(A149,ID_Lookup!A:A,1,FALSE)</f>
        <v>J2877</v>
      </c>
    </row>
    <row r="150" spans="1:8" x14ac:dyDescent="0.35">
      <c r="A150" t="s">
        <v>562</v>
      </c>
      <c r="B150">
        <v>2021</v>
      </c>
      <c r="C150" t="s">
        <v>563</v>
      </c>
      <c r="D150" t="s">
        <v>564</v>
      </c>
      <c r="E150" t="s">
        <v>160</v>
      </c>
      <c r="F150" t="s">
        <v>224</v>
      </c>
      <c r="G150" t="b">
        <f t="shared" si="2"/>
        <v>1</v>
      </c>
      <c r="H150" t="str">
        <f>VLOOKUP(A150,ID_Lookup!A:A,1,FALSE)</f>
        <v>J2878</v>
      </c>
    </row>
    <row r="151" spans="1:8" x14ac:dyDescent="0.35">
      <c r="A151" t="s">
        <v>565</v>
      </c>
      <c r="B151">
        <v>2021</v>
      </c>
      <c r="C151" t="s">
        <v>566</v>
      </c>
      <c r="D151" t="s">
        <v>567</v>
      </c>
      <c r="E151" t="s">
        <v>160</v>
      </c>
      <c r="F151" t="s">
        <v>732</v>
      </c>
      <c r="G151" t="b">
        <f t="shared" si="2"/>
        <v>1</v>
      </c>
      <c r="H151" t="str">
        <f>VLOOKUP(A151,ID_Lookup!A:A,1,FALSE)</f>
        <v>J2879</v>
      </c>
    </row>
    <row r="152" spans="1:8" x14ac:dyDescent="0.35">
      <c r="A152" t="s">
        <v>568</v>
      </c>
      <c r="B152">
        <v>2021</v>
      </c>
      <c r="C152" t="s">
        <v>569</v>
      </c>
      <c r="D152" t="s">
        <v>549</v>
      </c>
      <c r="E152" t="s">
        <v>160</v>
      </c>
      <c r="F152" t="s">
        <v>223</v>
      </c>
      <c r="G152" t="b">
        <f t="shared" si="2"/>
        <v>1</v>
      </c>
      <c r="H152" t="str">
        <f>VLOOKUP(A152,ID_Lookup!A:A,1,FALSE)</f>
        <v>J2880</v>
      </c>
    </row>
    <row r="153" spans="1:8" x14ac:dyDescent="0.35">
      <c r="A153" t="s">
        <v>570</v>
      </c>
      <c r="B153">
        <v>2021</v>
      </c>
      <c r="C153" t="s">
        <v>571</v>
      </c>
      <c r="D153" t="s">
        <v>572</v>
      </c>
      <c r="E153" t="s">
        <v>160</v>
      </c>
      <c r="F153" t="s">
        <v>223</v>
      </c>
      <c r="G153" t="b">
        <f t="shared" si="2"/>
        <v>1</v>
      </c>
      <c r="H153" t="str">
        <f>VLOOKUP(A153,ID_Lookup!A:A,1,FALSE)</f>
        <v>J2881</v>
      </c>
    </row>
    <row r="154" spans="1:8" x14ac:dyDescent="0.35">
      <c r="A154" t="s">
        <v>573</v>
      </c>
      <c r="B154">
        <v>2021</v>
      </c>
      <c r="C154" t="s">
        <v>574</v>
      </c>
      <c r="D154" t="s">
        <v>575</v>
      </c>
      <c r="E154" t="s">
        <v>221</v>
      </c>
      <c r="F154" t="s">
        <v>231</v>
      </c>
      <c r="G154" t="b">
        <f t="shared" si="2"/>
        <v>0</v>
      </c>
      <c r="H154" t="str">
        <f>VLOOKUP(A154,ID_Lookup!A:A,1,FALSE)</f>
        <v>J2882</v>
      </c>
    </row>
    <row r="155" spans="1:8" x14ac:dyDescent="0.35">
      <c r="A155" t="s">
        <v>576</v>
      </c>
      <c r="B155">
        <v>2021</v>
      </c>
      <c r="C155" t="s">
        <v>577</v>
      </c>
      <c r="D155" t="s">
        <v>578</v>
      </c>
      <c r="E155" t="s">
        <v>160</v>
      </c>
      <c r="F155" t="s">
        <v>224</v>
      </c>
      <c r="G155" t="b">
        <f t="shared" si="2"/>
        <v>1</v>
      </c>
      <c r="H155" t="str">
        <f>VLOOKUP(A155,ID_Lookup!A:A,1,FALSE)</f>
        <v>J2883</v>
      </c>
    </row>
    <row r="156" spans="1:8" x14ac:dyDescent="0.35">
      <c r="A156" t="s">
        <v>579</v>
      </c>
      <c r="B156">
        <v>2021</v>
      </c>
      <c r="C156" t="s">
        <v>580</v>
      </c>
      <c r="D156" t="s">
        <v>581</v>
      </c>
      <c r="E156" t="s">
        <v>160</v>
      </c>
      <c r="F156" t="s">
        <v>223</v>
      </c>
      <c r="G156" t="b">
        <f t="shared" si="2"/>
        <v>1</v>
      </c>
      <c r="H156" t="str">
        <f>VLOOKUP(A156,ID_Lookup!A:A,1,FALSE)</f>
        <v>J2884</v>
      </c>
    </row>
    <row r="157" spans="1:8" x14ac:dyDescent="0.35">
      <c r="A157" t="s">
        <v>582</v>
      </c>
      <c r="B157">
        <v>2021</v>
      </c>
      <c r="C157" t="s">
        <v>583</v>
      </c>
      <c r="D157" t="s">
        <v>584</v>
      </c>
      <c r="E157" t="s">
        <v>160</v>
      </c>
      <c r="F157" t="s">
        <v>733</v>
      </c>
      <c r="G157" t="b">
        <f t="shared" si="2"/>
        <v>1</v>
      </c>
      <c r="H157" t="str">
        <f>VLOOKUP(A157,ID_Lookup!A:A,1,FALSE)</f>
        <v>J2885</v>
      </c>
    </row>
    <row r="158" spans="1:8" x14ac:dyDescent="0.35">
      <c r="A158" t="s">
        <v>585</v>
      </c>
      <c r="B158">
        <v>2021</v>
      </c>
      <c r="C158" t="s">
        <v>586</v>
      </c>
      <c r="D158" t="s">
        <v>587</v>
      </c>
      <c r="E158" t="s">
        <v>221</v>
      </c>
      <c r="F158" t="s">
        <v>728</v>
      </c>
      <c r="G158" t="b">
        <f t="shared" si="2"/>
        <v>0</v>
      </c>
      <c r="H158" t="str">
        <f>VLOOKUP(A158,ID_Lookup!A:A,1,FALSE)</f>
        <v>J2886</v>
      </c>
    </row>
    <row r="159" spans="1:8" x14ac:dyDescent="0.35">
      <c r="A159" t="s">
        <v>588</v>
      </c>
      <c r="B159">
        <v>2021</v>
      </c>
      <c r="C159" t="s">
        <v>589</v>
      </c>
      <c r="D159" t="s">
        <v>590</v>
      </c>
      <c r="E159" t="s">
        <v>221</v>
      </c>
      <c r="F159" t="s">
        <v>728</v>
      </c>
      <c r="G159" t="b">
        <f t="shared" si="2"/>
        <v>0</v>
      </c>
      <c r="H159" t="str">
        <f>VLOOKUP(A159,ID_Lookup!A:A,1,FALSE)</f>
        <v>J2887</v>
      </c>
    </row>
    <row r="160" spans="1:8" x14ac:dyDescent="0.35">
      <c r="A160" t="s">
        <v>591</v>
      </c>
      <c r="B160">
        <v>2021</v>
      </c>
      <c r="C160" t="s">
        <v>592</v>
      </c>
      <c r="D160" t="s">
        <v>593</v>
      </c>
      <c r="E160" t="s">
        <v>160</v>
      </c>
      <c r="F160" t="s">
        <v>224</v>
      </c>
      <c r="G160" t="b">
        <f t="shared" si="2"/>
        <v>1</v>
      </c>
      <c r="H160" t="str">
        <f>VLOOKUP(A160,ID_Lookup!A:A,1,FALSE)</f>
        <v>J2888</v>
      </c>
    </row>
    <row r="161" spans="1:8" x14ac:dyDescent="0.35">
      <c r="A161" t="s">
        <v>594</v>
      </c>
      <c r="B161">
        <v>2021</v>
      </c>
      <c r="C161" t="s">
        <v>595</v>
      </c>
      <c r="D161" t="s">
        <v>596</v>
      </c>
      <c r="E161" t="s">
        <v>160</v>
      </c>
      <c r="F161" t="s">
        <v>721</v>
      </c>
      <c r="G161" t="b">
        <f t="shared" si="2"/>
        <v>1</v>
      </c>
      <c r="H161" t="str">
        <f>VLOOKUP(A161,ID_Lookup!A:A,1,FALSE)</f>
        <v>J2889</v>
      </c>
    </row>
    <row r="162" spans="1:8" ht="409.5" x14ac:dyDescent="0.35">
      <c r="A162" t="s">
        <v>597</v>
      </c>
      <c r="B162">
        <v>2021</v>
      </c>
      <c r="C162" t="s">
        <v>598</v>
      </c>
      <c r="D162" s="1" t="s">
        <v>599</v>
      </c>
      <c r="E162" t="s">
        <v>221</v>
      </c>
      <c r="F162" t="s">
        <v>734</v>
      </c>
      <c r="G162" t="b">
        <f t="shared" si="2"/>
        <v>0</v>
      </c>
      <c r="H162" t="str">
        <f>VLOOKUP(A162,ID_Lookup!A:A,1,FALSE)</f>
        <v>J2890</v>
      </c>
    </row>
    <row r="163" spans="1:8" x14ac:dyDescent="0.35">
      <c r="A163" t="s">
        <v>600</v>
      </c>
      <c r="B163">
        <v>2021</v>
      </c>
      <c r="C163" t="s">
        <v>601</v>
      </c>
      <c r="D163" t="s">
        <v>602</v>
      </c>
      <c r="E163" t="s">
        <v>160</v>
      </c>
      <c r="F163" t="s">
        <v>735</v>
      </c>
      <c r="G163" t="b">
        <f t="shared" si="2"/>
        <v>1</v>
      </c>
      <c r="H163" t="str">
        <f>VLOOKUP(A163,ID_Lookup!A:A,1,FALSE)</f>
        <v>J2891</v>
      </c>
    </row>
    <row r="164" spans="1:8" x14ac:dyDescent="0.35">
      <c r="A164" t="s">
        <v>603</v>
      </c>
      <c r="B164">
        <v>2021</v>
      </c>
      <c r="C164" t="s">
        <v>604</v>
      </c>
      <c r="D164" t="s">
        <v>605</v>
      </c>
      <c r="E164" t="s">
        <v>221</v>
      </c>
      <c r="F164" t="s">
        <v>231</v>
      </c>
      <c r="G164" t="b">
        <f t="shared" si="2"/>
        <v>0</v>
      </c>
      <c r="H164" t="str">
        <f>VLOOKUP(A164,ID_Lookup!A:A,1,FALSE)</f>
        <v>J2892</v>
      </c>
    </row>
    <row r="165" spans="1:8" x14ac:dyDescent="0.35">
      <c r="A165" t="s">
        <v>606</v>
      </c>
      <c r="B165">
        <v>2021</v>
      </c>
      <c r="C165" t="s">
        <v>607</v>
      </c>
      <c r="D165" t="s">
        <v>608</v>
      </c>
      <c r="E165" t="s">
        <v>160</v>
      </c>
      <c r="F165" t="s">
        <v>725</v>
      </c>
      <c r="G165" t="b">
        <f t="shared" si="2"/>
        <v>1</v>
      </c>
      <c r="H165" t="str">
        <f>VLOOKUP(A165,ID_Lookup!A:A,1,FALSE)</f>
        <v>J2893</v>
      </c>
    </row>
    <row r="166" spans="1:8" x14ac:dyDescent="0.35">
      <c r="A166" t="s">
        <v>609</v>
      </c>
      <c r="B166">
        <v>2021</v>
      </c>
      <c r="C166" t="s">
        <v>610</v>
      </c>
      <c r="D166" t="s">
        <v>611</v>
      </c>
      <c r="E166" t="s">
        <v>221</v>
      </c>
      <c r="F166" t="s">
        <v>231</v>
      </c>
      <c r="G166" t="b">
        <f t="shared" si="2"/>
        <v>0</v>
      </c>
      <c r="H166" t="str">
        <f>VLOOKUP(A166,ID_Lookup!A:A,1,FALSE)</f>
        <v>J2894</v>
      </c>
    </row>
    <row r="167" spans="1:8" x14ac:dyDescent="0.35">
      <c r="A167" t="s">
        <v>612</v>
      </c>
      <c r="B167">
        <v>2021</v>
      </c>
      <c r="C167" t="s">
        <v>613</v>
      </c>
      <c r="D167" t="s">
        <v>614</v>
      </c>
      <c r="E167" t="s">
        <v>160</v>
      </c>
      <c r="F167" t="s">
        <v>736</v>
      </c>
      <c r="G167" t="b">
        <f t="shared" si="2"/>
        <v>1</v>
      </c>
      <c r="H167" t="str">
        <f>VLOOKUP(A167,ID_Lookup!A:A,1,FALSE)</f>
        <v>J2895</v>
      </c>
    </row>
    <row r="168" spans="1:8" x14ac:dyDescent="0.35">
      <c r="A168" t="s">
        <v>615</v>
      </c>
      <c r="B168">
        <v>2021</v>
      </c>
      <c r="C168" t="s">
        <v>616</v>
      </c>
      <c r="D168" t="s">
        <v>617</v>
      </c>
      <c r="E168" t="s">
        <v>160</v>
      </c>
      <c r="F168" t="s">
        <v>736</v>
      </c>
      <c r="G168" t="b">
        <f t="shared" si="2"/>
        <v>1</v>
      </c>
      <c r="H168" t="str">
        <f>VLOOKUP(A168,ID_Lookup!A:A,1,FALSE)</f>
        <v>J2896</v>
      </c>
    </row>
    <row r="169" spans="1:8" x14ac:dyDescent="0.35">
      <c r="A169" t="s">
        <v>618</v>
      </c>
      <c r="B169">
        <v>2021</v>
      </c>
      <c r="C169" t="s">
        <v>619</v>
      </c>
      <c r="D169" t="s">
        <v>620</v>
      </c>
      <c r="E169" t="s">
        <v>160</v>
      </c>
      <c r="F169" t="s">
        <v>224</v>
      </c>
      <c r="G169" t="b">
        <f t="shared" si="2"/>
        <v>1</v>
      </c>
      <c r="H169" t="str">
        <f>VLOOKUP(A169,ID_Lookup!A:A,1,FALSE)</f>
        <v>J2897</v>
      </c>
    </row>
    <row r="170" spans="1:8" ht="409.5" x14ac:dyDescent="0.35">
      <c r="A170" t="s">
        <v>621</v>
      </c>
      <c r="B170">
        <v>2021</v>
      </c>
      <c r="C170" t="s">
        <v>622</v>
      </c>
      <c r="D170" s="1" t="s">
        <v>623</v>
      </c>
      <c r="E170" t="s">
        <v>160</v>
      </c>
      <c r="F170" t="s">
        <v>725</v>
      </c>
      <c r="G170" t="b">
        <f t="shared" si="2"/>
        <v>1</v>
      </c>
      <c r="H170" t="str">
        <f>VLOOKUP(A170,ID_Lookup!A:A,1,FALSE)</f>
        <v>J2898</v>
      </c>
    </row>
    <row r="171" spans="1:8" x14ac:dyDescent="0.35">
      <c r="A171" t="s">
        <v>624</v>
      </c>
      <c r="B171">
        <v>2021</v>
      </c>
      <c r="C171" t="s">
        <v>625</v>
      </c>
      <c r="D171" t="s">
        <v>626</v>
      </c>
      <c r="E171" t="s">
        <v>160</v>
      </c>
      <c r="F171" t="s">
        <v>224</v>
      </c>
      <c r="G171" t="b">
        <f t="shared" si="2"/>
        <v>1</v>
      </c>
      <c r="H171" t="str">
        <f>VLOOKUP(A171,ID_Lookup!A:A,1,FALSE)</f>
        <v>J2899</v>
      </c>
    </row>
    <row r="172" spans="1:8" x14ac:dyDescent="0.35">
      <c r="A172" t="s">
        <v>627</v>
      </c>
      <c r="B172">
        <v>2021</v>
      </c>
      <c r="C172" t="s">
        <v>628</v>
      </c>
      <c r="D172" t="s">
        <v>629</v>
      </c>
      <c r="E172" t="s">
        <v>221</v>
      </c>
      <c r="F172" t="s">
        <v>231</v>
      </c>
      <c r="G172" t="b">
        <f t="shared" si="2"/>
        <v>0</v>
      </c>
      <c r="H172" t="str">
        <f>VLOOKUP(A172,ID_Lookup!A:A,1,FALSE)</f>
        <v>J2900</v>
      </c>
    </row>
    <row r="173" spans="1:8" x14ac:dyDescent="0.35">
      <c r="A173" t="s">
        <v>630</v>
      </c>
      <c r="B173">
        <v>2021</v>
      </c>
      <c r="C173" t="s">
        <v>631</v>
      </c>
      <c r="D173" t="s">
        <v>632</v>
      </c>
      <c r="E173" t="s">
        <v>221</v>
      </c>
      <c r="F173" t="s">
        <v>227</v>
      </c>
      <c r="G173" t="b">
        <f t="shared" si="2"/>
        <v>0</v>
      </c>
      <c r="H173" t="str">
        <f>VLOOKUP(A173,ID_Lookup!A:A,1,FALSE)</f>
        <v>J2901</v>
      </c>
    </row>
    <row r="174" spans="1:8" x14ac:dyDescent="0.35">
      <c r="A174" t="s">
        <v>633</v>
      </c>
      <c r="B174">
        <v>2021</v>
      </c>
      <c r="C174" t="s">
        <v>634</v>
      </c>
      <c r="D174" t="s">
        <v>635</v>
      </c>
      <c r="E174" t="s">
        <v>160</v>
      </c>
      <c r="F174" t="s">
        <v>223</v>
      </c>
      <c r="G174" t="b">
        <f t="shared" si="2"/>
        <v>1</v>
      </c>
      <c r="H174" t="str">
        <f>VLOOKUP(A174,ID_Lookup!A:A,1,FALSE)</f>
        <v>J2902</v>
      </c>
    </row>
    <row r="175" spans="1:8" x14ac:dyDescent="0.35">
      <c r="A175" t="s">
        <v>636</v>
      </c>
      <c r="B175">
        <v>2021</v>
      </c>
      <c r="C175" t="s">
        <v>637</v>
      </c>
      <c r="D175" t="s">
        <v>549</v>
      </c>
      <c r="E175" t="s">
        <v>221</v>
      </c>
      <c r="F175" t="s">
        <v>715</v>
      </c>
      <c r="G175" t="b">
        <f t="shared" si="2"/>
        <v>0</v>
      </c>
      <c r="H175" t="str">
        <f>VLOOKUP(A175,ID_Lookup!A:A,1,FALSE)</f>
        <v>J2903</v>
      </c>
    </row>
    <row r="176" spans="1:8" x14ac:dyDescent="0.35">
      <c r="A176" t="s">
        <v>638</v>
      </c>
      <c r="B176">
        <v>2021</v>
      </c>
      <c r="C176" t="s">
        <v>639</v>
      </c>
      <c r="D176" t="s">
        <v>640</v>
      </c>
      <c r="E176" t="s">
        <v>221</v>
      </c>
      <c r="F176" t="s">
        <v>231</v>
      </c>
      <c r="G176" t="b">
        <f t="shared" si="2"/>
        <v>0</v>
      </c>
      <c r="H176" t="str">
        <f>VLOOKUP(A176,ID_Lookup!A:A,1,FALSE)</f>
        <v>J2904</v>
      </c>
    </row>
    <row r="177" spans="1:8" x14ac:dyDescent="0.35">
      <c r="A177" t="s">
        <v>641</v>
      </c>
      <c r="B177">
        <v>2021</v>
      </c>
      <c r="C177" t="s">
        <v>642</v>
      </c>
      <c r="D177" t="s">
        <v>643</v>
      </c>
      <c r="E177" t="s">
        <v>221</v>
      </c>
      <c r="F177" t="s">
        <v>231</v>
      </c>
      <c r="G177" t="b">
        <f t="shared" si="2"/>
        <v>0</v>
      </c>
      <c r="H177" t="str">
        <f>VLOOKUP(A177,ID_Lookup!A:A,1,FALSE)</f>
        <v>J2905</v>
      </c>
    </row>
    <row r="178" spans="1:8" x14ac:dyDescent="0.35">
      <c r="A178" t="s">
        <v>644</v>
      </c>
      <c r="B178">
        <v>2021</v>
      </c>
      <c r="C178" t="s">
        <v>645</v>
      </c>
      <c r="D178" t="s">
        <v>646</v>
      </c>
      <c r="E178" t="s">
        <v>221</v>
      </c>
      <c r="F178" t="s">
        <v>728</v>
      </c>
      <c r="G178" t="b">
        <f t="shared" si="2"/>
        <v>0</v>
      </c>
      <c r="H178" t="str">
        <f>VLOOKUP(A178,ID_Lookup!A:A,1,FALSE)</f>
        <v>J2906</v>
      </c>
    </row>
    <row r="179" spans="1:8" x14ac:dyDescent="0.35">
      <c r="A179" t="s">
        <v>647</v>
      </c>
      <c r="B179">
        <v>2021</v>
      </c>
      <c r="C179" t="s">
        <v>648</v>
      </c>
      <c r="D179" t="s">
        <v>649</v>
      </c>
      <c r="E179" t="s">
        <v>160</v>
      </c>
      <c r="F179" t="s">
        <v>721</v>
      </c>
      <c r="G179" t="b">
        <f t="shared" si="2"/>
        <v>1</v>
      </c>
      <c r="H179" t="str">
        <f>VLOOKUP(A179,ID_Lookup!A:A,1,FALSE)</f>
        <v>J2907</v>
      </c>
    </row>
    <row r="180" spans="1:8" x14ac:dyDescent="0.35">
      <c r="A180" t="s">
        <v>650</v>
      </c>
      <c r="B180">
        <v>2021</v>
      </c>
      <c r="C180" t="s">
        <v>651</v>
      </c>
      <c r="D180" t="s">
        <v>652</v>
      </c>
      <c r="E180" t="s">
        <v>160</v>
      </c>
      <c r="F180" t="s">
        <v>223</v>
      </c>
      <c r="G180" t="b">
        <f t="shared" si="2"/>
        <v>1</v>
      </c>
      <c r="H180" t="str">
        <f>VLOOKUP(A180,ID_Lookup!A:A,1,FALSE)</f>
        <v>J2908</v>
      </c>
    </row>
    <row r="181" spans="1:8" ht="409.5" x14ac:dyDescent="0.35">
      <c r="A181" s="5" t="s">
        <v>653</v>
      </c>
      <c r="B181" s="5">
        <v>2021</v>
      </c>
      <c r="C181" s="5" t="s">
        <v>651</v>
      </c>
      <c r="D181" s="7" t="s">
        <v>654</v>
      </c>
      <c r="E181" s="5" t="s">
        <v>160</v>
      </c>
      <c r="F181" s="5"/>
      <c r="G181" t="b">
        <f t="shared" si="2"/>
        <v>1</v>
      </c>
      <c r="H181" t="str">
        <f>VLOOKUP(A181,ID_Lookup!A:A,1,FALSE)</f>
        <v>J2909</v>
      </c>
    </row>
    <row r="182" spans="1:8" x14ac:dyDescent="0.35">
      <c r="A182" t="s">
        <v>655</v>
      </c>
      <c r="B182">
        <v>2021</v>
      </c>
      <c r="C182" t="s">
        <v>656</v>
      </c>
      <c r="D182" t="s">
        <v>657</v>
      </c>
      <c r="E182" t="s">
        <v>160</v>
      </c>
      <c r="F182" t="s">
        <v>223</v>
      </c>
      <c r="G182" t="b">
        <f t="shared" si="2"/>
        <v>1</v>
      </c>
      <c r="H182" t="str">
        <f>VLOOKUP(A182,ID_Lookup!A:A,1,FALSE)</f>
        <v>J2910</v>
      </c>
    </row>
    <row r="183" spans="1:8" ht="409.5" x14ac:dyDescent="0.35">
      <c r="A183" t="s">
        <v>658</v>
      </c>
      <c r="B183">
        <v>2025</v>
      </c>
      <c r="C183" t="s">
        <v>659</v>
      </c>
      <c r="D183" s="1" t="s">
        <v>660</v>
      </c>
      <c r="E183" t="s">
        <v>160</v>
      </c>
      <c r="F183" t="s">
        <v>721</v>
      </c>
      <c r="G183" t="b">
        <f t="shared" si="2"/>
        <v>1</v>
      </c>
      <c r="H183" t="str">
        <f>VLOOKUP(A183,ID_Lookup!A:A,1,FALSE)</f>
        <v>J6200</v>
      </c>
    </row>
    <row r="184" spans="1:8" x14ac:dyDescent="0.35">
      <c r="A184" s="5" t="s">
        <v>661</v>
      </c>
      <c r="B184" s="5">
        <v>2025</v>
      </c>
      <c r="C184" s="5" t="s">
        <v>659</v>
      </c>
      <c r="D184" s="5" t="s">
        <v>662</v>
      </c>
      <c r="E184" s="5" t="s">
        <v>160</v>
      </c>
      <c r="F184" s="5"/>
      <c r="G184" t="b">
        <f t="shared" si="2"/>
        <v>1</v>
      </c>
      <c r="H184" t="str">
        <f>VLOOKUP(A184,ID_Lookup!A:A,1,FALSE)</f>
        <v>J6201</v>
      </c>
    </row>
    <row r="185" spans="1:8" x14ac:dyDescent="0.35">
      <c r="A185" t="s">
        <v>663</v>
      </c>
      <c r="B185">
        <v>2025</v>
      </c>
      <c r="C185" t="s">
        <v>664</v>
      </c>
      <c r="D185" t="s">
        <v>665</v>
      </c>
      <c r="E185" t="s">
        <v>221</v>
      </c>
      <c r="F185" t="s">
        <v>728</v>
      </c>
      <c r="G185" t="b">
        <f t="shared" si="2"/>
        <v>0</v>
      </c>
      <c r="H185" t="str">
        <f>VLOOKUP(A185,ID_Lookup!A:A,1,FALSE)</f>
        <v>J6202</v>
      </c>
    </row>
    <row r="186" spans="1:8" x14ac:dyDescent="0.35">
      <c r="A186" t="s">
        <v>666</v>
      </c>
      <c r="B186">
        <v>2025</v>
      </c>
      <c r="C186" t="s">
        <v>667</v>
      </c>
      <c r="D186" t="s">
        <v>668</v>
      </c>
      <c r="E186" t="s">
        <v>160</v>
      </c>
      <c r="F186" t="s">
        <v>224</v>
      </c>
      <c r="G186" t="b">
        <f t="shared" si="2"/>
        <v>1</v>
      </c>
      <c r="H186" t="str">
        <f>VLOOKUP(A186,ID_Lookup!A:A,1,FALSE)</f>
        <v>J6203</v>
      </c>
    </row>
    <row r="187" spans="1:8" x14ac:dyDescent="0.35">
      <c r="A187" t="s">
        <v>669</v>
      </c>
      <c r="B187">
        <v>2025</v>
      </c>
      <c r="C187" t="s">
        <v>670</v>
      </c>
      <c r="D187" t="s">
        <v>671</v>
      </c>
      <c r="E187" t="s">
        <v>160</v>
      </c>
      <c r="F187" t="s">
        <v>224</v>
      </c>
      <c r="G187" t="b">
        <f t="shared" si="2"/>
        <v>1</v>
      </c>
      <c r="H187" t="str">
        <f>VLOOKUP(A187,ID_Lookup!A:A,1,FALSE)</f>
        <v>J6204</v>
      </c>
    </row>
    <row r="188" spans="1:8" x14ac:dyDescent="0.35">
      <c r="A188" t="s">
        <v>672</v>
      </c>
      <c r="B188">
        <v>2025</v>
      </c>
      <c r="C188" t="s">
        <v>673</v>
      </c>
      <c r="D188" t="s">
        <v>674</v>
      </c>
      <c r="E188" t="s">
        <v>221</v>
      </c>
      <c r="F188" t="s">
        <v>728</v>
      </c>
      <c r="G188" t="b">
        <f t="shared" si="2"/>
        <v>0</v>
      </c>
      <c r="H188" t="str">
        <f>VLOOKUP(A188,ID_Lookup!A:A,1,FALSE)</f>
        <v>J6205</v>
      </c>
    </row>
    <row r="189" spans="1:8" x14ac:dyDescent="0.35">
      <c r="A189" t="s">
        <v>675</v>
      </c>
      <c r="B189">
        <v>2025</v>
      </c>
      <c r="C189" t="s">
        <v>676</v>
      </c>
      <c r="D189" t="s">
        <v>677</v>
      </c>
      <c r="E189" t="s">
        <v>221</v>
      </c>
      <c r="F189" t="s">
        <v>728</v>
      </c>
      <c r="G189" t="b">
        <f t="shared" si="2"/>
        <v>0</v>
      </c>
      <c r="H189" t="str">
        <f>VLOOKUP(A189,ID_Lookup!A:A,1,FALSE)</f>
        <v>J6206</v>
      </c>
    </row>
    <row r="190" spans="1:8" x14ac:dyDescent="0.35">
      <c r="A190" t="s">
        <v>678</v>
      </c>
      <c r="B190">
        <v>2025</v>
      </c>
      <c r="C190" t="s">
        <v>679</v>
      </c>
      <c r="D190" t="s">
        <v>680</v>
      </c>
      <c r="E190" t="s">
        <v>160</v>
      </c>
      <c r="F190" t="s">
        <v>226</v>
      </c>
      <c r="G190" t="b">
        <f t="shared" si="2"/>
        <v>1</v>
      </c>
      <c r="H190" t="str">
        <f>VLOOKUP(A190,ID_Lookup!A:A,1,FALSE)</f>
        <v>J6207</v>
      </c>
    </row>
    <row r="191" spans="1:8" x14ac:dyDescent="0.35">
      <c r="A191" t="s">
        <v>681</v>
      </c>
      <c r="B191">
        <v>2025</v>
      </c>
      <c r="C191" t="s">
        <v>682</v>
      </c>
      <c r="D191" t="s">
        <v>683</v>
      </c>
      <c r="E191" t="s">
        <v>221</v>
      </c>
      <c r="F191" t="s">
        <v>728</v>
      </c>
      <c r="G191" t="b">
        <f t="shared" si="2"/>
        <v>0</v>
      </c>
      <c r="H191" t="str">
        <f>VLOOKUP(A191,ID_Lookup!A:A,1,FALSE)</f>
        <v>J6208</v>
      </c>
    </row>
    <row r="192" spans="1:8" x14ac:dyDescent="0.35">
      <c r="A192" t="s">
        <v>684</v>
      </c>
      <c r="B192">
        <v>2025</v>
      </c>
      <c r="C192" t="s">
        <v>685</v>
      </c>
      <c r="D192" t="s">
        <v>686</v>
      </c>
      <c r="E192" t="s">
        <v>160</v>
      </c>
      <c r="F192" t="s">
        <v>737</v>
      </c>
      <c r="G192" t="b">
        <f t="shared" si="2"/>
        <v>1</v>
      </c>
      <c r="H192" t="str">
        <f>VLOOKUP(A192,ID_Lookup!A:A,1,FALSE)</f>
        <v>J6209</v>
      </c>
    </row>
    <row r="193" spans="1:8" x14ac:dyDescent="0.35">
      <c r="A193" t="s">
        <v>687</v>
      </c>
      <c r="B193">
        <v>2025</v>
      </c>
      <c r="C193" t="s">
        <v>688</v>
      </c>
      <c r="D193" t="s">
        <v>689</v>
      </c>
      <c r="E193" t="s">
        <v>160</v>
      </c>
      <c r="F193" t="s">
        <v>223</v>
      </c>
      <c r="G193" t="b">
        <f t="shared" si="2"/>
        <v>1</v>
      </c>
      <c r="H193" t="str">
        <f>VLOOKUP(A193,ID_Lookup!A:A,1,FALSE)</f>
        <v>J6210</v>
      </c>
    </row>
    <row r="194" spans="1:8" x14ac:dyDescent="0.35">
      <c r="A194" t="s">
        <v>690</v>
      </c>
      <c r="B194">
        <v>2025</v>
      </c>
      <c r="C194" t="s">
        <v>691</v>
      </c>
      <c r="D194" t="s">
        <v>692</v>
      </c>
      <c r="E194" t="s">
        <v>160</v>
      </c>
      <c r="F194" t="s">
        <v>224</v>
      </c>
      <c r="G194" t="b">
        <f t="shared" si="2"/>
        <v>1</v>
      </c>
      <c r="H194" t="str">
        <f>VLOOKUP(A194,ID_Lookup!A:A,1,FALSE)</f>
        <v>J6211</v>
      </c>
    </row>
    <row r="195" spans="1:8" x14ac:dyDescent="0.35">
      <c r="A195" t="s">
        <v>693</v>
      </c>
      <c r="B195">
        <v>2025</v>
      </c>
      <c r="C195" t="s">
        <v>694</v>
      </c>
      <c r="D195" t="s">
        <v>695</v>
      </c>
      <c r="E195" t="s">
        <v>160</v>
      </c>
      <c r="F195" t="s">
        <v>223</v>
      </c>
      <c r="G195" t="b">
        <f t="shared" ref="G195:G258" si="3">IF(E195="Include", TRUE, FALSE)</f>
        <v>1</v>
      </c>
      <c r="H195" t="str">
        <f>VLOOKUP(A195,ID_Lookup!A:A,1,FALSE)</f>
        <v>J6212</v>
      </c>
    </row>
    <row r="196" spans="1:8" x14ac:dyDescent="0.35">
      <c r="A196" t="s">
        <v>696</v>
      </c>
      <c r="B196">
        <v>2025</v>
      </c>
      <c r="C196" t="s">
        <v>697</v>
      </c>
      <c r="D196" t="s">
        <v>698</v>
      </c>
      <c r="E196" t="s">
        <v>160</v>
      </c>
      <c r="F196" t="s">
        <v>721</v>
      </c>
      <c r="G196" t="b">
        <f t="shared" si="3"/>
        <v>1</v>
      </c>
      <c r="H196" t="str">
        <f>VLOOKUP(A196,ID_Lookup!A:A,1,FALSE)</f>
        <v>J6213</v>
      </c>
    </row>
    <row r="197" spans="1:8" x14ac:dyDescent="0.35">
      <c r="A197" t="s">
        <v>699</v>
      </c>
      <c r="B197">
        <v>2025</v>
      </c>
      <c r="C197" t="s">
        <v>700</v>
      </c>
      <c r="D197" t="s">
        <v>701</v>
      </c>
      <c r="E197" t="s">
        <v>221</v>
      </c>
      <c r="F197" t="s">
        <v>738</v>
      </c>
      <c r="G197" t="b">
        <f t="shared" si="3"/>
        <v>0</v>
      </c>
      <c r="H197" t="str">
        <f>VLOOKUP(A197,ID_Lookup!A:A,1,FALSE)</f>
        <v>J6214</v>
      </c>
    </row>
    <row r="198" spans="1:8" ht="409.5" x14ac:dyDescent="0.35">
      <c r="A198" s="5" t="s">
        <v>702</v>
      </c>
      <c r="B198" s="5">
        <v>2025</v>
      </c>
      <c r="C198" s="5" t="s">
        <v>703</v>
      </c>
      <c r="D198" s="7" t="s">
        <v>704</v>
      </c>
      <c r="E198" s="5" t="s">
        <v>160</v>
      </c>
      <c r="F198" s="5"/>
      <c r="G198" t="b">
        <f t="shared" si="3"/>
        <v>1</v>
      </c>
      <c r="H198" t="str">
        <f>VLOOKUP(A198,ID_Lookup!A:A,1,FALSE)</f>
        <v>J6215</v>
      </c>
    </row>
    <row r="199" spans="1:8" x14ac:dyDescent="0.35">
      <c r="A199" t="s">
        <v>705</v>
      </c>
      <c r="B199">
        <v>2025</v>
      </c>
      <c r="C199" t="s">
        <v>706</v>
      </c>
      <c r="D199" t="s">
        <v>707</v>
      </c>
      <c r="E199" t="s">
        <v>221</v>
      </c>
      <c r="F199" t="s">
        <v>231</v>
      </c>
      <c r="G199" t="b">
        <f t="shared" si="3"/>
        <v>0</v>
      </c>
      <c r="H199" t="str">
        <f>VLOOKUP(A199,ID_Lookup!A:A,1,FALSE)</f>
        <v>J6216</v>
      </c>
    </row>
    <row r="200" spans="1:8" x14ac:dyDescent="0.35">
      <c r="A200" t="s">
        <v>708</v>
      </c>
      <c r="B200">
        <v>2025</v>
      </c>
      <c r="C200" t="s">
        <v>709</v>
      </c>
      <c r="D200" t="s">
        <v>710</v>
      </c>
      <c r="E200" t="s">
        <v>160</v>
      </c>
      <c r="F200" t="s">
        <v>224</v>
      </c>
      <c r="G200" t="b">
        <f t="shared" si="3"/>
        <v>1</v>
      </c>
      <c r="H200" t="str">
        <f>VLOOKUP(A200,ID_Lookup!A:A,1,FALSE)</f>
        <v>J6217</v>
      </c>
    </row>
    <row r="201" spans="1:8" x14ac:dyDescent="0.35">
      <c r="A201" t="s">
        <v>711</v>
      </c>
      <c r="B201">
        <v>2025</v>
      </c>
      <c r="C201" t="s">
        <v>712</v>
      </c>
      <c r="D201" t="s">
        <v>713</v>
      </c>
      <c r="E201" t="s">
        <v>160</v>
      </c>
      <c r="F201" t="s">
        <v>224</v>
      </c>
      <c r="G201" t="b">
        <f t="shared" si="3"/>
        <v>1</v>
      </c>
      <c r="H201" t="str">
        <f>VLOOKUP(A201,ID_Lookup!A:A,1,FALSE)</f>
        <v>J6218</v>
      </c>
    </row>
    <row r="202" spans="1:8" x14ac:dyDescent="0.35">
      <c r="A202" t="s">
        <v>950</v>
      </c>
      <c r="B202">
        <v>2025</v>
      </c>
      <c r="C202" t="s">
        <v>951</v>
      </c>
      <c r="D202" t="s">
        <v>1518</v>
      </c>
      <c r="E202" t="s">
        <v>221</v>
      </c>
      <c r="F202" t="s">
        <v>726</v>
      </c>
      <c r="G202" t="b">
        <f t="shared" si="3"/>
        <v>0</v>
      </c>
      <c r="H202" t="str">
        <f>VLOOKUP(A202,ID_Lookup!A:A,1,FALSE)</f>
        <v>J6219</v>
      </c>
    </row>
    <row r="203" spans="1:8" ht="409.5" x14ac:dyDescent="0.35">
      <c r="A203" t="s">
        <v>953</v>
      </c>
      <c r="B203">
        <v>2025</v>
      </c>
      <c r="C203" t="s">
        <v>954</v>
      </c>
      <c r="D203" s="1" t="s">
        <v>955</v>
      </c>
      <c r="E203" t="s">
        <v>160</v>
      </c>
      <c r="F203" t="s">
        <v>223</v>
      </c>
      <c r="G203" t="b">
        <f t="shared" si="3"/>
        <v>1</v>
      </c>
      <c r="H203" t="str">
        <f>VLOOKUP(A203,ID_Lookup!A:A,1,FALSE)</f>
        <v>J6220</v>
      </c>
    </row>
    <row r="204" spans="1:8" x14ac:dyDescent="0.35">
      <c r="A204" s="5" t="s">
        <v>957</v>
      </c>
      <c r="B204" s="5">
        <v>2025</v>
      </c>
      <c r="C204" s="5" t="s">
        <v>954</v>
      </c>
      <c r="D204" s="5" t="s">
        <v>1519</v>
      </c>
      <c r="E204" s="5" t="s">
        <v>160</v>
      </c>
      <c r="F204" s="5"/>
      <c r="G204" t="b">
        <f t="shared" si="3"/>
        <v>1</v>
      </c>
      <c r="H204" t="str">
        <f>VLOOKUP(A204,ID_Lookup!A:A,1,FALSE)</f>
        <v>J6221</v>
      </c>
    </row>
    <row r="205" spans="1:8" x14ac:dyDescent="0.35">
      <c r="A205" t="s">
        <v>959</v>
      </c>
      <c r="B205">
        <v>2025</v>
      </c>
      <c r="C205" t="s">
        <v>960</v>
      </c>
      <c r="D205" t="s">
        <v>1520</v>
      </c>
      <c r="E205" t="s">
        <v>160</v>
      </c>
      <c r="F205" t="s">
        <v>720</v>
      </c>
      <c r="G205" t="b">
        <f t="shared" si="3"/>
        <v>1</v>
      </c>
      <c r="H205" t="str">
        <f>VLOOKUP(A205,ID_Lookup!A:A,1,FALSE)</f>
        <v>J6222</v>
      </c>
    </row>
    <row r="206" spans="1:8" ht="409.5" x14ac:dyDescent="0.35">
      <c r="A206" t="s">
        <v>963</v>
      </c>
      <c r="B206">
        <v>2025</v>
      </c>
      <c r="C206" t="s">
        <v>964</v>
      </c>
      <c r="D206" s="1" t="s">
        <v>965</v>
      </c>
      <c r="E206" t="s">
        <v>221</v>
      </c>
      <c r="F206" t="s">
        <v>728</v>
      </c>
      <c r="G206" t="b">
        <f t="shared" si="3"/>
        <v>0</v>
      </c>
      <c r="H206" t="str">
        <f>VLOOKUP(A206,ID_Lookup!A:A,1,FALSE)</f>
        <v>J6223</v>
      </c>
    </row>
    <row r="207" spans="1:8" x14ac:dyDescent="0.35">
      <c r="A207" t="s">
        <v>966</v>
      </c>
      <c r="B207">
        <v>2025</v>
      </c>
      <c r="C207" t="s">
        <v>967</v>
      </c>
      <c r="D207" t="s">
        <v>1521</v>
      </c>
      <c r="E207" t="s">
        <v>160</v>
      </c>
      <c r="F207" t="s">
        <v>223</v>
      </c>
      <c r="G207" t="b">
        <f t="shared" si="3"/>
        <v>1</v>
      </c>
      <c r="H207" t="str">
        <f>VLOOKUP(A207,ID_Lookup!A:A,1,FALSE)</f>
        <v>J6224</v>
      </c>
    </row>
    <row r="208" spans="1:8" x14ac:dyDescent="0.35">
      <c r="A208" t="s">
        <v>970</v>
      </c>
      <c r="B208">
        <v>2025</v>
      </c>
      <c r="C208" t="s">
        <v>971</v>
      </c>
      <c r="D208" t="s">
        <v>1522</v>
      </c>
      <c r="E208" t="s">
        <v>160</v>
      </c>
      <c r="F208" t="s">
        <v>223</v>
      </c>
      <c r="G208" t="b">
        <f t="shared" si="3"/>
        <v>1</v>
      </c>
      <c r="H208" t="str">
        <f>VLOOKUP(A208,ID_Lookup!A:A,1,FALSE)</f>
        <v>J6225</v>
      </c>
    </row>
    <row r="209" spans="1:8" x14ac:dyDescent="0.35">
      <c r="A209" t="s">
        <v>974</v>
      </c>
      <c r="B209">
        <v>2025</v>
      </c>
      <c r="C209" t="s">
        <v>975</v>
      </c>
      <c r="D209" t="s">
        <v>1523</v>
      </c>
      <c r="E209" t="s">
        <v>160</v>
      </c>
      <c r="F209" t="s">
        <v>725</v>
      </c>
      <c r="G209" t="b">
        <f t="shared" si="3"/>
        <v>1</v>
      </c>
      <c r="H209" t="str">
        <f>VLOOKUP(A209,ID_Lookup!A:A,1,FALSE)</f>
        <v>J6226</v>
      </c>
    </row>
    <row r="210" spans="1:8" x14ac:dyDescent="0.35">
      <c r="A210" t="s">
        <v>978</v>
      </c>
      <c r="B210">
        <v>2025</v>
      </c>
      <c r="C210" t="s">
        <v>979</v>
      </c>
      <c r="D210" t="s">
        <v>1524</v>
      </c>
      <c r="E210" t="s">
        <v>221</v>
      </c>
      <c r="F210" t="s">
        <v>738</v>
      </c>
      <c r="G210" t="b">
        <f t="shared" si="3"/>
        <v>0</v>
      </c>
      <c r="H210" t="str">
        <f>VLOOKUP(A210,ID_Lookup!A:A,1,FALSE)</f>
        <v>J6227</v>
      </c>
    </row>
    <row r="211" spans="1:8" x14ac:dyDescent="0.35">
      <c r="A211" t="s">
        <v>982</v>
      </c>
      <c r="B211">
        <v>2025</v>
      </c>
      <c r="C211" t="s">
        <v>983</v>
      </c>
      <c r="D211" t="s">
        <v>1525</v>
      </c>
      <c r="E211" t="s">
        <v>221</v>
      </c>
      <c r="F211" t="s">
        <v>222</v>
      </c>
      <c r="G211" t="b">
        <f t="shared" si="3"/>
        <v>0</v>
      </c>
      <c r="H211" t="str">
        <f>VLOOKUP(A211,ID_Lookup!A:A,1,FALSE)</f>
        <v>J6228</v>
      </c>
    </row>
    <row r="212" spans="1:8" ht="409.5" x14ac:dyDescent="0.35">
      <c r="A212" t="s">
        <v>985</v>
      </c>
      <c r="B212">
        <v>2025</v>
      </c>
      <c r="C212" t="s">
        <v>986</v>
      </c>
      <c r="D212" s="1" t="s">
        <v>987</v>
      </c>
      <c r="E212" t="s">
        <v>221</v>
      </c>
      <c r="F212" t="s">
        <v>1636</v>
      </c>
      <c r="G212" t="b">
        <f t="shared" si="3"/>
        <v>0</v>
      </c>
      <c r="H212" t="str">
        <f>VLOOKUP(A212,ID_Lookup!A:A,1,FALSE)</f>
        <v>J6229</v>
      </c>
    </row>
    <row r="213" spans="1:8" x14ac:dyDescent="0.35">
      <c r="A213" t="s">
        <v>989</v>
      </c>
      <c r="B213">
        <v>2025</v>
      </c>
      <c r="C213" t="s">
        <v>990</v>
      </c>
      <c r="D213" t="s">
        <v>1526</v>
      </c>
      <c r="E213" t="s">
        <v>221</v>
      </c>
      <c r="F213" t="s">
        <v>728</v>
      </c>
      <c r="G213" t="b">
        <f t="shared" si="3"/>
        <v>0</v>
      </c>
      <c r="H213" t="str">
        <f>VLOOKUP(A213,ID_Lookup!A:A,1,FALSE)</f>
        <v>J6230</v>
      </c>
    </row>
    <row r="214" spans="1:8" ht="409.5" x14ac:dyDescent="0.35">
      <c r="A214" t="s">
        <v>993</v>
      </c>
      <c r="B214">
        <v>2025</v>
      </c>
      <c r="C214" t="s">
        <v>994</v>
      </c>
      <c r="D214" s="1" t="s">
        <v>995</v>
      </c>
      <c r="E214" t="s">
        <v>221</v>
      </c>
      <c r="F214" t="s">
        <v>1637</v>
      </c>
      <c r="G214" t="b">
        <f t="shared" si="3"/>
        <v>0</v>
      </c>
      <c r="H214" t="str">
        <f>VLOOKUP(A214,ID_Lookup!A:A,1,FALSE)</f>
        <v>J6231</v>
      </c>
    </row>
    <row r="215" spans="1:8" x14ac:dyDescent="0.35">
      <c r="A215" t="s">
        <v>997</v>
      </c>
      <c r="B215">
        <v>2025</v>
      </c>
      <c r="C215" t="s">
        <v>998</v>
      </c>
      <c r="D215" t="s">
        <v>1527</v>
      </c>
      <c r="E215" t="s">
        <v>160</v>
      </c>
      <c r="F215" t="s">
        <v>226</v>
      </c>
      <c r="G215" t="b">
        <f t="shared" si="3"/>
        <v>1</v>
      </c>
      <c r="H215" t="str">
        <f>VLOOKUP(A215,ID_Lookup!A:A,1,FALSE)</f>
        <v>J6232</v>
      </c>
    </row>
    <row r="216" spans="1:8" x14ac:dyDescent="0.35">
      <c r="A216" t="s">
        <v>1001</v>
      </c>
      <c r="B216">
        <v>2025</v>
      </c>
      <c r="C216" t="s">
        <v>1002</v>
      </c>
      <c r="D216" t="s">
        <v>1528</v>
      </c>
      <c r="E216" t="s">
        <v>160</v>
      </c>
      <c r="F216" t="s">
        <v>224</v>
      </c>
      <c r="G216" t="b">
        <f t="shared" si="3"/>
        <v>1</v>
      </c>
      <c r="H216" t="str">
        <f>VLOOKUP(A216,ID_Lookup!A:A,1,FALSE)</f>
        <v>J6233</v>
      </c>
    </row>
    <row r="217" spans="1:8" x14ac:dyDescent="0.35">
      <c r="A217" t="s">
        <v>1004</v>
      </c>
      <c r="B217">
        <v>2025</v>
      </c>
      <c r="C217" t="s">
        <v>1005</v>
      </c>
      <c r="D217" t="s">
        <v>1006</v>
      </c>
      <c r="E217" t="s">
        <v>160</v>
      </c>
      <c r="F217" t="s">
        <v>223</v>
      </c>
      <c r="G217" t="b">
        <f t="shared" si="3"/>
        <v>1</v>
      </c>
      <c r="H217" t="str">
        <f>VLOOKUP(A217,ID_Lookup!A:A,1,FALSE)</f>
        <v>J6234</v>
      </c>
    </row>
    <row r="218" spans="1:8" x14ac:dyDescent="0.35">
      <c r="A218" t="s">
        <v>1008</v>
      </c>
      <c r="B218">
        <v>2025</v>
      </c>
      <c r="C218" t="s">
        <v>1009</v>
      </c>
      <c r="D218" t="s">
        <v>1529</v>
      </c>
      <c r="E218" t="s">
        <v>160</v>
      </c>
      <c r="F218" t="s">
        <v>230</v>
      </c>
      <c r="G218" t="b">
        <f t="shared" si="3"/>
        <v>1</v>
      </c>
      <c r="H218" t="str">
        <f>VLOOKUP(A218,ID_Lookup!A:A,1,FALSE)</f>
        <v>J6235</v>
      </c>
    </row>
    <row r="219" spans="1:8" x14ac:dyDescent="0.35">
      <c r="A219" t="s">
        <v>1012</v>
      </c>
      <c r="B219">
        <v>2025</v>
      </c>
      <c r="C219" t="s">
        <v>1013</v>
      </c>
      <c r="D219" t="s">
        <v>1014</v>
      </c>
      <c r="E219" t="s">
        <v>160</v>
      </c>
      <c r="F219" t="s">
        <v>223</v>
      </c>
      <c r="G219" t="b">
        <f t="shared" si="3"/>
        <v>1</v>
      </c>
      <c r="H219" t="str">
        <f>VLOOKUP(A219,ID_Lookup!A:A,1,FALSE)</f>
        <v>J6236</v>
      </c>
    </row>
    <row r="220" spans="1:8" ht="409.5" x14ac:dyDescent="0.35">
      <c r="A220" t="s">
        <v>1016</v>
      </c>
      <c r="B220">
        <v>2025</v>
      </c>
      <c r="C220" t="s">
        <v>1017</v>
      </c>
      <c r="D220" s="1" t="s">
        <v>1018</v>
      </c>
      <c r="E220" t="s">
        <v>160</v>
      </c>
      <c r="F220" t="s">
        <v>226</v>
      </c>
      <c r="G220" t="b">
        <f t="shared" si="3"/>
        <v>1</v>
      </c>
      <c r="H220" t="str">
        <f>VLOOKUP(A220,ID_Lookup!A:A,1,FALSE)</f>
        <v>J6237</v>
      </c>
    </row>
    <row r="221" spans="1:8" ht="409.5" x14ac:dyDescent="0.35">
      <c r="A221" t="s">
        <v>1020</v>
      </c>
      <c r="B221">
        <v>2025</v>
      </c>
      <c r="C221" t="s">
        <v>1021</v>
      </c>
      <c r="D221" s="1" t="s">
        <v>1022</v>
      </c>
      <c r="E221" t="s">
        <v>221</v>
      </c>
      <c r="F221" t="s">
        <v>1638</v>
      </c>
      <c r="G221" t="b">
        <f t="shared" si="3"/>
        <v>0</v>
      </c>
      <c r="H221" t="str">
        <f>VLOOKUP(A221,ID_Lookup!A:A,1,FALSE)</f>
        <v>J6238</v>
      </c>
    </row>
    <row r="222" spans="1:8" x14ac:dyDescent="0.35">
      <c r="A222" t="s">
        <v>1023</v>
      </c>
      <c r="B222">
        <v>2025</v>
      </c>
      <c r="C222" t="s">
        <v>1024</v>
      </c>
      <c r="D222" t="s">
        <v>1530</v>
      </c>
      <c r="E222" t="s">
        <v>160</v>
      </c>
      <c r="F222" t="s">
        <v>223</v>
      </c>
      <c r="G222" t="b">
        <f t="shared" si="3"/>
        <v>1</v>
      </c>
      <c r="H222" t="str">
        <f>VLOOKUP(A222,ID_Lookup!A:A,1,FALSE)</f>
        <v>J6239</v>
      </c>
    </row>
    <row r="223" spans="1:8" x14ac:dyDescent="0.35">
      <c r="A223" t="s">
        <v>1026</v>
      </c>
      <c r="B223">
        <v>2025</v>
      </c>
      <c r="C223" t="s">
        <v>1027</v>
      </c>
      <c r="D223" t="s">
        <v>1531</v>
      </c>
      <c r="E223" t="s">
        <v>221</v>
      </c>
      <c r="F223" t="s">
        <v>231</v>
      </c>
      <c r="G223" t="b">
        <f t="shared" si="3"/>
        <v>0</v>
      </c>
      <c r="H223" t="str">
        <f>VLOOKUP(A223,ID_Lookup!A:A,1,FALSE)</f>
        <v>J6240</v>
      </c>
    </row>
    <row r="224" spans="1:8" x14ac:dyDescent="0.35">
      <c r="A224" t="s">
        <v>1029</v>
      </c>
      <c r="B224">
        <v>2025</v>
      </c>
      <c r="C224" t="s">
        <v>1532</v>
      </c>
      <c r="D224" t="s">
        <v>1533</v>
      </c>
      <c r="E224" t="s">
        <v>221</v>
      </c>
      <c r="F224" t="s">
        <v>728</v>
      </c>
      <c r="G224" t="b">
        <f t="shared" si="3"/>
        <v>0</v>
      </c>
      <c r="H224" t="str">
        <f>VLOOKUP(A224,ID_Lookup!A:A,1,FALSE)</f>
        <v>J6241</v>
      </c>
    </row>
    <row r="225" spans="1:8" x14ac:dyDescent="0.35">
      <c r="A225" t="s">
        <v>1032</v>
      </c>
      <c r="B225">
        <v>2025</v>
      </c>
      <c r="C225" t="s">
        <v>1033</v>
      </c>
      <c r="D225" t="s">
        <v>1534</v>
      </c>
      <c r="E225" t="s">
        <v>160</v>
      </c>
      <c r="F225" t="s">
        <v>223</v>
      </c>
      <c r="G225" t="b">
        <f t="shared" si="3"/>
        <v>1</v>
      </c>
      <c r="H225" t="str">
        <f>VLOOKUP(A225,ID_Lookup!A:A,1,FALSE)</f>
        <v>J6242</v>
      </c>
    </row>
    <row r="226" spans="1:8" x14ac:dyDescent="0.35">
      <c r="A226" t="s">
        <v>1036</v>
      </c>
      <c r="B226">
        <v>2025</v>
      </c>
      <c r="C226" t="s">
        <v>1037</v>
      </c>
      <c r="D226" t="s">
        <v>1535</v>
      </c>
      <c r="E226" t="s">
        <v>160</v>
      </c>
      <c r="F226" t="s">
        <v>223</v>
      </c>
      <c r="G226" t="b">
        <f t="shared" si="3"/>
        <v>1</v>
      </c>
      <c r="H226" t="str">
        <f>VLOOKUP(A226,ID_Lookup!A:A,1,FALSE)</f>
        <v>J6243</v>
      </c>
    </row>
    <row r="227" spans="1:8" x14ac:dyDescent="0.35">
      <c r="A227" t="s">
        <v>1040</v>
      </c>
      <c r="B227">
        <v>2025</v>
      </c>
      <c r="C227" t="s">
        <v>1041</v>
      </c>
      <c r="D227" t="s">
        <v>1536</v>
      </c>
      <c r="E227" t="s">
        <v>160</v>
      </c>
      <c r="F227" t="s">
        <v>226</v>
      </c>
      <c r="G227" t="b">
        <f t="shared" si="3"/>
        <v>1</v>
      </c>
      <c r="H227" t="str">
        <f>VLOOKUP(A227,ID_Lookup!A:A,1,FALSE)</f>
        <v>J6244</v>
      </c>
    </row>
    <row r="228" spans="1:8" x14ac:dyDescent="0.35">
      <c r="A228" t="s">
        <v>1044</v>
      </c>
      <c r="B228">
        <v>2025</v>
      </c>
      <c r="C228" t="s">
        <v>1045</v>
      </c>
      <c r="D228" t="s">
        <v>1537</v>
      </c>
      <c r="E228" t="s">
        <v>160</v>
      </c>
      <c r="F228" t="s">
        <v>223</v>
      </c>
      <c r="G228" t="b">
        <f t="shared" si="3"/>
        <v>1</v>
      </c>
      <c r="H228" t="str">
        <f>VLOOKUP(A228,ID_Lookup!A:A,1,FALSE)</f>
        <v>J6245</v>
      </c>
    </row>
    <row r="229" spans="1:8" x14ac:dyDescent="0.35">
      <c r="A229" t="s">
        <v>1048</v>
      </c>
      <c r="B229">
        <v>2025</v>
      </c>
      <c r="C229" t="s">
        <v>1538</v>
      </c>
      <c r="D229" t="s">
        <v>1539</v>
      </c>
      <c r="E229" t="s">
        <v>160</v>
      </c>
      <c r="F229" t="s">
        <v>224</v>
      </c>
      <c r="G229" t="b">
        <f t="shared" si="3"/>
        <v>1</v>
      </c>
      <c r="H229" t="str">
        <f>VLOOKUP(A229,ID_Lookup!A:A,1,FALSE)</f>
        <v>J6246</v>
      </c>
    </row>
    <row r="230" spans="1:8" x14ac:dyDescent="0.35">
      <c r="A230" t="s">
        <v>1051</v>
      </c>
      <c r="B230">
        <v>2025</v>
      </c>
      <c r="C230" t="s">
        <v>1052</v>
      </c>
      <c r="D230" t="s">
        <v>549</v>
      </c>
      <c r="E230" t="s">
        <v>160</v>
      </c>
      <c r="F230" t="s">
        <v>223</v>
      </c>
      <c r="G230" t="b">
        <f t="shared" si="3"/>
        <v>1</v>
      </c>
      <c r="H230" t="str">
        <f>VLOOKUP(A230,ID_Lookup!A:A,1,FALSE)</f>
        <v>J6247</v>
      </c>
    </row>
    <row r="231" spans="1:8" x14ac:dyDescent="0.35">
      <c r="A231" t="s">
        <v>1054</v>
      </c>
      <c r="B231">
        <v>2025</v>
      </c>
      <c r="C231" t="s">
        <v>1055</v>
      </c>
      <c r="D231" t="s">
        <v>1540</v>
      </c>
      <c r="E231" t="s">
        <v>160</v>
      </c>
      <c r="F231" t="s">
        <v>223</v>
      </c>
      <c r="G231" t="b">
        <f t="shared" si="3"/>
        <v>1</v>
      </c>
      <c r="H231" t="str">
        <f>VLOOKUP(A231,ID_Lookup!A:A,1,FALSE)</f>
        <v>J6248</v>
      </c>
    </row>
    <row r="232" spans="1:8" x14ac:dyDescent="0.35">
      <c r="A232" t="s">
        <v>1058</v>
      </c>
      <c r="B232">
        <v>2025</v>
      </c>
      <c r="C232" t="s">
        <v>1059</v>
      </c>
      <c r="D232" t="s">
        <v>1541</v>
      </c>
      <c r="E232" t="s">
        <v>160</v>
      </c>
      <c r="F232" t="s">
        <v>1639</v>
      </c>
      <c r="G232" t="b">
        <f t="shared" si="3"/>
        <v>1</v>
      </c>
      <c r="H232" t="str">
        <f>VLOOKUP(A232,ID_Lookup!A:A,1,FALSE)</f>
        <v>J6249</v>
      </c>
    </row>
    <row r="233" spans="1:8" x14ac:dyDescent="0.35">
      <c r="A233" t="s">
        <v>1062</v>
      </c>
      <c r="B233">
        <v>2025</v>
      </c>
      <c r="C233" t="s">
        <v>1063</v>
      </c>
      <c r="D233" t="s">
        <v>1542</v>
      </c>
      <c r="E233" t="s">
        <v>160</v>
      </c>
      <c r="F233" t="s">
        <v>223</v>
      </c>
      <c r="G233" t="b">
        <f t="shared" si="3"/>
        <v>1</v>
      </c>
      <c r="H233" t="str">
        <f>VLOOKUP(A233,ID_Lookup!A:A,1,FALSE)</f>
        <v>J6250</v>
      </c>
    </row>
    <row r="234" spans="1:8" x14ac:dyDescent="0.35">
      <c r="A234" t="s">
        <v>1066</v>
      </c>
      <c r="B234">
        <v>2025</v>
      </c>
      <c r="C234" t="s">
        <v>1067</v>
      </c>
      <c r="D234" t="s">
        <v>1543</v>
      </c>
      <c r="E234" t="s">
        <v>221</v>
      </c>
      <c r="F234" t="s">
        <v>231</v>
      </c>
      <c r="G234" t="b">
        <f t="shared" si="3"/>
        <v>0</v>
      </c>
      <c r="H234" t="str">
        <f>VLOOKUP(A234,ID_Lookup!A:A,1,FALSE)</f>
        <v>J6251</v>
      </c>
    </row>
    <row r="235" spans="1:8" ht="409.5" x14ac:dyDescent="0.35">
      <c r="A235" t="s">
        <v>1070</v>
      </c>
      <c r="B235">
        <v>2025</v>
      </c>
      <c r="C235" t="s">
        <v>1071</v>
      </c>
      <c r="D235" s="1" t="s">
        <v>1072</v>
      </c>
      <c r="E235" t="s">
        <v>160</v>
      </c>
      <c r="F235" t="s">
        <v>223</v>
      </c>
      <c r="G235" t="b">
        <f t="shared" si="3"/>
        <v>1</v>
      </c>
      <c r="H235" t="str">
        <f>VLOOKUP(A235,ID_Lookup!A:A,1,FALSE)</f>
        <v>J6252</v>
      </c>
    </row>
    <row r="236" spans="1:8" x14ac:dyDescent="0.35">
      <c r="A236" t="s">
        <v>1074</v>
      </c>
      <c r="B236">
        <v>2025</v>
      </c>
      <c r="C236" t="s">
        <v>1075</v>
      </c>
      <c r="D236" t="s">
        <v>1544</v>
      </c>
      <c r="E236" t="s">
        <v>221</v>
      </c>
      <c r="F236" t="s">
        <v>231</v>
      </c>
      <c r="G236" t="b">
        <f t="shared" si="3"/>
        <v>0</v>
      </c>
      <c r="H236" t="str">
        <f>VLOOKUP(A236,ID_Lookup!A:A,1,FALSE)</f>
        <v>J6253</v>
      </c>
    </row>
    <row r="237" spans="1:8" x14ac:dyDescent="0.35">
      <c r="A237" t="s">
        <v>1078</v>
      </c>
      <c r="B237">
        <v>2025</v>
      </c>
      <c r="C237" t="s">
        <v>1079</v>
      </c>
      <c r="D237" t="s">
        <v>1080</v>
      </c>
      <c r="E237" t="s">
        <v>160</v>
      </c>
      <c r="F237" t="s">
        <v>224</v>
      </c>
      <c r="G237" t="b">
        <f t="shared" si="3"/>
        <v>1</v>
      </c>
      <c r="H237" t="str">
        <f>VLOOKUP(A237,ID_Lookup!A:A,1,FALSE)</f>
        <v>J6254</v>
      </c>
    </row>
    <row r="238" spans="1:8" x14ac:dyDescent="0.35">
      <c r="A238" t="s">
        <v>1081</v>
      </c>
      <c r="B238">
        <v>2025</v>
      </c>
      <c r="C238" t="s">
        <v>1082</v>
      </c>
      <c r="D238" t="s">
        <v>1545</v>
      </c>
      <c r="E238" t="s">
        <v>221</v>
      </c>
      <c r="F238" t="s">
        <v>728</v>
      </c>
      <c r="G238" t="b">
        <f t="shared" si="3"/>
        <v>0</v>
      </c>
      <c r="H238" t="str">
        <f>VLOOKUP(A238,ID_Lookup!A:A,1,FALSE)</f>
        <v>J6255</v>
      </c>
    </row>
    <row r="239" spans="1:8" x14ac:dyDescent="0.35">
      <c r="A239" t="s">
        <v>1084</v>
      </c>
      <c r="B239">
        <v>2025</v>
      </c>
      <c r="C239" t="s">
        <v>1085</v>
      </c>
      <c r="D239" t="s">
        <v>1546</v>
      </c>
      <c r="E239" t="s">
        <v>160</v>
      </c>
      <c r="F239" t="s">
        <v>223</v>
      </c>
      <c r="G239" t="b">
        <f t="shared" si="3"/>
        <v>1</v>
      </c>
      <c r="H239" t="str">
        <f>VLOOKUP(A239,ID_Lookup!A:A,1,FALSE)</f>
        <v>J6256</v>
      </c>
    </row>
    <row r="240" spans="1:8" x14ac:dyDescent="0.35">
      <c r="A240" t="s">
        <v>1088</v>
      </c>
      <c r="B240">
        <v>2025</v>
      </c>
      <c r="C240" t="s">
        <v>1547</v>
      </c>
      <c r="D240" t="s">
        <v>1548</v>
      </c>
      <c r="E240" t="s">
        <v>160</v>
      </c>
      <c r="F240" t="s">
        <v>224</v>
      </c>
      <c r="G240" t="b">
        <f t="shared" si="3"/>
        <v>1</v>
      </c>
      <c r="H240" t="str">
        <f>VLOOKUP(A240,ID_Lookup!A:A,1,FALSE)</f>
        <v>J6257</v>
      </c>
    </row>
    <row r="241" spans="1:8" x14ac:dyDescent="0.35">
      <c r="A241" t="s">
        <v>1092</v>
      </c>
      <c r="B241">
        <v>2025</v>
      </c>
      <c r="C241" t="s">
        <v>1549</v>
      </c>
      <c r="D241" t="s">
        <v>1550</v>
      </c>
      <c r="E241" t="s">
        <v>160</v>
      </c>
      <c r="F241" t="s">
        <v>224</v>
      </c>
      <c r="G241" t="b">
        <f t="shared" si="3"/>
        <v>1</v>
      </c>
      <c r="H241" t="str">
        <f>VLOOKUP(A241,ID_Lookup!A:A,1,FALSE)</f>
        <v>J6258</v>
      </c>
    </row>
    <row r="242" spans="1:8" x14ac:dyDescent="0.35">
      <c r="A242" t="s">
        <v>1095</v>
      </c>
      <c r="B242">
        <v>2025</v>
      </c>
      <c r="C242" t="s">
        <v>1096</v>
      </c>
      <c r="D242" t="s">
        <v>1551</v>
      </c>
      <c r="E242" t="s">
        <v>160</v>
      </c>
      <c r="F242" t="s">
        <v>223</v>
      </c>
      <c r="G242" t="b">
        <f t="shared" si="3"/>
        <v>1</v>
      </c>
      <c r="H242" t="str">
        <f>VLOOKUP(A242,ID_Lookup!A:A,1,FALSE)</f>
        <v>J6259</v>
      </c>
    </row>
    <row r="243" spans="1:8" x14ac:dyDescent="0.35">
      <c r="A243" t="s">
        <v>1099</v>
      </c>
      <c r="B243">
        <v>2025</v>
      </c>
      <c r="C243" t="s">
        <v>1100</v>
      </c>
      <c r="D243" t="s">
        <v>1552</v>
      </c>
      <c r="E243" t="s">
        <v>221</v>
      </c>
      <c r="F243" t="s">
        <v>728</v>
      </c>
      <c r="G243" t="b">
        <f t="shared" si="3"/>
        <v>0</v>
      </c>
      <c r="H243" t="str">
        <f>VLOOKUP(A243,ID_Lookup!A:A,1,FALSE)</f>
        <v>J6260</v>
      </c>
    </row>
    <row r="244" spans="1:8" x14ac:dyDescent="0.35">
      <c r="A244" t="s">
        <v>1102</v>
      </c>
      <c r="B244">
        <v>2025</v>
      </c>
      <c r="C244" t="s">
        <v>1103</v>
      </c>
      <c r="D244" t="s">
        <v>1553</v>
      </c>
      <c r="E244" t="s">
        <v>160</v>
      </c>
      <c r="F244" t="s">
        <v>224</v>
      </c>
      <c r="G244" t="b">
        <f t="shared" si="3"/>
        <v>1</v>
      </c>
      <c r="H244" t="str">
        <f>VLOOKUP(A244,ID_Lookup!A:A,1,FALSE)</f>
        <v>J6261</v>
      </c>
    </row>
    <row r="245" spans="1:8" x14ac:dyDescent="0.35">
      <c r="A245" t="s">
        <v>1105</v>
      </c>
      <c r="B245">
        <v>2025</v>
      </c>
      <c r="C245" t="s">
        <v>1106</v>
      </c>
      <c r="D245" t="s">
        <v>1554</v>
      </c>
      <c r="E245" t="s">
        <v>160</v>
      </c>
      <c r="F245" t="s">
        <v>1640</v>
      </c>
      <c r="G245" t="b">
        <f t="shared" si="3"/>
        <v>1</v>
      </c>
      <c r="H245" t="str">
        <f>VLOOKUP(A245,ID_Lookup!A:A,1,FALSE)</f>
        <v>J6262</v>
      </c>
    </row>
    <row r="246" spans="1:8" x14ac:dyDescent="0.35">
      <c r="A246" t="s">
        <v>1109</v>
      </c>
      <c r="B246">
        <v>2025</v>
      </c>
      <c r="C246" t="s">
        <v>1110</v>
      </c>
      <c r="D246" t="s">
        <v>1555</v>
      </c>
      <c r="E246" t="s">
        <v>160</v>
      </c>
      <c r="F246" t="s">
        <v>224</v>
      </c>
      <c r="G246" t="b">
        <f t="shared" si="3"/>
        <v>1</v>
      </c>
      <c r="H246" t="str">
        <f>VLOOKUP(A246,ID_Lookup!A:A,1,FALSE)</f>
        <v>J6263</v>
      </c>
    </row>
    <row r="247" spans="1:8" x14ac:dyDescent="0.35">
      <c r="A247" t="s">
        <v>1113</v>
      </c>
      <c r="B247">
        <v>2025</v>
      </c>
      <c r="C247" t="s">
        <v>1114</v>
      </c>
      <c r="D247" t="s">
        <v>1556</v>
      </c>
      <c r="E247" t="s">
        <v>160</v>
      </c>
      <c r="F247" t="s">
        <v>223</v>
      </c>
      <c r="G247" t="b">
        <f t="shared" si="3"/>
        <v>1</v>
      </c>
      <c r="H247" t="str">
        <f>VLOOKUP(A247,ID_Lookup!A:A,1,FALSE)</f>
        <v>J6264</v>
      </c>
    </row>
    <row r="248" spans="1:8" x14ac:dyDescent="0.35">
      <c r="A248" t="s">
        <v>1117</v>
      </c>
      <c r="B248">
        <v>2025</v>
      </c>
      <c r="C248" t="s">
        <v>1118</v>
      </c>
      <c r="D248" t="s">
        <v>1119</v>
      </c>
      <c r="E248" t="s">
        <v>160</v>
      </c>
      <c r="F248" t="s">
        <v>720</v>
      </c>
      <c r="G248" t="b">
        <f t="shared" si="3"/>
        <v>1</v>
      </c>
      <c r="H248" t="str">
        <f>VLOOKUP(A248,ID_Lookup!A:A,1,FALSE)</f>
        <v>J6265</v>
      </c>
    </row>
    <row r="249" spans="1:8" x14ac:dyDescent="0.35">
      <c r="A249" t="s">
        <v>1121</v>
      </c>
      <c r="B249">
        <v>2025</v>
      </c>
      <c r="C249" t="s">
        <v>1122</v>
      </c>
      <c r="D249" t="s">
        <v>1557</v>
      </c>
      <c r="E249" t="s">
        <v>221</v>
      </c>
      <c r="F249" t="s">
        <v>1637</v>
      </c>
      <c r="G249" t="b">
        <f t="shared" si="3"/>
        <v>0</v>
      </c>
      <c r="H249" t="str">
        <f>VLOOKUP(A249,ID_Lookup!A:A,1,FALSE)</f>
        <v>J6266</v>
      </c>
    </row>
    <row r="250" spans="1:8" x14ac:dyDescent="0.35">
      <c r="A250" t="s">
        <v>1124</v>
      </c>
      <c r="B250">
        <v>2025</v>
      </c>
      <c r="C250" t="s">
        <v>1125</v>
      </c>
      <c r="D250" t="s">
        <v>1126</v>
      </c>
      <c r="E250" t="s">
        <v>160</v>
      </c>
      <c r="F250" t="s">
        <v>725</v>
      </c>
      <c r="G250" t="b">
        <f t="shared" si="3"/>
        <v>1</v>
      </c>
      <c r="H250" t="str">
        <f>VLOOKUP(A250,ID_Lookup!A:A,1,FALSE)</f>
        <v>J6267</v>
      </c>
    </row>
    <row r="251" spans="1:8" x14ac:dyDescent="0.35">
      <c r="A251" t="s">
        <v>1128</v>
      </c>
      <c r="B251">
        <v>2025</v>
      </c>
      <c r="C251" t="s">
        <v>1129</v>
      </c>
      <c r="D251" t="s">
        <v>1558</v>
      </c>
      <c r="E251" t="s">
        <v>160</v>
      </c>
      <c r="F251" t="s">
        <v>223</v>
      </c>
      <c r="G251" t="b">
        <f t="shared" si="3"/>
        <v>1</v>
      </c>
      <c r="H251" t="str">
        <f>VLOOKUP(A251,ID_Lookup!A:A,1,FALSE)</f>
        <v>J6268</v>
      </c>
    </row>
    <row r="252" spans="1:8" ht="409.5" x14ac:dyDescent="0.35">
      <c r="A252" t="s">
        <v>1132</v>
      </c>
      <c r="B252">
        <v>2025</v>
      </c>
      <c r="C252" t="s">
        <v>1133</v>
      </c>
      <c r="D252" s="1" t="s">
        <v>1134</v>
      </c>
      <c r="E252" t="s">
        <v>221</v>
      </c>
      <c r="F252" t="s">
        <v>738</v>
      </c>
      <c r="G252" t="b">
        <f t="shared" si="3"/>
        <v>0</v>
      </c>
      <c r="H252" t="str">
        <f>VLOOKUP(A252,ID_Lookup!A:A,1,FALSE)</f>
        <v>J6269</v>
      </c>
    </row>
    <row r="253" spans="1:8" x14ac:dyDescent="0.35">
      <c r="A253" t="s">
        <v>1136</v>
      </c>
      <c r="B253">
        <v>2025</v>
      </c>
      <c r="C253" t="s">
        <v>1137</v>
      </c>
      <c r="D253" t="s">
        <v>1138</v>
      </c>
      <c r="E253" t="s">
        <v>221</v>
      </c>
      <c r="F253" t="s">
        <v>726</v>
      </c>
      <c r="G253" t="b">
        <f t="shared" si="3"/>
        <v>0</v>
      </c>
      <c r="H253" t="str">
        <f>VLOOKUP(A253,ID_Lookup!A:A,1,FALSE)</f>
        <v>J6270</v>
      </c>
    </row>
    <row r="254" spans="1:8" x14ac:dyDescent="0.35">
      <c r="A254" t="s">
        <v>1140</v>
      </c>
      <c r="B254">
        <v>2025</v>
      </c>
      <c r="C254" t="s">
        <v>1141</v>
      </c>
      <c r="D254" t="s">
        <v>1559</v>
      </c>
      <c r="E254" t="s">
        <v>160</v>
      </c>
      <c r="F254" t="s">
        <v>224</v>
      </c>
      <c r="G254" t="b">
        <f t="shared" si="3"/>
        <v>1</v>
      </c>
      <c r="H254" t="str">
        <f>VLOOKUP(A254,ID_Lookup!A:A,1,FALSE)</f>
        <v>J6271</v>
      </c>
    </row>
    <row r="255" spans="1:8" x14ac:dyDescent="0.35">
      <c r="A255" t="s">
        <v>1144</v>
      </c>
      <c r="B255">
        <v>2025</v>
      </c>
      <c r="C255" t="s">
        <v>1560</v>
      </c>
      <c r="D255" t="s">
        <v>1561</v>
      </c>
      <c r="E255" t="s">
        <v>221</v>
      </c>
      <c r="F255" t="s">
        <v>231</v>
      </c>
      <c r="G255" t="b">
        <f t="shared" si="3"/>
        <v>0</v>
      </c>
      <c r="H255" t="str">
        <f>VLOOKUP(A255,ID_Lookup!A:A,1,FALSE)</f>
        <v>J6272</v>
      </c>
    </row>
    <row r="256" spans="1:8" x14ac:dyDescent="0.35">
      <c r="A256" t="s">
        <v>1147</v>
      </c>
      <c r="B256">
        <v>2025</v>
      </c>
      <c r="C256" t="s">
        <v>1562</v>
      </c>
      <c r="D256" t="s">
        <v>1563</v>
      </c>
      <c r="E256" t="s">
        <v>160</v>
      </c>
      <c r="F256" t="s">
        <v>224</v>
      </c>
      <c r="G256" t="b">
        <f t="shared" si="3"/>
        <v>1</v>
      </c>
      <c r="H256" t="str">
        <f>VLOOKUP(A256,ID_Lookup!A:A,1,FALSE)</f>
        <v>J6273</v>
      </c>
    </row>
    <row r="257" spans="1:8" x14ac:dyDescent="0.35">
      <c r="A257" t="s">
        <v>1150</v>
      </c>
      <c r="B257">
        <v>2025</v>
      </c>
      <c r="C257" t="s">
        <v>1564</v>
      </c>
      <c r="D257" t="s">
        <v>1565</v>
      </c>
      <c r="E257" t="s">
        <v>160</v>
      </c>
      <c r="F257" t="s">
        <v>224</v>
      </c>
      <c r="G257" t="b">
        <f t="shared" si="3"/>
        <v>1</v>
      </c>
      <c r="H257" t="str">
        <f>VLOOKUP(A257,ID_Lookup!A:A,1,FALSE)</f>
        <v>J6274</v>
      </c>
    </row>
    <row r="258" spans="1:8" ht="409.5" x14ac:dyDescent="0.35">
      <c r="A258" t="s">
        <v>1153</v>
      </c>
      <c r="B258">
        <v>2025</v>
      </c>
      <c r="C258" t="s">
        <v>1154</v>
      </c>
      <c r="D258" s="1" t="s">
        <v>1155</v>
      </c>
      <c r="E258" t="s">
        <v>160</v>
      </c>
      <c r="F258" t="s">
        <v>226</v>
      </c>
      <c r="G258" t="b">
        <f t="shared" si="3"/>
        <v>1</v>
      </c>
      <c r="H258" t="str">
        <f>VLOOKUP(A258,ID_Lookup!A:A,1,FALSE)</f>
        <v>J6275</v>
      </c>
    </row>
    <row r="259" spans="1:8" x14ac:dyDescent="0.35">
      <c r="A259" t="s">
        <v>1157</v>
      </c>
      <c r="B259">
        <v>2025</v>
      </c>
      <c r="C259" t="s">
        <v>1158</v>
      </c>
      <c r="D259" t="s">
        <v>1566</v>
      </c>
      <c r="E259" t="s">
        <v>160</v>
      </c>
      <c r="F259" t="s">
        <v>224</v>
      </c>
      <c r="G259" t="b">
        <f t="shared" ref="G259:G322" si="4">IF(E259="Include", TRUE, FALSE)</f>
        <v>1</v>
      </c>
      <c r="H259" t="str">
        <f>VLOOKUP(A259,ID_Lookup!A:A,1,FALSE)</f>
        <v>J6276</v>
      </c>
    </row>
    <row r="260" spans="1:8" x14ac:dyDescent="0.35">
      <c r="A260" t="s">
        <v>1160</v>
      </c>
      <c r="B260">
        <v>2025</v>
      </c>
      <c r="C260" t="s">
        <v>1161</v>
      </c>
      <c r="D260" t="s">
        <v>1567</v>
      </c>
      <c r="E260" t="s">
        <v>160</v>
      </c>
      <c r="F260" t="s">
        <v>720</v>
      </c>
      <c r="G260" t="b">
        <f t="shared" si="4"/>
        <v>1</v>
      </c>
      <c r="H260" t="str">
        <f>VLOOKUP(A260,ID_Lookup!A:A,1,FALSE)</f>
        <v>J6277</v>
      </c>
    </row>
    <row r="261" spans="1:8" x14ac:dyDescent="0.35">
      <c r="A261" t="s">
        <v>1164</v>
      </c>
      <c r="B261">
        <v>2025</v>
      </c>
      <c r="C261" t="s">
        <v>1165</v>
      </c>
      <c r="D261" t="s">
        <v>1568</v>
      </c>
      <c r="E261" t="s">
        <v>160</v>
      </c>
      <c r="F261" t="s">
        <v>223</v>
      </c>
      <c r="G261" t="b">
        <f t="shared" si="4"/>
        <v>1</v>
      </c>
      <c r="H261" t="str">
        <f>VLOOKUP(A261,ID_Lookup!A:A,1,FALSE)</f>
        <v>J6278</v>
      </c>
    </row>
    <row r="262" spans="1:8" ht="409.5" x14ac:dyDescent="0.35">
      <c r="A262" t="s">
        <v>1168</v>
      </c>
      <c r="B262">
        <v>2025</v>
      </c>
      <c r="C262" t="s">
        <v>1169</v>
      </c>
      <c r="D262" s="1" t="s">
        <v>1170</v>
      </c>
      <c r="E262" t="s">
        <v>160</v>
      </c>
      <c r="F262" t="s">
        <v>223</v>
      </c>
      <c r="G262" t="b">
        <f t="shared" si="4"/>
        <v>1</v>
      </c>
      <c r="H262" t="str">
        <f>VLOOKUP(A262,ID_Lookup!A:A,1,FALSE)</f>
        <v>J6279</v>
      </c>
    </row>
    <row r="263" spans="1:8" ht="409.5" x14ac:dyDescent="0.35">
      <c r="A263" t="s">
        <v>1171</v>
      </c>
      <c r="B263">
        <v>2025</v>
      </c>
      <c r="C263" t="s">
        <v>1172</v>
      </c>
      <c r="D263" s="1" t="s">
        <v>1173</v>
      </c>
      <c r="E263" t="s">
        <v>160</v>
      </c>
      <c r="F263" t="s">
        <v>223</v>
      </c>
      <c r="G263" t="b">
        <f t="shared" si="4"/>
        <v>1</v>
      </c>
      <c r="H263" t="str">
        <f>VLOOKUP(A263,ID_Lookup!A:A,1,FALSE)</f>
        <v>J6280</v>
      </c>
    </row>
    <row r="264" spans="1:8" x14ac:dyDescent="0.35">
      <c r="A264" t="s">
        <v>1175</v>
      </c>
      <c r="B264">
        <v>2025</v>
      </c>
      <c r="C264" t="s">
        <v>1176</v>
      </c>
      <c r="D264" t="s">
        <v>1569</v>
      </c>
      <c r="E264" t="s">
        <v>160</v>
      </c>
      <c r="F264" t="s">
        <v>226</v>
      </c>
      <c r="G264" t="b">
        <f t="shared" si="4"/>
        <v>1</v>
      </c>
      <c r="H264" t="str">
        <f>VLOOKUP(A264,ID_Lookup!A:A,1,FALSE)</f>
        <v>J6281</v>
      </c>
    </row>
    <row r="265" spans="1:8" x14ac:dyDescent="0.35">
      <c r="A265" t="s">
        <v>1179</v>
      </c>
      <c r="B265">
        <v>2025</v>
      </c>
      <c r="C265" t="s">
        <v>1180</v>
      </c>
      <c r="D265" t="s">
        <v>1570</v>
      </c>
      <c r="E265" t="s">
        <v>160</v>
      </c>
      <c r="F265" t="s">
        <v>226</v>
      </c>
      <c r="G265" t="b">
        <f t="shared" si="4"/>
        <v>1</v>
      </c>
      <c r="H265" t="str">
        <f>VLOOKUP(A265,ID_Lookup!A:A,1,FALSE)</f>
        <v>J6282</v>
      </c>
    </row>
    <row r="266" spans="1:8" ht="409.5" x14ac:dyDescent="0.35">
      <c r="A266" t="s">
        <v>1182</v>
      </c>
      <c r="B266">
        <v>2025</v>
      </c>
      <c r="C266" t="s">
        <v>1183</v>
      </c>
      <c r="D266" s="1" t="s">
        <v>1184</v>
      </c>
      <c r="E266" t="s">
        <v>221</v>
      </c>
      <c r="F266" t="s">
        <v>1641</v>
      </c>
      <c r="G266" t="b">
        <f t="shared" si="4"/>
        <v>0</v>
      </c>
      <c r="H266" t="str">
        <f>VLOOKUP(A266,ID_Lookup!A:A,1,FALSE)</f>
        <v>J6283</v>
      </c>
    </row>
    <row r="267" spans="1:8" x14ac:dyDescent="0.35">
      <c r="A267" t="s">
        <v>1186</v>
      </c>
      <c r="B267">
        <v>2025</v>
      </c>
      <c r="C267" t="s">
        <v>1187</v>
      </c>
      <c r="D267" t="s">
        <v>1571</v>
      </c>
      <c r="E267" t="s">
        <v>160</v>
      </c>
      <c r="F267" t="s">
        <v>224</v>
      </c>
      <c r="G267" t="b">
        <f t="shared" si="4"/>
        <v>1</v>
      </c>
      <c r="H267" t="str">
        <f>VLOOKUP(A267,ID_Lookup!A:A,1,FALSE)</f>
        <v>J6284</v>
      </c>
    </row>
    <row r="268" spans="1:8" ht="409.5" x14ac:dyDescent="0.35">
      <c r="A268" t="s">
        <v>1189</v>
      </c>
      <c r="B268">
        <v>2025</v>
      </c>
      <c r="C268" t="s">
        <v>1190</v>
      </c>
      <c r="D268" s="1" t="s">
        <v>1191</v>
      </c>
      <c r="E268" t="s">
        <v>221</v>
      </c>
      <c r="F268" t="s">
        <v>726</v>
      </c>
      <c r="G268" t="b">
        <f t="shared" si="4"/>
        <v>0</v>
      </c>
      <c r="H268" t="str">
        <f>VLOOKUP(A268,ID_Lookup!A:A,1,FALSE)</f>
        <v>J6285</v>
      </c>
    </row>
    <row r="269" spans="1:8" x14ac:dyDescent="0.35">
      <c r="A269" s="5" t="s">
        <v>1192</v>
      </c>
      <c r="B269" s="5">
        <v>2025</v>
      </c>
      <c r="C269" s="5" t="s">
        <v>1190</v>
      </c>
      <c r="D269" s="5" t="s">
        <v>549</v>
      </c>
      <c r="E269" s="5" t="s">
        <v>160</v>
      </c>
      <c r="F269" s="5"/>
      <c r="G269" t="b">
        <f t="shared" si="4"/>
        <v>1</v>
      </c>
      <c r="H269" t="str">
        <f>VLOOKUP(A269,ID_Lookup!A:A,1,FALSE)</f>
        <v>J6286</v>
      </c>
    </row>
    <row r="270" spans="1:8" x14ac:dyDescent="0.35">
      <c r="A270" t="s">
        <v>1193</v>
      </c>
      <c r="B270">
        <v>2025</v>
      </c>
      <c r="C270" t="s">
        <v>1194</v>
      </c>
      <c r="D270" t="s">
        <v>1572</v>
      </c>
      <c r="E270" t="s">
        <v>160</v>
      </c>
      <c r="F270" t="s">
        <v>224</v>
      </c>
      <c r="G270" t="b">
        <f t="shared" si="4"/>
        <v>1</v>
      </c>
      <c r="H270" t="str">
        <f>VLOOKUP(A270,ID_Lookup!A:A,1,FALSE)</f>
        <v>J6287</v>
      </c>
    </row>
    <row r="271" spans="1:8" x14ac:dyDescent="0.35">
      <c r="A271" t="s">
        <v>1196</v>
      </c>
      <c r="B271">
        <v>2025</v>
      </c>
      <c r="C271" t="s">
        <v>1197</v>
      </c>
      <c r="D271" t="s">
        <v>1573</v>
      </c>
      <c r="E271" t="s">
        <v>221</v>
      </c>
      <c r="F271" t="s">
        <v>231</v>
      </c>
      <c r="G271" t="b">
        <f t="shared" si="4"/>
        <v>0</v>
      </c>
      <c r="H271" t="str">
        <f>VLOOKUP(A271,ID_Lookup!A:A,1,FALSE)</f>
        <v>J6288</v>
      </c>
    </row>
    <row r="272" spans="1:8" x14ac:dyDescent="0.35">
      <c r="A272" t="s">
        <v>1199</v>
      </c>
      <c r="B272">
        <v>2025</v>
      </c>
      <c r="C272" t="s">
        <v>1200</v>
      </c>
      <c r="D272" t="s">
        <v>1574</v>
      </c>
      <c r="E272" t="s">
        <v>160</v>
      </c>
      <c r="F272" t="s">
        <v>224</v>
      </c>
      <c r="G272" t="b">
        <f t="shared" si="4"/>
        <v>1</v>
      </c>
      <c r="H272" t="str">
        <f>VLOOKUP(A272,ID_Lookup!A:A,1,FALSE)</f>
        <v>J6289</v>
      </c>
    </row>
    <row r="273" spans="1:8" x14ac:dyDescent="0.35">
      <c r="A273" t="s">
        <v>1203</v>
      </c>
      <c r="B273">
        <v>2025</v>
      </c>
      <c r="C273" t="s">
        <v>1204</v>
      </c>
      <c r="D273" t="s">
        <v>1575</v>
      </c>
      <c r="E273" t="s">
        <v>160</v>
      </c>
      <c r="F273" t="s">
        <v>224</v>
      </c>
      <c r="G273" t="b">
        <f t="shared" si="4"/>
        <v>1</v>
      </c>
      <c r="H273" t="str">
        <f>VLOOKUP(A273,ID_Lookup!A:A,1,FALSE)</f>
        <v>J6290</v>
      </c>
    </row>
    <row r="274" spans="1:8" ht="409.5" x14ac:dyDescent="0.35">
      <c r="A274" t="s">
        <v>1206</v>
      </c>
      <c r="B274">
        <v>2025</v>
      </c>
      <c r="C274" t="s">
        <v>1207</v>
      </c>
      <c r="D274" s="1" t="s">
        <v>1208</v>
      </c>
      <c r="E274" t="s">
        <v>221</v>
      </c>
      <c r="F274" t="s">
        <v>738</v>
      </c>
      <c r="G274" t="b">
        <f t="shared" si="4"/>
        <v>0</v>
      </c>
      <c r="H274" t="str">
        <f>VLOOKUP(A274,ID_Lookup!A:A,1,FALSE)</f>
        <v>J6291</v>
      </c>
    </row>
    <row r="275" spans="1:8" x14ac:dyDescent="0.35">
      <c r="A275" t="s">
        <v>1210</v>
      </c>
      <c r="B275">
        <v>2025</v>
      </c>
      <c r="C275" t="s">
        <v>1211</v>
      </c>
      <c r="D275" t="s">
        <v>1576</v>
      </c>
      <c r="E275" t="s">
        <v>221</v>
      </c>
      <c r="F275" t="s">
        <v>231</v>
      </c>
      <c r="G275" t="b">
        <f t="shared" si="4"/>
        <v>0</v>
      </c>
      <c r="H275" t="str">
        <f>VLOOKUP(A275,ID_Lookup!A:A,1,FALSE)</f>
        <v>J6292</v>
      </c>
    </row>
    <row r="276" spans="1:8" x14ac:dyDescent="0.35">
      <c r="A276" t="s">
        <v>1213</v>
      </c>
      <c r="B276">
        <v>2025</v>
      </c>
      <c r="C276" t="s">
        <v>1214</v>
      </c>
      <c r="D276" t="s">
        <v>1577</v>
      </c>
      <c r="E276" t="s">
        <v>160</v>
      </c>
      <c r="F276" t="s">
        <v>223</v>
      </c>
      <c r="G276" t="b">
        <f t="shared" si="4"/>
        <v>1</v>
      </c>
      <c r="H276" t="str">
        <f>VLOOKUP(A276,ID_Lookup!A:A,1,FALSE)</f>
        <v>J6293</v>
      </c>
    </row>
    <row r="277" spans="1:8" x14ac:dyDescent="0.35">
      <c r="A277" t="s">
        <v>1217</v>
      </c>
      <c r="B277">
        <v>2025</v>
      </c>
      <c r="C277" t="s">
        <v>1218</v>
      </c>
      <c r="D277" t="s">
        <v>1578</v>
      </c>
      <c r="E277" t="s">
        <v>221</v>
      </c>
      <c r="F277" t="s">
        <v>1642</v>
      </c>
      <c r="G277" t="b">
        <f t="shared" si="4"/>
        <v>0</v>
      </c>
      <c r="H277" t="str">
        <f>VLOOKUP(A277,ID_Lookup!A:A,1,FALSE)</f>
        <v>J6294</v>
      </c>
    </row>
    <row r="278" spans="1:8" x14ac:dyDescent="0.35">
      <c r="A278" t="s">
        <v>1221</v>
      </c>
      <c r="B278">
        <v>2025</v>
      </c>
      <c r="C278" t="s">
        <v>1222</v>
      </c>
      <c r="D278" t="s">
        <v>1579</v>
      </c>
      <c r="E278" t="s">
        <v>221</v>
      </c>
      <c r="F278" t="s">
        <v>716</v>
      </c>
      <c r="G278" t="b">
        <f t="shared" si="4"/>
        <v>0</v>
      </c>
      <c r="H278" t="str">
        <f>VLOOKUP(A278,ID_Lookup!A:A,1,FALSE)</f>
        <v>J6295</v>
      </c>
    </row>
    <row r="279" spans="1:8" x14ac:dyDescent="0.35">
      <c r="A279" s="5" t="s">
        <v>1224</v>
      </c>
      <c r="B279" s="5">
        <v>2025</v>
      </c>
      <c r="C279" s="5" t="s">
        <v>1222</v>
      </c>
      <c r="D279" s="5" t="s">
        <v>1225</v>
      </c>
      <c r="E279" s="5" t="s">
        <v>160</v>
      </c>
      <c r="F279" s="5"/>
      <c r="G279" t="b">
        <f t="shared" si="4"/>
        <v>1</v>
      </c>
      <c r="H279" t="str">
        <f>VLOOKUP(A279,ID_Lookup!A:A,1,FALSE)</f>
        <v>J6296</v>
      </c>
    </row>
    <row r="280" spans="1:8" x14ac:dyDescent="0.35">
      <c r="A280" t="s">
        <v>1226</v>
      </c>
      <c r="B280">
        <v>2025</v>
      </c>
      <c r="C280" t="s">
        <v>1227</v>
      </c>
      <c r="D280" t="s">
        <v>1580</v>
      </c>
      <c r="E280" t="s">
        <v>160</v>
      </c>
      <c r="F280" t="s">
        <v>223</v>
      </c>
      <c r="G280" t="b">
        <f t="shared" si="4"/>
        <v>1</v>
      </c>
      <c r="H280" t="str">
        <f>VLOOKUP(A280,ID_Lookup!A:A,1,FALSE)</f>
        <v>J6297</v>
      </c>
    </row>
    <row r="281" spans="1:8" ht="409.5" x14ac:dyDescent="0.35">
      <c r="A281" t="s">
        <v>1230</v>
      </c>
      <c r="B281">
        <v>2025</v>
      </c>
      <c r="C281" t="s">
        <v>1231</v>
      </c>
      <c r="D281" s="1" t="s">
        <v>1232</v>
      </c>
      <c r="E281" t="s">
        <v>221</v>
      </c>
      <c r="F281" t="s">
        <v>1642</v>
      </c>
      <c r="G281" t="b">
        <f t="shared" si="4"/>
        <v>0</v>
      </c>
      <c r="H281" t="str">
        <f>VLOOKUP(A281,ID_Lookup!A:A,1,FALSE)</f>
        <v>J6298</v>
      </c>
    </row>
    <row r="282" spans="1:8" x14ac:dyDescent="0.35">
      <c r="A282" t="s">
        <v>1234</v>
      </c>
      <c r="B282">
        <v>2025</v>
      </c>
      <c r="C282" t="s">
        <v>1235</v>
      </c>
      <c r="D282" t="s">
        <v>1581</v>
      </c>
      <c r="E282" t="s">
        <v>160</v>
      </c>
      <c r="F282" t="s">
        <v>223</v>
      </c>
      <c r="G282" t="b">
        <f t="shared" si="4"/>
        <v>1</v>
      </c>
      <c r="H282" t="str">
        <f>VLOOKUP(A282,ID_Lookup!A:A,1,FALSE)</f>
        <v>J6299</v>
      </c>
    </row>
    <row r="283" spans="1:8" x14ac:dyDescent="0.35">
      <c r="A283" t="s">
        <v>1238</v>
      </c>
      <c r="B283">
        <v>2020</v>
      </c>
      <c r="C283" t="s">
        <v>1239</v>
      </c>
      <c r="D283" t="s">
        <v>1240</v>
      </c>
      <c r="E283" t="s">
        <v>160</v>
      </c>
      <c r="F283" t="s">
        <v>223</v>
      </c>
      <c r="G283" t="b">
        <f t="shared" si="4"/>
        <v>1</v>
      </c>
      <c r="H283" t="str">
        <f>VLOOKUP(A283,ID_Lookup!A:A,1,FALSE)</f>
        <v>J1785</v>
      </c>
    </row>
    <row r="284" spans="1:8" x14ac:dyDescent="0.35">
      <c r="A284" t="s">
        <v>1241</v>
      </c>
      <c r="B284">
        <v>2020</v>
      </c>
      <c r="C284" t="s">
        <v>1242</v>
      </c>
      <c r="D284" t="s">
        <v>1582</v>
      </c>
      <c r="E284" t="s">
        <v>160</v>
      </c>
      <c r="F284" t="s">
        <v>231</v>
      </c>
      <c r="G284" t="b">
        <f t="shared" si="4"/>
        <v>1</v>
      </c>
      <c r="H284" t="str">
        <f>VLOOKUP(A284,ID_Lookup!A:A,1,FALSE)</f>
        <v>J1786</v>
      </c>
    </row>
    <row r="285" spans="1:8" x14ac:dyDescent="0.35">
      <c r="A285" t="s">
        <v>1245</v>
      </c>
      <c r="B285">
        <v>2020</v>
      </c>
      <c r="C285" t="s">
        <v>1246</v>
      </c>
      <c r="D285" t="s">
        <v>1583</v>
      </c>
      <c r="E285" t="s">
        <v>160</v>
      </c>
      <c r="F285" t="s">
        <v>721</v>
      </c>
      <c r="G285" t="b">
        <f t="shared" si="4"/>
        <v>1</v>
      </c>
      <c r="H285" t="str">
        <f>VLOOKUP(A285,ID_Lookup!A:A,1,FALSE)</f>
        <v>J1787</v>
      </c>
    </row>
    <row r="286" spans="1:8" x14ac:dyDescent="0.35">
      <c r="A286" t="s">
        <v>1249</v>
      </c>
      <c r="B286">
        <v>2020</v>
      </c>
      <c r="C286" t="s">
        <v>1250</v>
      </c>
      <c r="D286" t="s">
        <v>1584</v>
      </c>
      <c r="E286" t="s">
        <v>160</v>
      </c>
      <c r="F286" t="s">
        <v>224</v>
      </c>
      <c r="G286" t="b">
        <f t="shared" si="4"/>
        <v>1</v>
      </c>
      <c r="H286" t="str">
        <f>VLOOKUP(A286,ID_Lookup!A:A,1,FALSE)</f>
        <v>J1788</v>
      </c>
    </row>
    <row r="287" spans="1:8" x14ac:dyDescent="0.35">
      <c r="A287" t="s">
        <v>1253</v>
      </c>
      <c r="B287">
        <v>2020</v>
      </c>
      <c r="C287" t="s">
        <v>1254</v>
      </c>
      <c r="D287" t="s">
        <v>1585</v>
      </c>
      <c r="E287" t="s">
        <v>160</v>
      </c>
      <c r="F287" t="s">
        <v>721</v>
      </c>
      <c r="G287" t="b">
        <f t="shared" si="4"/>
        <v>1</v>
      </c>
      <c r="H287" t="str">
        <f>VLOOKUP(A287,ID_Lookup!A:A,1,FALSE)</f>
        <v>J1789</v>
      </c>
    </row>
    <row r="288" spans="1:8" x14ac:dyDescent="0.35">
      <c r="A288" t="s">
        <v>1257</v>
      </c>
      <c r="B288">
        <v>2020</v>
      </c>
      <c r="C288" t="s">
        <v>1258</v>
      </c>
      <c r="D288" t="s">
        <v>1586</v>
      </c>
      <c r="E288" t="s">
        <v>221</v>
      </c>
      <c r="F288" t="s">
        <v>231</v>
      </c>
      <c r="G288" t="b">
        <f t="shared" si="4"/>
        <v>0</v>
      </c>
      <c r="H288" t="str">
        <f>VLOOKUP(A288,ID_Lookup!A:A,1,FALSE)</f>
        <v>J1790</v>
      </c>
    </row>
    <row r="289" spans="1:8" x14ac:dyDescent="0.35">
      <c r="A289" t="s">
        <v>1260</v>
      </c>
      <c r="B289">
        <v>2020</v>
      </c>
      <c r="C289" t="s">
        <v>1261</v>
      </c>
      <c r="D289" t="s">
        <v>1262</v>
      </c>
      <c r="E289" t="s">
        <v>221</v>
      </c>
      <c r="F289" t="s">
        <v>726</v>
      </c>
      <c r="G289" t="b">
        <f t="shared" si="4"/>
        <v>0</v>
      </c>
      <c r="H289" t="str">
        <f>VLOOKUP(A289,ID_Lookup!A:A,1,FALSE)</f>
        <v>J1791</v>
      </c>
    </row>
    <row r="290" spans="1:8" x14ac:dyDescent="0.35">
      <c r="A290" t="s">
        <v>1264</v>
      </c>
      <c r="B290">
        <v>2020</v>
      </c>
      <c r="C290" t="s">
        <v>1265</v>
      </c>
      <c r="D290" t="s">
        <v>1587</v>
      </c>
      <c r="E290" t="s">
        <v>160</v>
      </c>
      <c r="F290" t="s">
        <v>223</v>
      </c>
      <c r="G290" t="b">
        <f t="shared" si="4"/>
        <v>1</v>
      </c>
      <c r="H290" t="str">
        <f>VLOOKUP(A290,ID_Lookup!A:A,1,FALSE)</f>
        <v>J1792</v>
      </c>
    </row>
    <row r="291" spans="1:8" x14ac:dyDescent="0.35">
      <c r="A291" t="s">
        <v>1268</v>
      </c>
      <c r="B291">
        <v>2020</v>
      </c>
      <c r="C291" t="s">
        <v>1588</v>
      </c>
      <c r="D291" t="s">
        <v>1589</v>
      </c>
      <c r="E291" t="s">
        <v>221</v>
      </c>
      <c r="F291" t="s">
        <v>1643</v>
      </c>
      <c r="G291" t="b">
        <f t="shared" si="4"/>
        <v>0</v>
      </c>
      <c r="H291" t="str">
        <f>VLOOKUP(A291,ID_Lookup!A:A,1,FALSE)</f>
        <v>J1793</v>
      </c>
    </row>
    <row r="292" spans="1:8" x14ac:dyDescent="0.35">
      <c r="A292" t="s">
        <v>1272</v>
      </c>
      <c r="B292">
        <v>2020</v>
      </c>
      <c r="C292" t="s">
        <v>1273</v>
      </c>
      <c r="D292" t="s">
        <v>549</v>
      </c>
      <c r="E292" t="s">
        <v>160</v>
      </c>
      <c r="F292" t="s">
        <v>223</v>
      </c>
      <c r="G292" t="b">
        <f t="shared" si="4"/>
        <v>1</v>
      </c>
      <c r="H292" t="str">
        <f>VLOOKUP(A292,ID_Lookup!A:A,1,FALSE)</f>
        <v>J1794</v>
      </c>
    </row>
    <row r="293" spans="1:8" x14ac:dyDescent="0.35">
      <c r="A293" t="s">
        <v>1274</v>
      </c>
      <c r="B293">
        <v>2020</v>
      </c>
      <c r="C293" t="s">
        <v>1275</v>
      </c>
      <c r="D293" t="s">
        <v>1276</v>
      </c>
      <c r="E293" t="s">
        <v>160</v>
      </c>
      <c r="F293" t="s">
        <v>725</v>
      </c>
      <c r="G293" t="b">
        <f t="shared" si="4"/>
        <v>1</v>
      </c>
      <c r="H293" t="str">
        <f>VLOOKUP(A293,ID_Lookup!A:A,1,FALSE)</f>
        <v>J1795</v>
      </c>
    </row>
    <row r="294" spans="1:8" x14ac:dyDescent="0.35">
      <c r="A294" t="s">
        <v>1277</v>
      </c>
      <c r="B294">
        <v>2020</v>
      </c>
      <c r="C294" t="s">
        <v>1278</v>
      </c>
      <c r="D294" t="s">
        <v>1279</v>
      </c>
      <c r="E294" t="s">
        <v>160</v>
      </c>
      <c r="F294" t="s">
        <v>720</v>
      </c>
      <c r="G294" t="b">
        <f t="shared" si="4"/>
        <v>1</v>
      </c>
      <c r="H294" t="str">
        <f>VLOOKUP(A294,ID_Lookup!A:A,1,FALSE)</f>
        <v>J1796</v>
      </c>
    </row>
    <row r="295" spans="1:8" x14ac:dyDescent="0.35">
      <c r="A295" t="s">
        <v>1280</v>
      </c>
      <c r="B295">
        <v>2020</v>
      </c>
      <c r="C295" t="s">
        <v>1590</v>
      </c>
      <c r="D295" t="s">
        <v>1591</v>
      </c>
      <c r="E295" t="s">
        <v>160</v>
      </c>
      <c r="F295" t="s">
        <v>224</v>
      </c>
      <c r="G295" t="b">
        <f t="shared" si="4"/>
        <v>1</v>
      </c>
      <c r="H295" t="str">
        <f>VLOOKUP(A295,ID_Lookup!A:A,1,FALSE)</f>
        <v>J1797</v>
      </c>
    </row>
    <row r="296" spans="1:8" x14ac:dyDescent="0.35">
      <c r="A296" t="s">
        <v>1283</v>
      </c>
      <c r="B296">
        <v>2020</v>
      </c>
      <c r="C296" t="s">
        <v>1284</v>
      </c>
      <c r="D296" t="s">
        <v>1592</v>
      </c>
      <c r="E296" t="s">
        <v>221</v>
      </c>
      <c r="F296" t="s">
        <v>726</v>
      </c>
      <c r="G296" t="b">
        <f t="shared" si="4"/>
        <v>0</v>
      </c>
      <c r="H296" t="str">
        <f>VLOOKUP(A296,ID_Lookup!A:A,1,FALSE)</f>
        <v>J1798</v>
      </c>
    </row>
    <row r="297" spans="1:8" x14ac:dyDescent="0.35">
      <c r="A297" t="s">
        <v>1286</v>
      </c>
      <c r="B297">
        <v>2020</v>
      </c>
      <c r="C297" t="s">
        <v>1287</v>
      </c>
      <c r="D297" t="s">
        <v>1593</v>
      </c>
      <c r="E297" t="s">
        <v>221</v>
      </c>
      <c r="F297" t="s">
        <v>231</v>
      </c>
      <c r="G297" t="b">
        <f t="shared" si="4"/>
        <v>0</v>
      </c>
      <c r="H297" t="str">
        <f>VLOOKUP(A297,ID_Lookup!A:A,1,FALSE)</f>
        <v>J1799</v>
      </c>
    </row>
    <row r="298" spans="1:8" x14ac:dyDescent="0.35">
      <c r="A298" t="s">
        <v>1290</v>
      </c>
      <c r="B298">
        <v>2020</v>
      </c>
      <c r="C298" t="s">
        <v>1291</v>
      </c>
      <c r="D298" t="s">
        <v>1594</v>
      </c>
      <c r="E298" t="s">
        <v>160</v>
      </c>
      <c r="F298" t="s">
        <v>224</v>
      </c>
      <c r="G298" t="b">
        <f t="shared" si="4"/>
        <v>1</v>
      </c>
      <c r="H298" t="str">
        <f>VLOOKUP(A298,ID_Lookup!A:A,1,FALSE)</f>
        <v>J1800</v>
      </c>
    </row>
    <row r="299" spans="1:8" x14ac:dyDescent="0.35">
      <c r="A299" t="s">
        <v>1293</v>
      </c>
      <c r="B299">
        <v>2020</v>
      </c>
      <c r="C299" t="s">
        <v>1294</v>
      </c>
      <c r="D299" t="s">
        <v>1595</v>
      </c>
      <c r="E299" t="s">
        <v>160</v>
      </c>
      <c r="F299" t="s">
        <v>721</v>
      </c>
      <c r="G299" t="b">
        <f t="shared" si="4"/>
        <v>1</v>
      </c>
      <c r="H299" t="str">
        <f>VLOOKUP(A299,ID_Lookup!A:A,1,FALSE)</f>
        <v>J1801</v>
      </c>
    </row>
    <row r="300" spans="1:8" x14ac:dyDescent="0.35">
      <c r="A300" t="s">
        <v>1297</v>
      </c>
      <c r="B300">
        <v>2020</v>
      </c>
      <c r="C300" t="s">
        <v>1298</v>
      </c>
      <c r="D300" t="s">
        <v>1596</v>
      </c>
      <c r="E300" t="s">
        <v>160</v>
      </c>
      <c r="F300" t="s">
        <v>224</v>
      </c>
      <c r="G300" t="b">
        <f t="shared" si="4"/>
        <v>1</v>
      </c>
      <c r="H300" t="str">
        <f>VLOOKUP(A300,ID_Lookup!A:A,1,FALSE)</f>
        <v>J1802</v>
      </c>
    </row>
    <row r="301" spans="1:8" x14ac:dyDescent="0.35">
      <c r="A301" t="s">
        <v>1301</v>
      </c>
      <c r="B301">
        <v>2020</v>
      </c>
      <c r="C301" t="s">
        <v>1302</v>
      </c>
      <c r="D301" t="s">
        <v>1597</v>
      </c>
      <c r="E301" t="s">
        <v>221</v>
      </c>
      <c r="F301" t="s">
        <v>231</v>
      </c>
      <c r="G301" t="b">
        <f t="shared" si="4"/>
        <v>0</v>
      </c>
      <c r="H301" t="str">
        <f>VLOOKUP(A301,ID_Lookup!A:A,1,FALSE)</f>
        <v>J1803</v>
      </c>
    </row>
    <row r="302" spans="1:8" x14ac:dyDescent="0.35">
      <c r="A302" t="s">
        <v>1304</v>
      </c>
      <c r="B302">
        <v>2020</v>
      </c>
      <c r="C302" t="s">
        <v>1305</v>
      </c>
      <c r="D302" t="s">
        <v>1598</v>
      </c>
      <c r="E302" t="s">
        <v>221</v>
      </c>
      <c r="F302" t="s">
        <v>231</v>
      </c>
      <c r="G302" t="b">
        <f t="shared" si="4"/>
        <v>0</v>
      </c>
      <c r="H302" t="str">
        <f>VLOOKUP(A302,ID_Lookup!A:A,1,FALSE)</f>
        <v>J1804</v>
      </c>
    </row>
    <row r="303" spans="1:8" x14ac:dyDescent="0.35">
      <c r="A303" t="s">
        <v>1307</v>
      </c>
      <c r="B303">
        <v>2020</v>
      </c>
      <c r="C303" t="s">
        <v>1308</v>
      </c>
      <c r="D303" t="s">
        <v>1309</v>
      </c>
      <c r="E303" t="s">
        <v>160</v>
      </c>
      <c r="F303" t="s">
        <v>224</v>
      </c>
      <c r="G303" t="b">
        <f t="shared" si="4"/>
        <v>1</v>
      </c>
      <c r="H303" t="str">
        <f>VLOOKUP(A303,ID_Lookup!A:A,1,FALSE)</f>
        <v>J1805</v>
      </c>
    </row>
    <row r="304" spans="1:8" x14ac:dyDescent="0.35">
      <c r="A304" t="s">
        <v>1310</v>
      </c>
      <c r="B304">
        <v>2020</v>
      </c>
      <c r="C304" t="s">
        <v>1599</v>
      </c>
      <c r="D304" t="s">
        <v>1600</v>
      </c>
      <c r="E304" t="s">
        <v>160</v>
      </c>
      <c r="F304" t="s">
        <v>224</v>
      </c>
      <c r="G304" t="b">
        <f t="shared" si="4"/>
        <v>1</v>
      </c>
      <c r="H304" t="str">
        <f>VLOOKUP(A304,ID_Lookup!A:A,1,FALSE)</f>
        <v>J1806</v>
      </c>
    </row>
    <row r="305" spans="1:8" x14ac:dyDescent="0.35">
      <c r="A305" t="s">
        <v>1313</v>
      </c>
      <c r="B305">
        <v>2020</v>
      </c>
      <c r="C305" t="s">
        <v>1314</v>
      </c>
      <c r="D305" t="s">
        <v>1601</v>
      </c>
      <c r="E305" t="s">
        <v>221</v>
      </c>
      <c r="F305" t="s">
        <v>1644</v>
      </c>
      <c r="G305" t="b">
        <f t="shared" si="4"/>
        <v>0</v>
      </c>
      <c r="H305" t="str">
        <f>VLOOKUP(A305,ID_Lookup!A:A,1,FALSE)</f>
        <v>J1807</v>
      </c>
    </row>
    <row r="306" spans="1:8" x14ac:dyDescent="0.35">
      <c r="A306" t="s">
        <v>1316</v>
      </c>
      <c r="B306">
        <v>2020</v>
      </c>
      <c r="C306" t="s">
        <v>1317</v>
      </c>
      <c r="D306" t="s">
        <v>1602</v>
      </c>
      <c r="E306" t="s">
        <v>221</v>
      </c>
      <c r="F306" t="s">
        <v>231</v>
      </c>
      <c r="G306" t="b">
        <f t="shared" si="4"/>
        <v>0</v>
      </c>
      <c r="H306" t="str">
        <f>VLOOKUP(A306,ID_Lookup!A:A,1,FALSE)</f>
        <v>J1808</v>
      </c>
    </row>
    <row r="307" spans="1:8" ht="409.5" x14ac:dyDescent="0.35">
      <c r="A307" t="s">
        <v>1320</v>
      </c>
      <c r="B307">
        <v>2020</v>
      </c>
      <c r="C307" t="s">
        <v>1321</v>
      </c>
      <c r="D307" s="1" t="s">
        <v>1322</v>
      </c>
      <c r="E307" t="s">
        <v>160</v>
      </c>
      <c r="F307" t="s">
        <v>223</v>
      </c>
      <c r="G307" t="b">
        <f t="shared" si="4"/>
        <v>1</v>
      </c>
      <c r="H307" t="str">
        <f>VLOOKUP(A307,ID_Lookup!A:A,1,FALSE)</f>
        <v>J1809</v>
      </c>
    </row>
    <row r="308" spans="1:8" x14ac:dyDescent="0.35">
      <c r="A308" s="5" t="s">
        <v>1324</v>
      </c>
      <c r="B308" s="5">
        <v>2020</v>
      </c>
      <c r="C308" s="5" t="s">
        <v>1325</v>
      </c>
      <c r="D308" s="5" t="s">
        <v>1326</v>
      </c>
      <c r="E308" s="5" t="s">
        <v>160</v>
      </c>
      <c r="F308" s="5"/>
      <c r="G308" t="b">
        <f t="shared" si="4"/>
        <v>1</v>
      </c>
      <c r="H308" t="str">
        <f>VLOOKUP(A308,ID_Lookup!A:A,1,FALSE)</f>
        <v>J1810</v>
      </c>
    </row>
    <row r="309" spans="1:8" x14ac:dyDescent="0.35">
      <c r="A309" t="s">
        <v>1327</v>
      </c>
      <c r="B309">
        <v>2020</v>
      </c>
      <c r="C309" t="s">
        <v>1328</v>
      </c>
      <c r="D309" t="s">
        <v>1329</v>
      </c>
      <c r="E309" t="s">
        <v>160</v>
      </c>
      <c r="F309" t="s">
        <v>223</v>
      </c>
      <c r="G309" t="b">
        <f t="shared" si="4"/>
        <v>1</v>
      </c>
      <c r="H309" t="str">
        <f>VLOOKUP(A309,ID_Lookup!A:A,1,FALSE)</f>
        <v>J1811</v>
      </c>
    </row>
    <row r="310" spans="1:8" ht="409.5" x14ac:dyDescent="0.35">
      <c r="A310" t="s">
        <v>1331</v>
      </c>
      <c r="B310">
        <v>2020</v>
      </c>
      <c r="C310" t="s">
        <v>1332</v>
      </c>
      <c r="D310" s="1" t="s">
        <v>1333</v>
      </c>
      <c r="E310" t="s">
        <v>221</v>
      </c>
      <c r="F310" t="s">
        <v>1642</v>
      </c>
      <c r="G310" t="b">
        <f t="shared" si="4"/>
        <v>0</v>
      </c>
      <c r="H310" t="str">
        <f>VLOOKUP(A310,ID_Lookup!A:A,1,FALSE)</f>
        <v>J1812</v>
      </c>
    </row>
    <row r="311" spans="1:8" x14ac:dyDescent="0.35">
      <c r="A311" t="s">
        <v>1334</v>
      </c>
      <c r="B311">
        <v>2020</v>
      </c>
      <c r="C311" t="s">
        <v>1335</v>
      </c>
      <c r="D311" t="s">
        <v>1603</v>
      </c>
      <c r="E311" t="s">
        <v>221</v>
      </c>
      <c r="F311" t="s">
        <v>231</v>
      </c>
      <c r="G311" t="b">
        <f t="shared" si="4"/>
        <v>0</v>
      </c>
      <c r="H311" t="str">
        <f>VLOOKUP(A311,ID_Lookup!A:A,1,FALSE)</f>
        <v>J1813</v>
      </c>
    </row>
    <row r="312" spans="1:8" x14ac:dyDescent="0.35">
      <c r="A312" t="s">
        <v>1338</v>
      </c>
      <c r="B312">
        <v>2020</v>
      </c>
      <c r="C312" t="s">
        <v>1339</v>
      </c>
      <c r="D312" t="s">
        <v>1604</v>
      </c>
      <c r="E312" t="s">
        <v>221</v>
      </c>
      <c r="F312" t="s">
        <v>738</v>
      </c>
      <c r="G312" t="b">
        <f t="shared" si="4"/>
        <v>0</v>
      </c>
      <c r="H312" t="str">
        <f>VLOOKUP(A312,ID_Lookup!A:A,1,FALSE)</f>
        <v>J1814</v>
      </c>
    </row>
    <row r="313" spans="1:8" ht="409.5" x14ac:dyDescent="0.35">
      <c r="A313" t="s">
        <v>1342</v>
      </c>
      <c r="B313">
        <v>2022</v>
      </c>
      <c r="C313" t="s">
        <v>1343</v>
      </c>
      <c r="D313" s="1" t="s">
        <v>1344</v>
      </c>
      <c r="E313" t="s">
        <v>160</v>
      </c>
      <c r="F313" t="s">
        <v>725</v>
      </c>
      <c r="G313" t="b">
        <f t="shared" si="4"/>
        <v>1</v>
      </c>
      <c r="H313" t="str">
        <f>VLOOKUP(A313,ID_Lookup!A:A,1,FALSE)</f>
        <v>J3595</v>
      </c>
    </row>
    <row r="314" spans="1:8" x14ac:dyDescent="0.35">
      <c r="A314" s="5" t="s">
        <v>1346</v>
      </c>
      <c r="B314" s="5">
        <v>2022</v>
      </c>
      <c r="C314" s="5" t="s">
        <v>1343</v>
      </c>
      <c r="D314" s="5" t="s">
        <v>1326</v>
      </c>
      <c r="E314" s="5" t="s">
        <v>160</v>
      </c>
      <c r="F314" s="5"/>
      <c r="G314" t="b">
        <f t="shared" si="4"/>
        <v>1</v>
      </c>
      <c r="H314" t="str">
        <f>VLOOKUP(A314,ID_Lookup!A:A,1,FALSE)</f>
        <v>J3596</v>
      </c>
    </row>
    <row r="315" spans="1:8" x14ac:dyDescent="0.35">
      <c r="A315" t="s">
        <v>1347</v>
      </c>
      <c r="B315">
        <v>2022</v>
      </c>
      <c r="C315" t="s">
        <v>1348</v>
      </c>
      <c r="D315" t="s">
        <v>1349</v>
      </c>
      <c r="E315" t="s">
        <v>221</v>
      </c>
      <c r="F315" t="s">
        <v>1645</v>
      </c>
      <c r="G315" t="b">
        <f t="shared" si="4"/>
        <v>0</v>
      </c>
      <c r="H315" t="str">
        <f>VLOOKUP(A315,ID_Lookup!A:A,1,FALSE)</f>
        <v>J3597</v>
      </c>
    </row>
    <row r="316" spans="1:8" x14ac:dyDescent="0.35">
      <c r="A316" t="s">
        <v>1351</v>
      </c>
      <c r="B316">
        <v>2022</v>
      </c>
      <c r="C316" t="s">
        <v>1352</v>
      </c>
      <c r="D316" t="s">
        <v>1605</v>
      </c>
      <c r="E316" t="s">
        <v>221</v>
      </c>
      <c r="F316" t="s">
        <v>738</v>
      </c>
      <c r="G316" t="b">
        <f t="shared" si="4"/>
        <v>0</v>
      </c>
      <c r="H316" t="str">
        <f>VLOOKUP(A316,ID_Lookup!A:A,1,FALSE)</f>
        <v>J3598</v>
      </c>
    </row>
    <row r="317" spans="1:8" ht="409.5" x14ac:dyDescent="0.35">
      <c r="A317" t="s">
        <v>1355</v>
      </c>
      <c r="B317">
        <v>2022</v>
      </c>
      <c r="C317" t="s">
        <v>1356</v>
      </c>
      <c r="D317" s="1" t="s">
        <v>1357</v>
      </c>
      <c r="E317" t="s">
        <v>160</v>
      </c>
      <c r="F317" t="s">
        <v>226</v>
      </c>
      <c r="G317" t="b">
        <f t="shared" si="4"/>
        <v>1</v>
      </c>
      <c r="H317" t="str">
        <f>VLOOKUP(A317,ID_Lookup!A:A,1,FALSE)</f>
        <v>J3599</v>
      </c>
    </row>
    <row r="318" spans="1:8" x14ac:dyDescent="0.35">
      <c r="A318" t="s">
        <v>1359</v>
      </c>
      <c r="B318">
        <v>2022</v>
      </c>
      <c r="C318" t="s">
        <v>1360</v>
      </c>
      <c r="D318" t="s">
        <v>1606</v>
      </c>
      <c r="E318" t="s">
        <v>221</v>
      </c>
      <c r="F318" t="s">
        <v>715</v>
      </c>
      <c r="G318" t="b">
        <f t="shared" si="4"/>
        <v>0</v>
      </c>
      <c r="H318" t="str">
        <f>VLOOKUP(A318,ID_Lookup!A:A,1,FALSE)</f>
        <v>J3600</v>
      </c>
    </row>
    <row r="319" spans="1:8" x14ac:dyDescent="0.35">
      <c r="A319" t="s">
        <v>1363</v>
      </c>
      <c r="B319">
        <v>2022</v>
      </c>
      <c r="C319" t="s">
        <v>1364</v>
      </c>
      <c r="D319" t="s">
        <v>1607</v>
      </c>
      <c r="E319" t="s">
        <v>221</v>
      </c>
      <c r="F319" t="s">
        <v>728</v>
      </c>
      <c r="G319" t="b">
        <f t="shared" si="4"/>
        <v>0</v>
      </c>
      <c r="H319" t="str">
        <f>VLOOKUP(A319,ID_Lookup!A:A,1,FALSE)</f>
        <v>J3601</v>
      </c>
    </row>
    <row r="320" spans="1:8" x14ac:dyDescent="0.35">
      <c r="A320" t="s">
        <v>1367</v>
      </c>
      <c r="B320">
        <v>2022</v>
      </c>
      <c r="C320" t="s">
        <v>1368</v>
      </c>
      <c r="D320" t="s">
        <v>549</v>
      </c>
      <c r="E320" t="s">
        <v>160</v>
      </c>
      <c r="F320" t="s">
        <v>224</v>
      </c>
      <c r="G320" t="b">
        <f t="shared" si="4"/>
        <v>1</v>
      </c>
      <c r="H320" t="str">
        <f>VLOOKUP(A320,ID_Lookup!A:A,1,FALSE)</f>
        <v>J3602</v>
      </c>
    </row>
    <row r="321" spans="1:8" x14ac:dyDescent="0.35">
      <c r="A321" t="s">
        <v>1369</v>
      </c>
      <c r="B321">
        <v>2022</v>
      </c>
      <c r="C321" t="s">
        <v>1370</v>
      </c>
      <c r="D321" t="s">
        <v>1608</v>
      </c>
      <c r="E321" t="s">
        <v>221</v>
      </c>
      <c r="F321" t="s">
        <v>231</v>
      </c>
      <c r="G321" t="b">
        <f t="shared" si="4"/>
        <v>0</v>
      </c>
      <c r="H321" t="str">
        <f>VLOOKUP(A321,ID_Lookup!A:A,1,FALSE)</f>
        <v>J3603</v>
      </c>
    </row>
    <row r="322" spans="1:8" x14ac:dyDescent="0.35">
      <c r="A322" t="s">
        <v>1372</v>
      </c>
      <c r="B322">
        <v>2022</v>
      </c>
      <c r="C322" t="s">
        <v>1373</v>
      </c>
      <c r="D322" t="s">
        <v>1609</v>
      </c>
      <c r="E322" t="s">
        <v>221</v>
      </c>
      <c r="F322" t="s">
        <v>1646</v>
      </c>
      <c r="G322" t="b">
        <f t="shared" si="4"/>
        <v>0</v>
      </c>
      <c r="H322" t="str">
        <f>VLOOKUP(A322,ID_Lookup!A:A,1,FALSE)</f>
        <v>J3604</v>
      </c>
    </row>
    <row r="323" spans="1:8" x14ac:dyDescent="0.35">
      <c r="A323" t="s">
        <v>1376</v>
      </c>
      <c r="B323">
        <v>2022</v>
      </c>
      <c r="C323" t="s">
        <v>1610</v>
      </c>
      <c r="D323" t="s">
        <v>1611</v>
      </c>
      <c r="E323" t="s">
        <v>221</v>
      </c>
      <c r="F323" t="s">
        <v>231</v>
      </c>
      <c r="G323" t="b">
        <f t="shared" ref="G323:G362" si="5">IF(E323="Include", TRUE, FALSE)</f>
        <v>0</v>
      </c>
      <c r="H323" t="str">
        <f>VLOOKUP(A323,ID_Lookup!A:A,1,FALSE)</f>
        <v>J3605</v>
      </c>
    </row>
    <row r="324" spans="1:8" x14ac:dyDescent="0.35">
      <c r="A324" t="s">
        <v>1379</v>
      </c>
      <c r="B324">
        <v>2022</v>
      </c>
      <c r="C324" t="s">
        <v>1380</v>
      </c>
      <c r="D324" t="s">
        <v>1612</v>
      </c>
      <c r="E324" t="s">
        <v>160</v>
      </c>
      <c r="F324" t="s">
        <v>223</v>
      </c>
      <c r="G324" t="b">
        <f t="shared" si="5"/>
        <v>1</v>
      </c>
      <c r="H324" t="str">
        <f>VLOOKUP(A324,ID_Lookup!A:A,1,FALSE)</f>
        <v>J3606</v>
      </c>
    </row>
    <row r="325" spans="1:8" x14ac:dyDescent="0.35">
      <c r="A325" t="s">
        <v>1383</v>
      </c>
      <c r="B325">
        <v>2022</v>
      </c>
      <c r="C325" t="s">
        <v>1384</v>
      </c>
      <c r="D325" t="s">
        <v>1326</v>
      </c>
      <c r="E325" t="s">
        <v>160</v>
      </c>
      <c r="F325" t="s">
        <v>223</v>
      </c>
      <c r="G325" t="b">
        <f t="shared" si="5"/>
        <v>1</v>
      </c>
      <c r="H325" t="str">
        <f>VLOOKUP(A325,ID_Lookup!A:A,1,FALSE)</f>
        <v>J3607</v>
      </c>
    </row>
    <row r="326" spans="1:8" x14ac:dyDescent="0.35">
      <c r="A326" t="s">
        <v>1385</v>
      </c>
      <c r="B326">
        <v>2022</v>
      </c>
      <c r="C326" t="s">
        <v>1386</v>
      </c>
      <c r="D326" t="s">
        <v>1613</v>
      </c>
      <c r="E326" t="s">
        <v>160</v>
      </c>
      <c r="F326" t="s">
        <v>725</v>
      </c>
      <c r="G326" t="b">
        <f t="shared" si="5"/>
        <v>1</v>
      </c>
      <c r="H326" t="str">
        <f>VLOOKUP(A326,ID_Lookup!A:A,1,FALSE)</f>
        <v>J3608</v>
      </c>
    </row>
    <row r="327" spans="1:8" x14ac:dyDescent="0.35">
      <c r="A327" t="s">
        <v>1389</v>
      </c>
      <c r="B327">
        <v>2022</v>
      </c>
      <c r="C327" t="s">
        <v>1390</v>
      </c>
      <c r="D327" t="s">
        <v>1614</v>
      </c>
      <c r="E327" t="s">
        <v>221</v>
      </c>
      <c r="F327" t="s">
        <v>231</v>
      </c>
      <c r="G327" t="b">
        <f t="shared" si="5"/>
        <v>0</v>
      </c>
      <c r="H327" t="str">
        <f>VLOOKUP(A327,ID_Lookup!A:A,1,FALSE)</f>
        <v>J3609</v>
      </c>
    </row>
    <row r="328" spans="1:8" x14ac:dyDescent="0.35">
      <c r="A328" t="s">
        <v>1392</v>
      </c>
      <c r="B328">
        <v>2022</v>
      </c>
      <c r="C328" t="s">
        <v>1393</v>
      </c>
      <c r="D328" t="s">
        <v>1394</v>
      </c>
      <c r="E328" t="s">
        <v>160</v>
      </c>
      <c r="F328" t="s">
        <v>725</v>
      </c>
      <c r="G328" t="b">
        <f t="shared" si="5"/>
        <v>1</v>
      </c>
      <c r="H328" t="str">
        <f>VLOOKUP(A328,ID_Lookup!A:A,1,FALSE)</f>
        <v>J3610</v>
      </c>
    </row>
    <row r="329" spans="1:8" x14ac:dyDescent="0.35">
      <c r="A329" t="s">
        <v>1396</v>
      </c>
      <c r="B329">
        <v>2022</v>
      </c>
      <c r="C329" t="s">
        <v>1397</v>
      </c>
      <c r="D329" t="s">
        <v>1615</v>
      </c>
      <c r="E329" t="s">
        <v>160</v>
      </c>
      <c r="F329" t="s">
        <v>736</v>
      </c>
      <c r="G329" t="b">
        <f t="shared" si="5"/>
        <v>1</v>
      </c>
      <c r="H329" t="str">
        <f>VLOOKUP(A329,ID_Lookup!A:A,1,FALSE)</f>
        <v>J3611</v>
      </c>
    </row>
    <row r="330" spans="1:8" x14ac:dyDescent="0.35">
      <c r="A330" t="s">
        <v>1400</v>
      </c>
      <c r="B330">
        <v>2022</v>
      </c>
      <c r="C330" t="s">
        <v>1401</v>
      </c>
      <c r="D330" t="s">
        <v>1402</v>
      </c>
      <c r="E330" t="s">
        <v>160</v>
      </c>
      <c r="F330" t="s">
        <v>736</v>
      </c>
      <c r="G330" t="b">
        <f t="shared" si="5"/>
        <v>1</v>
      </c>
      <c r="H330" t="str">
        <f>VLOOKUP(A330,ID_Lookup!A:A,1,FALSE)</f>
        <v>J3612</v>
      </c>
    </row>
    <row r="331" spans="1:8" x14ac:dyDescent="0.35">
      <c r="A331" t="s">
        <v>1403</v>
      </c>
      <c r="B331">
        <v>2022</v>
      </c>
      <c r="C331" t="s">
        <v>1404</v>
      </c>
      <c r="D331" t="s">
        <v>1405</v>
      </c>
      <c r="E331" t="s">
        <v>160</v>
      </c>
      <c r="F331" t="s">
        <v>725</v>
      </c>
      <c r="G331" t="b">
        <f t="shared" si="5"/>
        <v>1</v>
      </c>
      <c r="H331" t="str">
        <f>VLOOKUP(A331,ID_Lookup!A:A,1,FALSE)</f>
        <v>J3613</v>
      </c>
    </row>
    <row r="332" spans="1:8" x14ac:dyDescent="0.35">
      <c r="A332" t="s">
        <v>1407</v>
      </c>
      <c r="B332">
        <v>2022</v>
      </c>
      <c r="C332" t="s">
        <v>1408</v>
      </c>
      <c r="D332" t="s">
        <v>1616</v>
      </c>
      <c r="E332" t="s">
        <v>160</v>
      </c>
      <c r="F332" t="s">
        <v>1647</v>
      </c>
      <c r="G332" t="b">
        <f t="shared" si="5"/>
        <v>1</v>
      </c>
      <c r="H332" t="str">
        <f>VLOOKUP(A332,ID_Lookup!A:A,1,FALSE)</f>
        <v>J3614</v>
      </c>
    </row>
    <row r="333" spans="1:8" x14ac:dyDescent="0.35">
      <c r="A333" t="s">
        <v>1411</v>
      </c>
      <c r="B333">
        <v>2022</v>
      </c>
      <c r="C333" t="s">
        <v>1412</v>
      </c>
      <c r="D333" t="s">
        <v>1617</v>
      </c>
      <c r="E333" t="s">
        <v>160</v>
      </c>
      <c r="F333" t="s">
        <v>223</v>
      </c>
      <c r="G333" t="b">
        <f t="shared" si="5"/>
        <v>1</v>
      </c>
      <c r="H333" t="str">
        <f>VLOOKUP(A333,ID_Lookup!A:A,1,FALSE)</f>
        <v>J3615</v>
      </c>
    </row>
    <row r="334" spans="1:8" x14ac:dyDescent="0.35">
      <c r="A334" t="s">
        <v>1415</v>
      </c>
      <c r="B334">
        <v>2022</v>
      </c>
      <c r="C334" t="s">
        <v>1416</v>
      </c>
      <c r="D334" t="s">
        <v>1618</v>
      </c>
      <c r="E334" t="s">
        <v>160</v>
      </c>
      <c r="F334" t="s">
        <v>721</v>
      </c>
      <c r="G334" t="b">
        <f t="shared" si="5"/>
        <v>1</v>
      </c>
      <c r="H334" t="str">
        <f>VLOOKUP(A334,ID_Lookup!A:A,1,FALSE)</f>
        <v>J3616</v>
      </c>
    </row>
    <row r="335" spans="1:8" x14ac:dyDescent="0.35">
      <c r="A335" t="s">
        <v>1419</v>
      </c>
      <c r="B335">
        <v>2022</v>
      </c>
      <c r="C335" t="s">
        <v>1420</v>
      </c>
      <c r="D335" t="s">
        <v>1619</v>
      </c>
      <c r="E335" t="s">
        <v>221</v>
      </c>
      <c r="F335" t="s">
        <v>728</v>
      </c>
      <c r="G335" t="b">
        <f t="shared" si="5"/>
        <v>0</v>
      </c>
      <c r="H335" t="str">
        <f>VLOOKUP(A335,ID_Lookup!A:A,1,FALSE)</f>
        <v>J3617</v>
      </c>
    </row>
    <row r="336" spans="1:8" x14ac:dyDescent="0.35">
      <c r="A336" t="s">
        <v>1422</v>
      </c>
      <c r="B336">
        <v>2022</v>
      </c>
      <c r="C336" s="8" t="s">
        <v>1620</v>
      </c>
      <c r="D336" t="s">
        <v>1424</v>
      </c>
      <c r="E336" t="s">
        <v>160</v>
      </c>
      <c r="F336" t="s">
        <v>725</v>
      </c>
      <c r="G336" t="b">
        <f t="shared" si="5"/>
        <v>1</v>
      </c>
      <c r="H336" t="str">
        <f>VLOOKUP(A336,ID_Lookup!A:A,1,FALSE)</f>
        <v>J3618</v>
      </c>
    </row>
    <row r="337" spans="1:8" ht="409.5" x14ac:dyDescent="0.35">
      <c r="A337" t="s">
        <v>1426</v>
      </c>
      <c r="B337">
        <v>2022</v>
      </c>
      <c r="C337" t="s">
        <v>1427</v>
      </c>
      <c r="D337" s="1" t="s">
        <v>1428</v>
      </c>
      <c r="E337" t="s">
        <v>160</v>
      </c>
      <c r="F337" t="s">
        <v>721</v>
      </c>
      <c r="G337" t="b">
        <f t="shared" si="5"/>
        <v>1</v>
      </c>
      <c r="H337" t="str">
        <f>VLOOKUP(A337,ID_Lookup!A:A,1,FALSE)</f>
        <v>J3619</v>
      </c>
    </row>
    <row r="338" spans="1:8" x14ac:dyDescent="0.35">
      <c r="A338" s="5" t="s">
        <v>1430</v>
      </c>
      <c r="B338" s="5">
        <v>2022</v>
      </c>
      <c r="C338" s="5" t="s">
        <v>1427</v>
      </c>
      <c r="D338" s="5" t="s">
        <v>549</v>
      </c>
      <c r="E338" s="5" t="s">
        <v>160</v>
      </c>
      <c r="F338" s="5"/>
      <c r="G338" t="b">
        <f t="shared" si="5"/>
        <v>1</v>
      </c>
      <c r="H338" t="str">
        <f>VLOOKUP(A338,ID_Lookup!A:A,1,FALSE)</f>
        <v>J3620</v>
      </c>
    </row>
    <row r="339" spans="1:8" x14ac:dyDescent="0.35">
      <c r="A339" t="s">
        <v>1431</v>
      </c>
      <c r="B339">
        <v>2022</v>
      </c>
      <c r="C339" t="s">
        <v>1432</v>
      </c>
      <c r="D339" t="s">
        <v>1433</v>
      </c>
      <c r="E339" t="s">
        <v>160</v>
      </c>
      <c r="F339" t="s">
        <v>725</v>
      </c>
      <c r="G339" t="b">
        <f t="shared" si="5"/>
        <v>1</v>
      </c>
      <c r="H339" t="str">
        <f>VLOOKUP(A339,ID_Lookup!A:A,1,FALSE)</f>
        <v>J3621</v>
      </c>
    </row>
    <row r="340" spans="1:8" ht="409.5" x14ac:dyDescent="0.35">
      <c r="A340" t="s">
        <v>1435</v>
      </c>
      <c r="B340">
        <v>2022</v>
      </c>
      <c r="C340" t="s">
        <v>1436</v>
      </c>
      <c r="D340" s="1" t="s">
        <v>1437</v>
      </c>
      <c r="E340" t="s">
        <v>160</v>
      </c>
      <c r="F340" t="s">
        <v>223</v>
      </c>
      <c r="G340" t="b">
        <f t="shared" si="5"/>
        <v>1</v>
      </c>
      <c r="H340" t="str">
        <f>VLOOKUP(A340,ID_Lookup!A:A,1,FALSE)</f>
        <v>J3622</v>
      </c>
    </row>
    <row r="341" spans="1:8" x14ac:dyDescent="0.35">
      <c r="A341" t="s">
        <v>1439</v>
      </c>
      <c r="B341">
        <v>2022</v>
      </c>
      <c r="C341" t="s">
        <v>1440</v>
      </c>
      <c r="D341" t="s">
        <v>1441</v>
      </c>
      <c r="E341" t="s">
        <v>160</v>
      </c>
      <c r="F341" t="s">
        <v>223</v>
      </c>
      <c r="G341" t="b">
        <f t="shared" si="5"/>
        <v>1</v>
      </c>
      <c r="H341" t="str">
        <f>VLOOKUP(A341,ID_Lookup!A:A,1,FALSE)</f>
        <v>J3623</v>
      </c>
    </row>
    <row r="342" spans="1:8" x14ac:dyDescent="0.35">
      <c r="A342" t="s">
        <v>1442</v>
      </c>
      <c r="B342">
        <v>2022</v>
      </c>
      <c r="C342" t="s">
        <v>1443</v>
      </c>
      <c r="D342" t="s">
        <v>1444</v>
      </c>
      <c r="E342" t="s">
        <v>160</v>
      </c>
      <c r="F342" t="s">
        <v>223</v>
      </c>
      <c r="G342" t="b">
        <f t="shared" si="5"/>
        <v>1</v>
      </c>
      <c r="H342" t="str">
        <f>VLOOKUP(A342,ID_Lookup!A:A,1,FALSE)</f>
        <v>J3624</v>
      </c>
    </row>
    <row r="343" spans="1:8" x14ac:dyDescent="0.35">
      <c r="A343" t="s">
        <v>1446</v>
      </c>
      <c r="B343">
        <v>2022</v>
      </c>
      <c r="C343" t="s">
        <v>1447</v>
      </c>
      <c r="D343" t="s">
        <v>1621</v>
      </c>
      <c r="E343" t="s">
        <v>160</v>
      </c>
      <c r="F343" t="s">
        <v>735</v>
      </c>
      <c r="G343" t="b">
        <f t="shared" si="5"/>
        <v>1</v>
      </c>
      <c r="H343" t="str">
        <f>VLOOKUP(A343,ID_Lookup!A:A,1,FALSE)</f>
        <v>J3625</v>
      </c>
    </row>
    <row r="344" spans="1:8" x14ac:dyDescent="0.35">
      <c r="A344" t="s">
        <v>1450</v>
      </c>
      <c r="B344">
        <v>2022</v>
      </c>
      <c r="C344" t="s">
        <v>1451</v>
      </c>
      <c r="D344" t="s">
        <v>1622</v>
      </c>
      <c r="E344" t="s">
        <v>160</v>
      </c>
      <c r="F344" t="s">
        <v>223</v>
      </c>
      <c r="G344" t="b">
        <f t="shared" si="5"/>
        <v>1</v>
      </c>
      <c r="H344" t="str">
        <f>VLOOKUP(A344,ID_Lookup!A:A,1,FALSE)</f>
        <v>J3626</v>
      </c>
    </row>
    <row r="345" spans="1:8" x14ac:dyDescent="0.35">
      <c r="A345" t="s">
        <v>1454</v>
      </c>
      <c r="B345">
        <v>2022</v>
      </c>
      <c r="C345" t="s">
        <v>1455</v>
      </c>
      <c r="D345" t="s">
        <v>1456</v>
      </c>
      <c r="E345" t="s">
        <v>160</v>
      </c>
      <c r="F345" t="s">
        <v>223</v>
      </c>
      <c r="G345" t="b">
        <f t="shared" si="5"/>
        <v>1</v>
      </c>
      <c r="H345" t="str">
        <f>VLOOKUP(A345,ID_Lookup!A:A,1,FALSE)</f>
        <v>J3627</v>
      </c>
    </row>
    <row r="346" spans="1:8" x14ac:dyDescent="0.35">
      <c r="A346" t="s">
        <v>1458</v>
      </c>
      <c r="B346">
        <v>2022</v>
      </c>
      <c r="C346" t="s">
        <v>1459</v>
      </c>
      <c r="D346" t="s">
        <v>1623</v>
      </c>
      <c r="E346" t="s">
        <v>160</v>
      </c>
      <c r="F346" t="s">
        <v>223</v>
      </c>
      <c r="G346" t="b">
        <f t="shared" si="5"/>
        <v>1</v>
      </c>
      <c r="H346" t="str">
        <f>VLOOKUP(A346,ID_Lookup!A:A,1,FALSE)</f>
        <v>J3628</v>
      </c>
    </row>
    <row r="347" spans="1:8" x14ac:dyDescent="0.35">
      <c r="A347" t="s">
        <v>1461</v>
      </c>
      <c r="B347">
        <v>2022</v>
      </c>
      <c r="C347" t="s">
        <v>1462</v>
      </c>
      <c r="D347" t="s">
        <v>1463</v>
      </c>
      <c r="E347" t="s">
        <v>221</v>
      </c>
      <c r="F347" t="s">
        <v>231</v>
      </c>
      <c r="G347" t="b">
        <f t="shared" si="5"/>
        <v>0</v>
      </c>
      <c r="H347" t="str">
        <f>VLOOKUP(A347,ID_Lookup!A:A,1,FALSE)</f>
        <v>J3629</v>
      </c>
    </row>
    <row r="348" spans="1:8" x14ac:dyDescent="0.35">
      <c r="A348" t="s">
        <v>1465</v>
      </c>
      <c r="B348">
        <v>2022</v>
      </c>
      <c r="C348" t="s">
        <v>1466</v>
      </c>
      <c r="D348" t="s">
        <v>1624</v>
      </c>
      <c r="E348" t="s">
        <v>160</v>
      </c>
      <c r="F348" t="s">
        <v>736</v>
      </c>
      <c r="G348" t="b">
        <f t="shared" si="5"/>
        <v>1</v>
      </c>
      <c r="H348" t="str">
        <f>VLOOKUP(A348,ID_Lookup!A:A,1,FALSE)</f>
        <v>J3630</v>
      </c>
    </row>
    <row r="349" spans="1:8" x14ac:dyDescent="0.35">
      <c r="A349" t="s">
        <v>1469</v>
      </c>
      <c r="B349">
        <v>2022</v>
      </c>
      <c r="C349" t="s">
        <v>1470</v>
      </c>
      <c r="D349" t="s">
        <v>1471</v>
      </c>
      <c r="E349" t="s">
        <v>221</v>
      </c>
      <c r="F349" t="s">
        <v>1648</v>
      </c>
      <c r="G349" t="b">
        <f t="shared" si="5"/>
        <v>0</v>
      </c>
      <c r="H349" t="str">
        <f>VLOOKUP(A349,ID_Lookup!A:A,1,FALSE)</f>
        <v>J3631</v>
      </c>
    </row>
    <row r="350" spans="1:8" x14ac:dyDescent="0.35">
      <c r="A350" t="s">
        <v>1473</v>
      </c>
      <c r="B350">
        <v>2022</v>
      </c>
      <c r="C350" t="s">
        <v>1474</v>
      </c>
      <c r="D350" t="s">
        <v>1625</v>
      </c>
      <c r="E350" t="s">
        <v>221</v>
      </c>
      <c r="F350" t="s">
        <v>1649</v>
      </c>
      <c r="G350" t="b">
        <f t="shared" si="5"/>
        <v>0</v>
      </c>
      <c r="H350" t="str">
        <f>VLOOKUP(A350,ID_Lookup!A:A,1,FALSE)</f>
        <v>J3632</v>
      </c>
    </row>
    <row r="351" spans="1:8" x14ac:dyDescent="0.35">
      <c r="A351" t="s">
        <v>1476</v>
      </c>
      <c r="B351">
        <v>2022</v>
      </c>
      <c r="C351" t="s">
        <v>1477</v>
      </c>
      <c r="D351" t="s">
        <v>549</v>
      </c>
      <c r="E351" t="s">
        <v>160</v>
      </c>
      <c r="F351" t="s">
        <v>1650</v>
      </c>
      <c r="G351" t="b">
        <f t="shared" si="5"/>
        <v>1</v>
      </c>
      <c r="H351" t="str">
        <f>VLOOKUP(A351,ID_Lookup!A:A,1,FALSE)</f>
        <v>J3633</v>
      </c>
    </row>
    <row r="352" spans="1:8" x14ac:dyDescent="0.35">
      <c r="A352" t="s">
        <v>1478</v>
      </c>
      <c r="B352">
        <v>2022</v>
      </c>
      <c r="C352" t="s">
        <v>1479</v>
      </c>
      <c r="D352" t="s">
        <v>1626</v>
      </c>
      <c r="E352" t="s">
        <v>221</v>
      </c>
      <c r="F352" t="s">
        <v>231</v>
      </c>
      <c r="G352" t="b">
        <f t="shared" si="5"/>
        <v>0</v>
      </c>
      <c r="H352" t="str">
        <f>VLOOKUP(A352,ID_Lookup!A:A,1,FALSE)</f>
        <v>J3634</v>
      </c>
    </row>
    <row r="353" spans="1:8" x14ac:dyDescent="0.35">
      <c r="A353" t="s">
        <v>1482</v>
      </c>
      <c r="B353">
        <v>2022</v>
      </c>
      <c r="C353" t="s">
        <v>1483</v>
      </c>
      <c r="D353" t="s">
        <v>1627</v>
      </c>
      <c r="E353" t="s">
        <v>221</v>
      </c>
      <c r="F353" t="s">
        <v>231</v>
      </c>
      <c r="G353" t="b">
        <f t="shared" si="5"/>
        <v>0</v>
      </c>
      <c r="H353" t="str">
        <f>VLOOKUP(A353,ID_Lookup!A:A,1,FALSE)</f>
        <v>J3635</v>
      </c>
    </row>
    <row r="354" spans="1:8" x14ac:dyDescent="0.35">
      <c r="A354" t="s">
        <v>1486</v>
      </c>
      <c r="B354">
        <v>2022</v>
      </c>
      <c r="C354" t="s">
        <v>1487</v>
      </c>
      <c r="D354" t="s">
        <v>1628</v>
      </c>
      <c r="E354" t="s">
        <v>160</v>
      </c>
      <c r="F354" t="s">
        <v>224</v>
      </c>
      <c r="G354" t="b">
        <f t="shared" si="5"/>
        <v>1</v>
      </c>
      <c r="H354" t="str">
        <f>VLOOKUP(A354,ID_Lookup!A:A,1,FALSE)</f>
        <v>J3636</v>
      </c>
    </row>
    <row r="355" spans="1:8" x14ac:dyDescent="0.35">
      <c r="A355" t="s">
        <v>1490</v>
      </c>
      <c r="B355">
        <v>2022</v>
      </c>
      <c r="C355" t="s">
        <v>1491</v>
      </c>
      <c r="D355" t="s">
        <v>1629</v>
      </c>
      <c r="E355" t="s">
        <v>160</v>
      </c>
      <c r="F355" t="s">
        <v>224</v>
      </c>
      <c r="G355" t="b">
        <f t="shared" si="5"/>
        <v>1</v>
      </c>
      <c r="H355" t="str">
        <f>VLOOKUP(A355,ID_Lookup!A:A,1,FALSE)</f>
        <v>J3637</v>
      </c>
    </row>
    <row r="356" spans="1:8" x14ac:dyDescent="0.35">
      <c r="A356" t="s">
        <v>1493</v>
      </c>
      <c r="B356">
        <v>2022</v>
      </c>
      <c r="C356" t="s">
        <v>1494</v>
      </c>
      <c r="D356" t="s">
        <v>1630</v>
      </c>
      <c r="E356" t="s">
        <v>160</v>
      </c>
      <c r="F356" t="s">
        <v>223</v>
      </c>
      <c r="G356" t="b">
        <f t="shared" si="5"/>
        <v>1</v>
      </c>
      <c r="H356" t="str">
        <f>VLOOKUP(A356,ID_Lookup!A:A,1,FALSE)</f>
        <v>J3638</v>
      </c>
    </row>
    <row r="357" spans="1:8" x14ac:dyDescent="0.35">
      <c r="A357" s="5" t="s">
        <v>1497</v>
      </c>
      <c r="B357" s="5">
        <v>2022</v>
      </c>
      <c r="C357" s="5" t="s">
        <v>1498</v>
      </c>
      <c r="D357" s="9" t="s">
        <v>1631</v>
      </c>
      <c r="E357" s="5" t="s">
        <v>160</v>
      </c>
      <c r="F357" s="5"/>
      <c r="G357" t="b">
        <f t="shared" si="5"/>
        <v>1</v>
      </c>
      <c r="H357" t="str">
        <f>VLOOKUP(A357,ID_Lookup!A:A,1,FALSE)</f>
        <v>J3639</v>
      </c>
    </row>
    <row r="358" spans="1:8" x14ac:dyDescent="0.35">
      <c r="A358" t="s">
        <v>1500</v>
      </c>
      <c r="B358">
        <v>2022</v>
      </c>
      <c r="C358" t="s">
        <v>1501</v>
      </c>
      <c r="D358" t="s">
        <v>1502</v>
      </c>
      <c r="E358" t="s">
        <v>160</v>
      </c>
      <c r="F358" t="s">
        <v>727</v>
      </c>
      <c r="G358" t="b">
        <f t="shared" si="5"/>
        <v>1</v>
      </c>
      <c r="H358" t="str">
        <f>VLOOKUP(A358,ID_Lookup!A:A,1,FALSE)</f>
        <v>J3640</v>
      </c>
    </row>
    <row r="359" spans="1:8" x14ac:dyDescent="0.35">
      <c r="A359" s="5" t="s">
        <v>1504</v>
      </c>
      <c r="B359" s="5">
        <v>2022</v>
      </c>
      <c r="C359" s="5" t="s">
        <v>1501</v>
      </c>
      <c r="D359" s="5" t="s">
        <v>1502</v>
      </c>
      <c r="E359" s="5" t="s">
        <v>160</v>
      </c>
      <c r="F359" s="5"/>
      <c r="G359" t="b">
        <f t="shared" si="5"/>
        <v>1</v>
      </c>
      <c r="H359" t="str">
        <f>VLOOKUP(A359,ID_Lookup!A:A,1,FALSE)</f>
        <v>J3641</v>
      </c>
    </row>
    <row r="360" spans="1:8" x14ac:dyDescent="0.35">
      <c r="A360" t="s">
        <v>1506</v>
      </c>
      <c r="B360">
        <v>2022</v>
      </c>
      <c r="C360" t="s">
        <v>1507</v>
      </c>
      <c r="D360" t="s">
        <v>1632</v>
      </c>
      <c r="E360" t="s">
        <v>160</v>
      </c>
      <c r="F360" t="s">
        <v>223</v>
      </c>
      <c r="G360" t="b">
        <f t="shared" si="5"/>
        <v>1</v>
      </c>
      <c r="H360" t="str">
        <f>VLOOKUP(A360,ID_Lookup!A:A,1,FALSE)</f>
        <v>J3642</v>
      </c>
    </row>
    <row r="361" spans="1:8" x14ac:dyDescent="0.35">
      <c r="A361" t="s">
        <v>1510</v>
      </c>
      <c r="B361">
        <v>2022</v>
      </c>
      <c r="C361" t="s">
        <v>1633</v>
      </c>
      <c r="D361" t="s">
        <v>1634</v>
      </c>
      <c r="E361" t="s">
        <v>160</v>
      </c>
      <c r="F361" t="s">
        <v>224</v>
      </c>
      <c r="G361" t="b">
        <f t="shared" si="5"/>
        <v>1</v>
      </c>
      <c r="H361" t="str">
        <f>VLOOKUP(A361,ID_Lookup!A:A,1,FALSE)</f>
        <v>J3643</v>
      </c>
    </row>
    <row r="362" spans="1:8" x14ac:dyDescent="0.35">
      <c r="A362" t="s">
        <v>1514</v>
      </c>
      <c r="B362">
        <v>2022</v>
      </c>
      <c r="C362" t="s">
        <v>1515</v>
      </c>
      <c r="D362" t="s">
        <v>1635</v>
      </c>
      <c r="E362" t="s">
        <v>221</v>
      </c>
      <c r="F362" t="s">
        <v>231</v>
      </c>
      <c r="G362" t="b">
        <f t="shared" si="5"/>
        <v>0</v>
      </c>
      <c r="H362" t="str">
        <f>VLOOKUP(A362,ID_Lookup!A:A,1,FALSE)</f>
        <v>J3644</v>
      </c>
    </row>
  </sheetData>
  <autoFilter ref="A1:H362" xr:uid="{5D3E4052-2545-45A0-857B-B79114EE9774}">
    <filterColumn colId="7">
      <filters>
        <filter val="J1785"/>
        <filter val="J1786"/>
        <filter val="J1787"/>
        <filter val="J1788"/>
        <filter val="J1789"/>
        <filter val="J1790"/>
        <filter val="J1791"/>
        <filter val="J1792"/>
        <filter val="J1793"/>
        <filter val="J1794"/>
        <filter val="J1795"/>
        <filter val="J1796"/>
        <filter val="J1797"/>
        <filter val="J1798"/>
        <filter val="J1799"/>
        <filter val="J1800"/>
        <filter val="J1801"/>
        <filter val="J1802"/>
        <filter val="J1803"/>
        <filter val="J1804"/>
        <filter val="J1805"/>
        <filter val="J1806"/>
        <filter val="J1807"/>
        <filter val="J1808"/>
        <filter val="J1809"/>
        <filter val="J1810"/>
        <filter val="J1811"/>
        <filter val="J1812"/>
        <filter val="J1813"/>
        <filter val="J1814"/>
        <filter val="J2830"/>
        <filter val="J2831"/>
        <filter val="J2832"/>
        <filter val="J2833"/>
        <filter val="J2834"/>
        <filter val="J2835"/>
        <filter val="J2836"/>
        <filter val="J2837"/>
        <filter val="J2838"/>
        <filter val="J2839"/>
        <filter val="J2840"/>
        <filter val="J2841"/>
        <filter val="J2842"/>
        <filter val="J2843"/>
        <filter val="J2844"/>
        <filter val="J2845"/>
        <filter val="J2846"/>
        <filter val="J2847"/>
        <filter val="J2848"/>
        <filter val="J2849"/>
        <filter val="J2850"/>
        <filter val="J2851"/>
        <filter val="J2852"/>
        <filter val="J2853"/>
        <filter val="J2854"/>
        <filter val="J2855"/>
        <filter val="J2856"/>
        <filter val="J2857"/>
        <filter val="J2858"/>
        <filter val="J2859"/>
        <filter val="J2860"/>
        <filter val="J2861"/>
        <filter val="J2862"/>
        <filter val="J2863"/>
        <filter val="J2864"/>
        <filter val="J2865"/>
        <filter val="J2866"/>
        <filter val="J2867"/>
        <filter val="J2868"/>
        <filter val="J2869"/>
        <filter val="J2870"/>
        <filter val="J2871"/>
        <filter val="J2872"/>
        <filter val="J2873"/>
        <filter val="J2874"/>
        <filter val="J2875"/>
        <filter val="J2876"/>
        <filter val="J2877"/>
        <filter val="J2878"/>
        <filter val="J2879"/>
        <filter val="J2880"/>
        <filter val="J2881"/>
        <filter val="J2882"/>
        <filter val="J2883"/>
        <filter val="J2884"/>
        <filter val="J2885"/>
        <filter val="J2886"/>
        <filter val="J2887"/>
        <filter val="J2888"/>
        <filter val="J2889"/>
        <filter val="J2890"/>
        <filter val="J2891"/>
        <filter val="J2892"/>
        <filter val="J2893"/>
        <filter val="J2894"/>
        <filter val="J2895"/>
        <filter val="J2896"/>
        <filter val="J2897"/>
        <filter val="J2898"/>
        <filter val="J2899"/>
        <filter val="J2900"/>
        <filter val="J2901"/>
        <filter val="J2902"/>
        <filter val="J2903"/>
        <filter val="J2904"/>
        <filter val="J2905"/>
        <filter val="J2906"/>
        <filter val="J2907"/>
        <filter val="J2908"/>
        <filter val="J2909"/>
        <filter val="J2910"/>
        <filter val="J3595"/>
        <filter val="J3596"/>
        <filter val="J3597"/>
        <filter val="J3598"/>
        <filter val="J3599"/>
        <filter val="J3600"/>
        <filter val="J3601"/>
        <filter val="J3602"/>
        <filter val="J3603"/>
        <filter val="J3604"/>
        <filter val="J3605"/>
        <filter val="J3606"/>
        <filter val="J3607"/>
        <filter val="J3608"/>
        <filter val="J3609"/>
        <filter val="J3610"/>
        <filter val="J3611"/>
        <filter val="J3612"/>
        <filter val="J3613"/>
        <filter val="J3614"/>
        <filter val="J3615"/>
        <filter val="J3616"/>
        <filter val="J3617"/>
        <filter val="J3618"/>
        <filter val="J3619"/>
        <filter val="J3620"/>
        <filter val="J3621"/>
        <filter val="J3622"/>
        <filter val="J3623"/>
        <filter val="J3624"/>
        <filter val="J3625"/>
        <filter val="J3626"/>
        <filter val="J3627"/>
        <filter val="J3628"/>
        <filter val="J3629"/>
        <filter val="J3630"/>
        <filter val="J3631"/>
        <filter val="J3632"/>
        <filter val="J3633"/>
        <filter val="J3634"/>
        <filter val="J3635"/>
        <filter val="J3636"/>
        <filter val="J3637"/>
        <filter val="J3638"/>
        <filter val="J3639"/>
        <filter val="J3640"/>
        <filter val="J3641"/>
        <filter val="J3642"/>
        <filter val="J3643"/>
        <filter val="J3644"/>
        <filter val="J500"/>
        <filter val="J501"/>
        <filter val="J502"/>
        <filter val="J503"/>
        <filter val="J504"/>
        <filter val="J505"/>
        <filter val="J506"/>
        <filter val="J507"/>
        <filter val="J508"/>
        <filter val="J509"/>
        <filter val="J510"/>
        <filter val="J511"/>
        <filter val="J512"/>
        <filter val="J513"/>
        <filter val="J514"/>
        <filter val="J515"/>
        <filter val="J516"/>
        <filter val="J518"/>
        <filter val="J519"/>
        <filter val="J520"/>
        <filter val="J521"/>
        <filter val="J522"/>
        <filter val="J523"/>
        <filter val="J524"/>
        <filter val="J525"/>
        <filter val="J526"/>
        <filter val="J527"/>
        <filter val="J528"/>
        <filter val="J529"/>
        <filter val="J530"/>
        <filter val="J531"/>
        <filter val="J532"/>
        <filter val="J533"/>
        <filter val="J534"/>
        <filter val="J535"/>
        <filter val="J536"/>
        <filter val="J537"/>
        <filter val="J538"/>
        <filter val="J539"/>
        <filter val="J540"/>
        <filter val="J541"/>
        <filter val="J542"/>
        <filter val="J543"/>
        <filter val="J544"/>
        <filter val="J545"/>
        <filter val="J546"/>
        <filter val="J547"/>
        <filter val="J548"/>
        <filter val="J549"/>
        <filter val="J550"/>
        <filter val="J551"/>
        <filter val="J552"/>
        <filter val="J553"/>
        <filter val="J554"/>
        <filter val="J555"/>
        <filter val="J556"/>
        <filter val="J557"/>
        <filter val="J558"/>
        <filter val="J559"/>
        <filter val="J560"/>
        <filter val="J561"/>
        <filter val="J562"/>
        <filter val="J563"/>
        <filter val="J564"/>
        <filter val="J565"/>
        <filter val="J566"/>
        <filter val="J567"/>
        <filter val="J568"/>
        <filter val="J569"/>
        <filter val="J570"/>
        <filter val="J571"/>
        <filter val="J572"/>
        <filter val="J573"/>
        <filter val="J574"/>
        <filter val="J575"/>
        <filter val="J576"/>
        <filter val="J577"/>
        <filter val="J578"/>
        <filter val="J579"/>
        <filter val="J580"/>
        <filter val="J581"/>
        <filter val="J583"/>
        <filter val="J585"/>
        <filter val="J586"/>
        <filter val="J587"/>
        <filter val="J588"/>
        <filter val="J589"/>
        <filter val="J590"/>
        <filter val="J591"/>
        <filter val="J592"/>
        <filter val="J593"/>
        <filter val="J594"/>
        <filter val="J595"/>
        <filter val="J596"/>
        <filter val="J597"/>
        <filter val="J598"/>
        <filter val="J599"/>
        <filter val="J6200"/>
        <filter val="J6201"/>
        <filter val="J6202"/>
        <filter val="J6203"/>
        <filter val="J6204"/>
        <filter val="J6205"/>
        <filter val="J6206"/>
        <filter val="J6207"/>
        <filter val="J6208"/>
        <filter val="J6209"/>
        <filter val="J6210"/>
        <filter val="J6211"/>
        <filter val="J6212"/>
        <filter val="J6213"/>
        <filter val="J6214"/>
        <filter val="J6215"/>
        <filter val="J6216"/>
        <filter val="J6217"/>
        <filter val="J6218"/>
        <filter val="J6219"/>
        <filter val="J6220"/>
        <filter val="J6221"/>
        <filter val="J6222"/>
        <filter val="J6223"/>
        <filter val="J6224"/>
        <filter val="J6225"/>
        <filter val="J6226"/>
        <filter val="J6227"/>
        <filter val="J6228"/>
        <filter val="J6229"/>
        <filter val="J6230"/>
        <filter val="J6231"/>
        <filter val="J6232"/>
        <filter val="J6233"/>
        <filter val="J6234"/>
        <filter val="J6235"/>
        <filter val="J6236"/>
        <filter val="J6237"/>
        <filter val="J6238"/>
        <filter val="J6239"/>
        <filter val="J6240"/>
        <filter val="J6241"/>
        <filter val="J6242"/>
        <filter val="J6243"/>
        <filter val="J6244"/>
        <filter val="J6245"/>
        <filter val="J6246"/>
        <filter val="J6247"/>
        <filter val="J6248"/>
        <filter val="J6249"/>
        <filter val="J6250"/>
        <filter val="J6251"/>
        <filter val="J6252"/>
        <filter val="J6253"/>
        <filter val="J6254"/>
        <filter val="J6255"/>
        <filter val="J6256"/>
        <filter val="J6257"/>
        <filter val="J6258"/>
        <filter val="J6259"/>
        <filter val="J6260"/>
        <filter val="J6261"/>
        <filter val="J6262"/>
        <filter val="J6263"/>
        <filter val="J6264"/>
        <filter val="J6265"/>
        <filter val="J6266"/>
        <filter val="J6267"/>
        <filter val="J6268"/>
        <filter val="J6269"/>
        <filter val="J6270"/>
        <filter val="J6271"/>
        <filter val="J6272"/>
        <filter val="J6273"/>
        <filter val="J6274"/>
        <filter val="J6275"/>
        <filter val="J6276"/>
        <filter val="J6277"/>
        <filter val="J6278"/>
        <filter val="J6279"/>
        <filter val="J6280"/>
        <filter val="J6281"/>
        <filter val="J6282"/>
        <filter val="J6283"/>
        <filter val="J6284"/>
        <filter val="J6285"/>
        <filter val="J6286"/>
        <filter val="J6287"/>
        <filter val="J6288"/>
        <filter val="J6289"/>
        <filter val="J6290"/>
        <filter val="J6291"/>
        <filter val="J6292"/>
        <filter val="J6293"/>
        <filter val="J6294"/>
        <filter val="J6295"/>
        <filter val="J6296"/>
        <filter val="J6297"/>
        <filter val="J6298"/>
        <filter val="J6299"/>
      </filters>
    </filterColumn>
  </autoFilter>
  <conditionalFormatting sqref="E1:E1048576 F50:F81 F83:F123 F125:F180 F182:F183 F185:F197 F199:F203 F205:F268 F270:F278 F280:F307 F309:F313 F315:F337 F339:F356 F358 F360:F362">
    <cfRule type="containsText" dxfId="5" priority="2" operator="containsText" text="Include">
      <formula>NOT(ISERROR(SEARCH("Include",E1)))</formula>
    </cfRule>
  </conditionalFormatting>
  <conditionalFormatting sqref="E1:E1048576 F50:F81 F83:F123 F125:F180 F182:F183 F185:F197 F199:F203 F205:F268 F270:F278 F280:F307 F309:F313 F315:F337 F339:F356 F358 F360:F362">
    <cfRule type="containsText" dxfId="4" priority="1" operator="containsText" text="Exclude">
      <formula>NOT(ISERROR(SEARCH("Exclude",E1)))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K359"/>
  <sheetViews>
    <sheetView workbookViewId="0">
      <selection activeCell="A137" sqref="A1:A137"/>
    </sheetView>
  </sheetViews>
  <sheetFormatPr defaultRowHeight="14.5" x14ac:dyDescent="0.35"/>
  <sheetData>
    <row r="1" spans="1:11" ht="15" thickBot="1" x14ac:dyDescent="0.4">
      <c r="A1" t="s">
        <v>0</v>
      </c>
      <c r="B1" t="s">
        <v>1</v>
      </c>
      <c r="C1" t="s">
        <v>2</v>
      </c>
      <c r="D1" t="s">
        <v>3</v>
      </c>
      <c r="E1" t="s">
        <v>234</v>
      </c>
      <c r="F1" t="s">
        <v>235</v>
      </c>
      <c r="G1" t="s">
        <v>236</v>
      </c>
      <c r="H1" t="s">
        <v>237</v>
      </c>
      <c r="I1" s="10" t="s">
        <v>157</v>
      </c>
      <c r="J1" s="11" t="s">
        <v>158</v>
      </c>
      <c r="K1" t="s">
        <v>246</v>
      </c>
    </row>
    <row r="2" spans="1:11" hidden="1" x14ac:dyDescent="0.35">
      <c r="A2" t="s">
        <v>4</v>
      </c>
      <c r="B2">
        <v>2019</v>
      </c>
      <c r="C2" t="s">
        <v>5</v>
      </c>
      <c r="D2" t="s">
        <v>6</v>
      </c>
      <c r="E2" t="b">
        <v>0</v>
      </c>
      <c r="F2" t="s">
        <v>247</v>
      </c>
      <c r="G2" t="s">
        <v>222</v>
      </c>
      <c r="H2">
        <v>1</v>
      </c>
      <c r="I2" t="s">
        <v>221</v>
      </c>
      <c r="J2" t="s">
        <v>222</v>
      </c>
      <c r="K2" t="b">
        <v>0</v>
      </c>
    </row>
    <row r="3" spans="1:11" hidden="1" x14ac:dyDescent="0.35">
      <c r="A3" t="s">
        <v>7</v>
      </c>
      <c r="B3">
        <v>2019</v>
      </c>
      <c r="C3" t="s">
        <v>8</v>
      </c>
      <c r="D3" t="s">
        <v>9</v>
      </c>
      <c r="E3" t="b">
        <v>0</v>
      </c>
      <c r="F3" t="s">
        <v>248</v>
      </c>
      <c r="G3" t="s">
        <v>222</v>
      </c>
      <c r="H3">
        <v>1</v>
      </c>
      <c r="I3" t="s">
        <v>221</v>
      </c>
      <c r="J3" t="s">
        <v>222</v>
      </c>
      <c r="K3" t="b">
        <v>0</v>
      </c>
    </row>
    <row r="4" spans="1:11" hidden="1" x14ac:dyDescent="0.35">
      <c r="A4" t="s">
        <v>10</v>
      </c>
      <c r="B4">
        <v>2019</v>
      </c>
      <c r="C4" t="s">
        <v>11</v>
      </c>
      <c r="D4" t="s">
        <v>12</v>
      </c>
      <c r="E4" t="b">
        <v>1</v>
      </c>
      <c r="F4" t="s">
        <v>249</v>
      </c>
      <c r="G4" t="s">
        <v>223</v>
      </c>
      <c r="H4">
        <v>1</v>
      </c>
      <c r="I4" t="s">
        <v>160</v>
      </c>
      <c r="J4" t="s">
        <v>223</v>
      </c>
      <c r="K4" t="b">
        <v>1</v>
      </c>
    </row>
    <row r="5" spans="1:11" hidden="1" x14ac:dyDescent="0.35">
      <c r="A5" t="s">
        <v>13</v>
      </c>
      <c r="B5">
        <v>2019</v>
      </c>
      <c r="C5" t="s">
        <v>14</v>
      </c>
      <c r="D5" t="s">
        <v>15</v>
      </c>
      <c r="E5" t="b">
        <v>1</v>
      </c>
      <c r="F5" t="s">
        <v>250</v>
      </c>
      <c r="G5" t="s">
        <v>238</v>
      </c>
      <c r="H5">
        <v>0.5</v>
      </c>
      <c r="I5" t="s">
        <v>160</v>
      </c>
      <c r="J5" t="s">
        <v>224</v>
      </c>
      <c r="K5" t="b">
        <v>1</v>
      </c>
    </row>
    <row r="6" spans="1:11" hidden="1" x14ac:dyDescent="0.35">
      <c r="A6" t="s">
        <v>16</v>
      </c>
      <c r="B6">
        <v>2019</v>
      </c>
      <c r="C6" t="s">
        <v>17</v>
      </c>
      <c r="D6" t="s">
        <v>18</v>
      </c>
      <c r="E6" t="b">
        <v>1</v>
      </c>
      <c r="F6" t="s">
        <v>251</v>
      </c>
      <c r="G6" t="s">
        <v>223</v>
      </c>
      <c r="H6">
        <v>1</v>
      </c>
      <c r="I6" t="s">
        <v>160</v>
      </c>
      <c r="J6" t="s">
        <v>224</v>
      </c>
      <c r="K6" t="b">
        <v>1</v>
      </c>
    </row>
    <row r="7" spans="1:11" hidden="1" x14ac:dyDescent="0.35">
      <c r="A7" t="s">
        <v>19</v>
      </c>
      <c r="B7">
        <v>2019</v>
      </c>
      <c r="C7" t="s">
        <v>20</v>
      </c>
      <c r="D7" t="s">
        <v>21</v>
      </c>
      <c r="E7" t="b">
        <v>1</v>
      </c>
      <c r="F7" t="s">
        <v>250</v>
      </c>
      <c r="G7" t="s">
        <v>238</v>
      </c>
      <c r="H7">
        <v>0.5</v>
      </c>
      <c r="I7" t="s">
        <v>160</v>
      </c>
      <c r="J7" t="s">
        <v>224</v>
      </c>
      <c r="K7" t="b">
        <v>1</v>
      </c>
    </row>
    <row r="8" spans="1:11" hidden="1" x14ac:dyDescent="0.35">
      <c r="A8" t="s">
        <v>22</v>
      </c>
      <c r="B8">
        <v>2019</v>
      </c>
      <c r="C8" t="s">
        <v>23</v>
      </c>
      <c r="D8" t="s">
        <v>24</v>
      </c>
      <c r="E8" t="b">
        <v>1</v>
      </c>
      <c r="F8" t="s">
        <v>250</v>
      </c>
      <c r="G8" t="s">
        <v>238</v>
      </c>
      <c r="H8">
        <v>0.5</v>
      </c>
      <c r="I8" t="s">
        <v>160</v>
      </c>
      <c r="J8" t="s">
        <v>224</v>
      </c>
      <c r="K8" t="b">
        <v>1</v>
      </c>
    </row>
    <row r="9" spans="1:11" hidden="1" x14ac:dyDescent="0.35">
      <c r="A9" t="s">
        <v>25</v>
      </c>
      <c r="B9">
        <v>2019</v>
      </c>
      <c r="C9" t="s">
        <v>26</v>
      </c>
      <c r="D9" t="s">
        <v>27</v>
      </c>
      <c r="E9" t="b">
        <v>1</v>
      </c>
      <c r="F9" t="s">
        <v>250</v>
      </c>
      <c r="G9" t="s">
        <v>238</v>
      </c>
      <c r="H9">
        <v>0.5</v>
      </c>
      <c r="I9" t="s">
        <v>221</v>
      </c>
      <c r="J9" t="s">
        <v>225</v>
      </c>
      <c r="K9" t="b">
        <v>0</v>
      </c>
    </row>
    <row r="10" spans="1:11" hidden="1" x14ac:dyDescent="0.35">
      <c r="A10" t="s">
        <v>28</v>
      </c>
      <c r="B10">
        <v>2019</v>
      </c>
      <c r="C10" t="s">
        <v>29</v>
      </c>
      <c r="D10" t="s">
        <v>30</v>
      </c>
      <c r="E10" t="b">
        <v>1</v>
      </c>
      <c r="F10" t="s">
        <v>252</v>
      </c>
      <c r="G10" t="s">
        <v>223</v>
      </c>
      <c r="H10">
        <v>1</v>
      </c>
      <c r="I10" t="s">
        <v>160</v>
      </c>
      <c r="J10" t="s">
        <v>223</v>
      </c>
      <c r="K10" t="b">
        <v>1</v>
      </c>
    </row>
    <row r="11" spans="1:11" hidden="1" x14ac:dyDescent="0.35">
      <c r="A11" t="s">
        <v>31</v>
      </c>
      <c r="B11">
        <v>2019</v>
      </c>
      <c r="C11" t="s">
        <v>32</v>
      </c>
      <c r="D11" t="s">
        <v>33</v>
      </c>
      <c r="E11" t="b">
        <v>1</v>
      </c>
      <c r="F11" t="s">
        <v>239</v>
      </c>
      <c r="G11" t="s">
        <v>223</v>
      </c>
      <c r="H11">
        <v>1</v>
      </c>
      <c r="I11" t="s">
        <v>160</v>
      </c>
      <c r="J11" t="s">
        <v>226</v>
      </c>
      <c r="K11" t="b">
        <v>1</v>
      </c>
    </row>
    <row r="12" spans="1:11" hidden="1" x14ac:dyDescent="0.35">
      <c r="A12" t="s">
        <v>34</v>
      </c>
      <c r="B12">
        <v>2019</v>
      </c>
      <c r="C12" t="s">
        <v>35</v>
      </c>
      <c r="D12" t="s">
        <v>36</v>
      </c>
      <c r="E12" t="b">
        <v>1</v>
      </c>
      <c r="F12" t="s">
        <v>250</v>
      </c>
      <c r="G12" t="s">
        <v>238</v>
      </c>
      <c r="H12">
        <v>0.5</v>
      </c>
      <c r="I12" t="s">
        <v>221</v>
      </c>
      <c r="J12" t="s">
        <v>225</v>
      </c>
      <c r="K12" t="b">
        <v>0</v>
      </c>
    </row>
    <row r="13" spans="1:11" hidden="1" x14ac:dyDescent="0.35">
      <c r="A13" t="s">
        <v>37</v>
      </c>
      <c r="B13">
        <v>2019</v>
      </c>
      <c r="C13" t="s">
        <v>38</v>
      </c>
      <c r="D13" t="s">
        <v>39</v>
      </c>
      <c r="E13" t="b">
        <v>1</v>
      </c>
      <c r="F13" t="s">
        <v>253</v>
      </c>
      <c r="G13" t="s">
        <v>223</v>
      </c>
      <c r="H13">
        <v>1</v>
      </c>
      <c r="I13" t="s">
        <v>160</v>
      </c>
      <c r="J13" t="s">
        <v>223</v>
      </c>
      <c r="K13" t="b">
        <v>1</v>
      </c>
    </row>
    <row r="14" spans="1:11" hidden="1" x14ac:dyDescent="0.35">
      <c r="A14" t="s">
        <v>40</v>
      </c>
      <c r="B14">
        <v>2019</v>
      </c>
      <c r="C14" t="s">
        <v>41</v>
      </c>
      <c r="D14" t="s">
        <v>42</v>
      </c>
      <c r="E14" t="b">
        <v>1</v>
      </c>
      <c r="F14" t="s">
        <v>254</v>
      </c>
      <c r="G14" t="s">
        <v>223</v>
      </c>
      <c r="H14">
        <v>0.95</v>
      </c>
      <c r="I14" s="5" t="s">
        <v>160</v>
      </c>
      <c r="K14" t="b">
        <v>1</v>
      </c>
    </row>
    <row r="15" spans="1:11" hidden="1" x14ac:dyDescent="0.35">
      <c r="A15" t="s">
        <v>43</v>
      </c>
      <c r="B15">
        <v>2019</v>
      </c>
      <c r="C15" t="s">
        <v>44</v>
      </c>
      <c r="D15" t="s">
        <v>45</v>
      </c>
      <c r="E15" t="b">
        <v>1</v>
      </c>
      <c r="F15" t="s">
        <v>250</v>
      </c>
      <c r="G15" t="s">
        <v>238</v>
      </c>
      <c r="H15">
        <v>0.5</v>
      </c>
      <c r="I15" t="s">
        <v>160</v>
      </c>
      <c r="J15" t="s">
        <v>224</v>
      </c>
      <c r="K15" t="b">
        <v>1</v>
      </c>
    </row>
    <row r="16" spans="1:11" hidden="1" x14ac:dyDescent="0.35">
      <c r="A16" t="s">
        <v>46</v>
      </c>
      <c r="B16">
        <v>2019</v>
      </c>
      <c r="C16" t="s">
        <v>47</v>
      </c>
      <c r="D16" t="s">
        <v>48</v>
      </c>
      <c r="E16" t="b">
        <v>1</v>
      </c>
      <c r="F16" t="s">
        <v>240</v>
      </c>
      <c r="G16" t="s">
        <v>223</v>
      </c>
      <c r="H16">
        <v>1</v>
      </c>
      <c r="I16" t="s">
        <v>160</v>
      </c>
      <c r="J16" t="s">
        <v>224</v>
      </c>
      <c r="K16" t="b">
        <v>1</v>
      </c>
    </row>
    <row r="17" spans="1:11" hidden="1" x14ac:dyDescent="0.35">
      <c r="A17" t="s">
        <v>49</v>
      </c>
      <c r="B17">
        <v>2019</v>
      </c>
      <c r="C17" t="s">
        <v>50</v>
      </c>
      <c r="D17" t="s">
        <v>51</v>
      </c>
      <c r="E17" t="b">
        <v>1</v>
      </c>
      <c r="F17" t="s">
        <v>255</v>
      </c>
      <c r="G17" t="s">
        <v>223</v>
      </c>
      <c r="H17">
        <v>1</v>
      </c>
      <c r="I17" t="s">
        <v>160</v>
      </c>
      <c r="J17" t="s">
        <v>223</v>
      </c>
      <c r="K17" t="b">
        <v>1</v>
      </c>
    </row>
    <row r="18" spans="1:11" hidden="1" x14ac:dyDescent="0.35">
      <c r="A18" t="s">
        <v>52</v>
      </c>
      <c r="B18">
        <v>2019</v>
      </c>
      <c r="C18" t="s">
        <v>53</v>
      </c>
      <c r="D18" t="s">
        <v>54</v>
      </c>
      <c r="E18" t="b">
        <v>1</v>
      </c>
      <c r="F18" t="s">
        <v>250</v>
      </c>
      <c r="G18" t="s">
        <v>238</v>
      </c>
      <c r="H18">
        <v>0.5</v>
      </c>
      <c r="I18" t="s">
        <v>160</v>
      </c>
      <c r="J18" t="s">
        <v>224</v>
      </c>
      <c r="K18" t="b">
        <v>1</v>
      </c>
    </row>
    <row r="19" spans="1:11" hidden="1" x14ac:dyDescent="0.35">
      <c r="A19" t="s">
        <v>57</v>
      </c>
      <c r="B19">
        <v>2019</v>
      </c>
      <c r="C19" t="s">
        <v>58</v>
      </c>
      <c r="D19" t="s">
        <v>59</v>
      </c>
      <c r="E19" t="b">
        <v>0</v>
      </c>
      <c r="F19" t="s">
        <v>241</v>
      </c>
      <c r="G19" t="s">
        <v>222</v>
      </c>
      <c r="H19">
        <v>1</v>
      </c>
      <c r="I19" t="s">
        <v>221</v>
      </c>
      <c r="J19" t="s">
        <v>222</v>
      </c>
      <c r="K19" t="b">
        <v>0</v>
      </c>
    </row>
    <row r="20" spans="1:11" hidden="1" x14ac:dyDescent="0.35">
      <c r="A20" t="s">
        <v>60</v>
      </c>
      <c r="B20">
        <v>2019</v>
      </c>
      <c r="C20" t="s">
        <v>61</v>
      </c>
      <c r="D20" t="s">
        <v>62</v>
      </c>
      <c r="E20" t="b">
        <v>0</v>
      </c>
      <c r="F20" t="s">
        <v>256</v>
      </c>
      <c r="G20" t="s">
        <v>222</v>
      </c>
      <c r="H20">
        <v>0.9</v>
      </c>
      <c r="I20" t="s">
        <v>221</v>
      </c>
      <c r="J20" t="s">
        <v>222</v>
      </c>
      <c r="K20" t="b">
        <v>0</v>
      </c>
    </row>
    <row r="21" spans="1:11" hidden="1" x14ac:dyDescent="0.35">
      <c r="A21" t="s">
        <v>63</v>
      </c>
      <c r="B21">
        <v>2019</v>
      </c>
      <c r="C21" t="s">
        <v>64</v>
      </c>
      <c r="D21" t="s">
        <v>65</v>
      </c>
      <c r="E21" t="b">
        <v>1</v>
      </c>
      <c r="F21" t="s">
        <v>257</v>
      </c>
      <c r="G21" t="s">
        <v>223</v>
      </c>
      <c r="H21">
        <v>1</v>
      </c>
      <c r="I21" t="s">
        <v>160</v>
      </c>
      <c r="J21" t="s">
        <v>223</v>
      </c>
      <c r="K21" t="b">
        <v>1</v>
      </c>
    </row>
    <row r="22" spans="1:11" hidden="1" x14ac:dyDescent="0.35">
      <c r="A22" t="s">
        <v>66</v>
      </c>
      <c r="B22">
        <v>2019</v>
      </c>
      <c r="C22" t="s">
        <v>67</v>
      </c>
      <c r="D22" t="s">
        <v>68</v>
      </c>
      <c r="E22" t="b">
        <v>1</v>
      </c>
      <c r="F22" t="s">
        <v>258</v>
      </c>
      <c r="G22" t="s">
        <v>223</v>
      </c>
      <c r="H22">
        <v>1</v>
      </c>
      <c r="I22" t="s">
        <v>160</v>
      </c>
      <c r="J22" t="s">
        <v>226</v>
      </c>
      <c r="K22" t="b">
        <v>1</v>
      </c>
    </row>
    <row r="23" spans="1:11" hidden="1" x14ac:dyDescent="0.35">
      <c r="A23" t="s">
        <v>69</v>
      </c>
      <c r="B23">
        <v>2019</v>
      </c>
      <c r="C23" t="s">
        <v>70</v>
      </c>
      <c r="D23" t="s">
        <v>71</v>
      </c>
      <c r="E23" t="b">
        <v>1</v>
      </c>
      <c r="F23" t="s">
        <v>259</v>
      </c>
      <c r="G23" t="s">
        <v>223</v>
      </c>
      <c r="H23">
        <v>1</v>
      </c>
      <c r="I23" t="s">
        <v>160</v>
      </c>
      <c r="J23" t="s">
        <v>228</v>
      </c>
      <c r="K23" t="b">
        <v>1</v>
      </c>
    </row>
    <row r="24" spans="1:11" hidden="1" x14ac:dyDescent="0.35">
      <c r="A24" t="s">
        <v>72</v>
      </c>
      <c r="B24">
        <v>2019</v>
      </c>
      <c r="C24" t="s">
        <v>73</v>
      </c>
      <c r="D24" t="s">
        <v>74</v>
      </c>
      <c r="E24" t="b">
        <v>1</v>
      </c>
      <c r="F24" t="s">
        <v>250</v>
      </c>
      <c r="G24" t="s">
        <v>238</v>
      </c>
      <c r="H24">
        <v>0.5</v>
      </c>
      <c r="I24" t="s">
        <v>160</v>
      </c>
      <c r="J24" t="s">
        <v>224</v>
      </c>
      <c r="K24" t="b">
        <v>1</v>
      </c>
    </row>
    <row r="25" spans="1:11" hidden="1" x14ac:dyDescent="0.35">
      <c r="A25" t="s">
        <v>75</v>
      </c>
      <c r="B25">
        <v>2019</v>
      </c>
      <c r="C25" t="s">
        <v>76</v>
      </c>
      <c r="D25" t="s">
        <v>77</v>
      </c>
      <c r="E25" t="b">
        <v>1</v>
      </c>
      <c r="F25" t="s">
        <v>250</v>
      </c>
      <c r="G25" t="s">
        <v>238</v>
      </c>
      <c r="H25">
        <v>0.5</v>
      </c>
      <c r="I25" t="s">
        <v>160</v>
      </c>
      <c r="J25" t="s">
        <v>224</v>
      </c>
      <c r="K25" t="b">
        <v>1</v>
      </c>
    </row>
    <row r="26" spans="1:11" hidden="1" x14ac:dyDescent="0.35">
      <c r="A26" t="s">
        <v>78</v>
      </c>
      <c r="B26">
        <v>2019</v>
      </c>
      <c r="C26" t="s">
        <v>79</v>
      </c>
      <c r="D26" t="s">
        <v>80</v>
      </c>
      <c r="E26" t="b">
        <v>1</v>
      </c>
      <c r="F26" t="s">
        <v>260</v>
      </c>
      <c r="G26" t="s">
        <v>223</v>
      </c>
      <c r="H26">
        <v>1</v>
      </c>
      <c r="I26" t="s">
        <v>160</v>
      </c>
      <c r="J26" t="s">
        <v>223</v>
      </c>
      <c r="K26" t="b">
        <v>1</v>
      </c>
    </row>
    <row r="27" spans="1:11" hidden="1" x14ac:dyDescent="0.35">
      <c r="A27" t="s">
        <v>81</v>
      </c>
      <c r="B27">
        <v>2019</v>
      </c>
      <c r="C27" t="s">
        <v>82</v>
      </c>
      <c r="D27" t="s">
        <v>83</v>
      </c>
      <c r="E27" t="b">
        <v>1</v>
      </c>
      <c r="F27" t="s">
        <v>250</v>
      </c>
      <c r="G27" t="s">
        <v>238</v>
      </c>
      <c r="H27">
        <v>0.5</v>
      </c>
      <c r="I27" t="s">
        <v>221</v>
      </c>
      <c r="J27" t="s">
        <v>227</v>
      </c>
      <c r="K27" t="b">
        <v>0</v>
      </c>
    </row>
    <row r="28" spans="1:11" hidden="1" x14ac:dyDescent="0.35">
      <c r="A28" t="s">
        <v>84</v>
      </c>
      <c r="B28">
        <v>2019</v>
      </c>
      <c r="C28" t="s">
        <v>85</v>
      </c>
      <c r="D28" t="s">
        <v>86</v>
      </c>
      <c r="E28" t="b">
        <v>1</v>
      </c>
      <c r="F28" t="s">
        <v>250</v>
      </c>
      <c r="G28" t="s">
        <v>238</v>
      </c>
      <c r="H28">
        <v>0.5</v>
      </c>
      <c r="I28" t="s">
        <v>160</v>
      </c>
      <c r="J28" t="s">
        <v>223</v>
      </c>
      <c r="K28" t="b">
        <v>1</v>
      </c>
    </row>
    <row r="29" spans="1:11" hidden="1" x14ac:dyDescent="0.35">
      <c r="A29" t="s">
        <v>87</v>
      </c>
      <c r="B29">
        <v>2019</v>
      </c>
      <c r="C29" t="s">
        <v>88</v>
      </c>
      <c r="D29" t="s">
        <v>89</v>
      </c>
      <c r="E29" t="b">
        <v>1</v>
      </c>
      <c r="F29" t="s">
        <v>250</v>
      </c>
      <c r="G29" t="s">
        <v>238</v>
      </c>
      <c r="H29">
        <v>0.5</v>
      </c>
      <c r="I29" t="s">
        <v>160</v>
      </c>
      <c r="J29" t="s">
        <v>224</v>
      </c>
      <c r="K29" t="b">
        <v>1</v>
      </c>
    </row>
    <row r="30" spans="1:11" hidden="1" x14ac:dyDescent="0.35">
      <c r="A30" t="s">
        <v>90</v>
      </c>
      <c r="B30">
        <v>2019</v>
      </c>
      <c r="C30" t="s">
        <v>91</v>
      </c>
      <c r="D30" t="s">
        <v>92</v>
      </c>
      <c r="E30" t="b">
        <v>1</v>
      </c>
      <c r="F30" t="s">
        <v>250</v>
      </c>
      <c r="G30" t="s">
        <v>238</v>
      </c>
      <c r="H30">
        <v>0.5</v>
      </c>
      <c r="I30" t="s">
        <v>160</v>
      </c>
      <c r="J30" t="s">
        <v>224</v>
      </c>
      <c r="K30" t="b">
        <v>1</v>
      </c>
    </row>
    <row r="31" spans="1:11" hidden="1" x14ac:dyDescent="0.35">
      <c r="A31" t="s">
        <v>93</v>
      </c>
      <c r="B31">
        <v>2019</v>
      </c>
      <c r="C31" t="s">
        <v>94</v>
      </c>
      <c r="D31" t="s">
        <v>95</v>
      </c>
      <c r="E31" t="b">
        <v>1</v>
      </c>
      <c r="F31" t="s">
        <v>250</v>
      </c>
      <c r="G31" t="s">
        <v>238</v>
      </c>
      <c r="H31">
        <v>0.5</v>
      </c>
      <c r="I31" t="s">
        <v>160</v>
      </c>
      <c r="J31" t="s">
        <v>224</v>
      </c>
      <c r="K31" t="b">
        <v>1</v>
      </c>
    </row>
    <row r="32" spans="1:11" hidden="1" x14ac:dyDescent="0.35">
      <c r="A32" t="s">
        <v>96</v>
      </c>
      <c r="B32">
        <v>2019</v>
      </c>
      <c r="C32" t="s">
        <v>97</v>
      </c>
      <c r="D32" t="s">
        <v>98</v>
      </c>
      <c r="E32" t="b">
        <v>0</v>
      </c>
      <c r="F32" t="s">
        <v>261</v>
      </c>
      <c r="G32" t="s">
        <v>222</v>
      </c>
      <c r="H32">
        <v>1</v>
      </c>
      <c r="I32" t="s">
        <v>221</v>
      </c>
      <c r="J32" t="s">
        <v>229</v>
      </c>
      <c r="K32" t="b">
        <v>0</v>
      </c>
    </row>
    <row r="33" spans="1:11" hidden="1" x14ac:dyDescent="0.35">
      <c r="A33" t="s">
        <v>99</v>
      </c>
      <c r="B33">
        <v>2019</v>
      </c>
      <c r="C33" t="s">
        <v>100</v>
      </c>
      <c r="D33" t="s">
        <v>101</v>
      </c>
      <c r="E33" t="b">
        <v>1</v>
      </c>
      <c r="F33" t="s">
        <v>262</v>
      </c>
      <c r="G33" t="s">
        <v>223</v>
      </c>
      <c r="H33">
        <v>1</v>
      </c>
      <c r="I33" t="s">
        <v>160</v>
      </c>
      <c r="J33" t="s">
        <v>223</v>
      </c>
      <c r="K33" t="b">
        <v>1</v>
      </c>
    </row>
    <row r="34" spans="1:11" hidden="1" x14ac:dyDescent="0.35">
      <c r="A34" t="s">
        <v>102</v>
      </c>
      <c r="B34">
        <v>2019</v>
      </c>
      <c r="C34" t="s">
        <v>103</v>
      </c>
      <c r="D34" t="s">
        <v>104</v>
      </c>
      <c r="E34" t="b">
        <v>1</v>
      </c>
      <c r="F34" t="s">
        <v>242</v>
      </c>
      <c r="G34" t="s">
        <v>223</v>
      </c>
      <c r="H34">
        <v>1</v>
      </c>
      <c r="I34" t="s">
        <v>160</v>
      </c>
      <c r="J34" t="s">
        <v>224</v>
      </c>
      <c r="K34" t="b">
        <v>1</v>
      </c>
    </row>
    <row r="35" spans="1:11" ht="409.5" hidden="1" x14ac:dyDescent="0.35">
      <c r="A35" t="s">
        <v>105</v>
      </c>
      <c r="B35">
        <v>2019</v>
      </c>
      <c r="C35" t="s">
        <v>106</v>
      </c>
      <c r="D35" s="1" t="s">
        <v>107</v>
      </c>
      <c r="E35" t="b">
        <v>1</v>
      </c>
      <c r="F35" t="s">
        <v>243</v>
      </c>
      <c r="G35" t="s">
        <v>223</v>
      </c>
      <c r="H35">
        <v>1</v>
      </c>
      <c r="I35" t="s">
        <v>160</v>
      </c>
      <c r="J35" t="s">
        <v>223</v>
      </c>
      <c r="K35" t="b">
        <v>1</v>
      </c>
    </row>
    <row r="36" spans="1:11" hidden="1" x14ac:dyDescent="0.35">
      <c r="A36" t="s">
        <v>108</v>
      </c>
      <c r="B36">
        <v>2019</v>
      </c>
      <c r="C36" t="s">
        <v>109</v>
      </c>
      <c r="D36" t="s">
        <v>110</v>
      </c>
      <c r="E36" t="b">
        <v>1</v>
      </c>
      <c r="F36" t="s">
        <v>250</v>
      </c>
      <c r="G36" t="s">
        <v>238</v>
      </c>
      <c r="H36">
        <v>0.5</v>
      </c>
      <c r="I36" t="s">
        <v>160</v>
      </c>
      <c r="J36" t="s">
        <v>224</v>
      </c>
      <c r="K36" t="b">
        <v>1</v>
      </c>
    </row>
    <row r="37" spans="1:11" hidden="1" x14ac:dyDescent="0.35">
      <c r="A37" t="s">
        <v>111</v>
      </c>
      <c r="B37">
        <v>2019</v>
      </c>
      <c r="C37" t="s">
        <v>112</v>
      </c>
      <c r="D37" t="s">
        <v>113</v>
      </c>
      <c r="E37" t="b">
        <v>1</v>
      </c>
      <c r="F37" t="s">
        <v>244</v>
      </c>
      <c r="G37" t="s">
        <v>223</v>
      </c>
      <c r="H37">
        <v>1</v>
      </c>
      <c r="I37" t="s">
        <v>160</v>
      </c>
      <c r="J37" t="s">
        <v>230</v>
      </c>
      <c r="K37" t="b">
        <v>1</v>
      </c>
    </row>
    <row r="38" spans="1:11" hidden="1" x14ac:dyDescent="0.35">
      <c r="A38" t="s">
        <v>114</v>
      </c>
      <c r="B38">
        <v>2019</v>
      </c>
      <c r="C38" t="s">
        <v>115</v>
      </c>
      <c r="D38" t="s">
        <v>116</v>
      </c>
      <c r="E38" t="b">
        <v>1</v>
      </c>
      <c r="F38" t="s">
        <v>263</v>
      </c>
      <c r="G38" t="s">
        <v>223</v>
      </c>
      <c r="H38">
        <v>1</v>
      </c>
      <c r="I38" t="s">
        <v>160</v>
      </c>
      <c r="J38" t="s">
        <v>223</v>
      </c>
      <c r="K38" t="b">
        <v>1</v>
      </c>
    </row>
    <row r="39" spans="1:11" hidden="1" x14ac:dyDescent="0.35">
      <c r="A39" t="s">
        <v>117</v>
      </c>
      <c r="B39">
        <v>2019</v>
      </c>
      <c r="C39" t="s">
        <v>118</v>
      </c>
      <c r="D39" t="s">
        <v>119</v>
      </c>
      <c r="E39" t="b">
        <v>1</v>
      </c>
      <c r="F39" t="s">
        <v>250</v>
      </c>
      <c r="G39" t="s">
        <v>238</v>
      </c>
      <c r="H39">
        <v>0.5</v>
      </c>
      <c r="I39" t="s">
        <v>221</v>
      </c>
      <c r="J39" t="s">
        <v>225</v>
      </c>
      <c r="K39" t="b">
        <v>0</v>
      </c>
    </row>
    <row r="40" spans="1:11" hidden="1" x14ac:dyDescent="0.35">
      <c r="A40" t="s">
        <v>120</v>
      </c>
      <c r="B40">
        <v>2019</v>
      </c>
      <c r="C40" t="s">
        <v>121</v>
      </c>
      <c r="D40" t="s">
        <v>122</v>
      </c>
      <c r="E40" t="b">
        <v>1</v>
      </c>
      <c r="F40" t="s">
        <v>250</v>
      </c>
      <c r="G40" t="s">
        <v>238</v>
      </c>
      <c r="H40">
        <v>0.5</v>
      </c>
      <c r="I40" t="s">
        <v>221</v>
      </c>
      <c r="J40" t="s">
        <v>231</v>
      </c>
      <c r="K40" t="b">
        <v>0</v>
      </c>
    </row>
    <row r="41" spans="1:11" hidden="1" x14ac:dyDescent="0.35">
      <c r="A41" t="s">
        <v>123</v>
      </c>
      <c r="B41">
        <v>2019</v>
      </c>
      <c r="C41" t="s">
        <v>124</v>
      </c>
      <c r="D41" t="s">
        <v>125</v>
      </c>
      <c r="E41" t="b">
        <v>1</v>
      </c>
      <c r="F41" t="s">
        <v>250</v>
      </c>
      <c r="G41" t="s">
        <v>238</v>
      </c>
      <c r="H41">
        <v>0.5</v>
      </c>
      <c r="I41" t="s">
        <v>160</v>
      </c>
      <c r="J41" t="s">
        <v>224</v>
      </c>
      <c r="K41" t="b">
        <v>1</v>
      </c>
    </row>
    <row r="42" spans="1:11" ht="409.5" hidden="1" x14ac:dyDescent="0.35">
      <c r="A42" t="s">
        <v>126</v>
      </c>
      <c r="B42">
        <v>2019</v>
      </c>
      <c r="C42" t="s">
        <v>127</v>
      </c>
      <c r="D42" s="1" t="s">
        <v>128</v>
      </c>
      <c r="E42" t="b">
        <v>1</v>
      </c>
      <c r="F42" t="s">
        <v>264</v>
      </c>
      <c r="G42" t="s">
        <v>223</v>
      </c>
      <c r="H42">
        <v>1</v>
      </c>
      <c r="I42" t="s">
        <v>160</v>
      </c>
      <c r="J42" t="s">
        <v>223</v>
      </c>
      <c r="K42" t="b">
        <v>1</v>
      </c>
    </row>
    <row r="43" spans="1:11" hidden="1" x14ac:dyDescent="0.35">
      <c r="A43" t="s">
        <v>129</v>
      </c>
      <c r="B43">
        <v>2019</v>
      </c>
      <c r="C43" t="s">
        <v>130</v>
      </c>
      <c r="D43" t="s">
        <v>131</v>
      </c>
      <c r="E43" t="b">
        <v>1</v>
      </c>
      <c r="F43" t="s">
        <v>250</v>
      </c>
      <c r="G43" t="s">
        <v>238</v>
      </c>
      <c r="H43">
        <v>0.5</v>
      </c>
      <c r="I43" t="s">
        <v>160</v>
      </c>
      <c r="J43" t="s">
        <v>223</v>
      </c>
      <c r="K43" t="b">
        <v>1</v>
      </c>
    </row>
    <row r="44" spans="1:11" hidden="1" x14ac:dyDescent="0.35">
      <c r="A44" t="s">
        <v>132</v>
      </c>
      <c r="B44">
        <v>2019</v>
      </c>
      <c r="C44" t="s">
        <v>133</v>
      </c>
      <c r="D44" t="s">
        <v>134</v>
      </c>
      <c r="E44" t="b">
        <v>1</v>
      </c>
      <c r="F44" t="s">
        <v>265</v>
      </c>
      <c r="G44" t="s">
        <v>223</v>
      </c>
      <c r="H44">
        <v>1</v>
      </c>
      <c r="I44" t="s">
        <v>160</v>
      </c>
      <c r="J44" t="s">
        <v>223</v>
      </c>
      <c r="K44" t="b">
        <v>1</v>
      </c>
    </row>
    <row r="45" spans="1:11" hidden="1" x14ac:dyDescent="0.35">
      <c r="A45" t="s">
        <v>135</v>
      </c>
      <c r="B45">
        <v>2019</v>
      </c>
      <c r="C45" t="s">
        <v>136</v>
      </c>
      <c r="D45" t="s">
        <v>137</v>
      </c>
      <c r="E45" t="b">
        <v>1</v>
      </c>
      <c r="F45" t="s">
        <v>266</v>
      </c>
      <c r="G45" t="s">
        <v>223</v>
      </c>
      <c r="H45">
        <v>1</v>
      </c>
      <c r="I45" t="s">
        <v>160</v>
      </c>
      <c r="J45" t="s">
        <v>226</v>
      </c>
      <c r="K45" t="b">
        <v>1</v>
      </c>
    </row>
    <row r="46" spans="1:11" hidden="1" x14ac:dyDescent="0.35">
      <c r="A46" t="s">
        <v>138</v>
      </c>
      <c r="B46">
        <v>2019</v>
      </c>
      <c r="C46" t="s">
        <v>139</v>
      </c>
      <c r="D46" t="s">
        <v>140</v>
      </c>
      <c r="E46" t="b">
        <v>1</v>
      </c>
      <c r="F46" t="s">
        <v>267</v>
      </c>
      <c r="G46" t="s">
        <v>223</v>
      </c>
      <c r="H46">
        <v>1</v>
      </c>
      <c r="I46" t="s">
        <v>160</v>
      </c>
      <c r="J46" t="s">
        <v>226</v>
      </c>
      <c r="K46" t="b">
        <v>1</v>
      </c>
    </row>
    <row r="47" spans="1:11" hidden="1" x14ac:dyDescent="0.35">
      <c r="A47" t="s">
        <v>141</v>
      </c>
      <c r="B47">
        <v>2019</v>
      </c>
      <c r="C47" t="s">
        <v>142</v>
      </c>
      <c r="D47" t="s">
        <v>143</v>
      </c>
      <c r="E47" t="b">
        <v>1</v>
      </c>
      <c r="F47" t="s">
        <v>268</v>
      </c>
      <c r="G47" t="s">
        <v>223</v>
      </c>
      <c r="H47">
        <v>1</v>
      </c>
      <c r="I47" t="s">
        <v>160</v>
      </c>
      <c r="J47" t="s">
        <v>223</v>
      </c>
      <c r="K47" t="b">
        <v>1</v>
      </c>
    </row>
    <row r="48" spans="1:11" hidden="1" x14ac:dyDescent="0.35">
      <c r="A48" t="s">
        <v>144</v>
      </c>
      <c r="B48">
        <v>2019</v>
      </c>
      <c r="C48" t="s">
        <v>145</v>
      </c>
      <c r="D48" t="s">
        <v>146</v>
      </c>
      <c r="E48" t="b">
        <v>1</v>
      </c>
      <c r="F48" t="s">
        <v>269</v>
      </c>
      <c r="G48" t="s">
        <v>223</v>
      </c>
      <c r="H48">
        <v>1</v>
      </c>
      <c r="I48" t="s">
        <v>160</v>
      </c>
      <c r="J48" t="s">
        <v>223</v>
      </c>
      <c r="K48" t="b">
        <v>1</v>
      </c>
    </row>
    <row r="49" spans="1:11" hidden="1" x14ac:dyDescent="0.35">
      <c r="A49" t="s">
        <v>147</v>
      </c>
      <c r="B49">
        <v>2019</v>
      </c>
      <c r="C49" t="s">
        <v>148</v>
      </c>
      <c r="D49" t="s">
        <v>149</v>
      </c>
      <c r="E49" t="b">
        <v>1</v>
      </c>
      <c r="F49" t="s">
        <v>250</v>
      </c>
      <c r="G49" t="s">
        <v>238</v>
      </c>
      <c r="H49">
        <v>0.5</v>
      </c>
      <c r="I49" t="s">
        <v>221</v>
      </c>
      <c r="J49" t="s">
        <v>232</v>
      </c>
      <c r="K49" t="b">
        <v>0</v>
      </c>
    </row>
    <row r="50" spans="1:11" hidden="1" x14ac:dyDescent="0.35">
      <c r="A50" t="s">
        <v>150</v>
      </c>
      <c r="B50">
        <v>2019</v>
      </c>
      <c r="C50" t="s">
        <v>151</v>
      </c>
      <c r="D50" t="s">
        <v>152</v>
      </c>
      <c r="E50" t="b">
        <v>1</v>
      </c>
      <c r="F50" t="s">
        <v>270</v>
      </c>
      <c r="G50" t="s">
        <v>223</v>
      </c>
      <c r="H50">
        <v>1</v>
      </c>
      <c r="I50" t="s">
        <v>160</v>
      </c>
      <c r="J50" t="s">
        <v>226</v>
      </c>
      <c r="K50" t="b">
        <v>1</v>
      </c>
    </row>
    <row r="51" spans="1:11" hidden="1" x14ac:dyDescent="0.35">
      <c r="A51" t="s">
        <v>153</v>
      </c>
      <c r="B51">
        <v>2019</v>
      </c>
      <c r="C51" t="s">
        <v>154</v>
      </c>
      <c r="D51" t="s">
        <v>155</v>
      </c>
      <c r="E51" t="b">
        <v>1</v>
      </c>
      <c r="F51" t="s">
        <v>250</v>
      </c>
      <c r="G51" t="s">
        <v>238</v>
      </c>
      <c r="H51">
        <v>0.5</v>
      </c>
      <c r="I51" t="s">
        <v>221</v>
      </c>
      <c r="J51" t="s">
        <v>233</v>
      </c>
      <c r="K51" t="b">
        <v>0</v>
      </c>
    </row>
    <row r="52" spans="1:11" hidden="1" x14ac:dyDescent="0.35">
      <c r="A52" t="s">
        <v>271</v>
      </c>
      <c r="B52">
        <v>2019</v>
      </c>
      <c r="C52" t="s">
        <v>272</v>
      </c>
      <c r="D52" t="s">
        <v>273</v>
      </c>
      <c r="E52" t="b">
        <v>1</v>
      </c>
      <c r="F52" t="s">
        <v>739</v>
      </c>
      <c r="G52" t="s">
        <v>223</v>
      </c>
      <c r="H52">
        <v>1</v>
      </c>
      <c r="I52" t="s">
        <v>160</v>
      </c>
      <c r="J52" t="s">
        <v>230</v>
      </c>
      <c r="K52" t="b">
        <v>1</v>
      </c>
    </row>
    <row r="53" spans="1:11" hidden="1" x14ac:dyDescent="0.35">
      <c r="A53" t="s">
        <v>274</v>
      </c>
      <c r="B53">
        <v>2019</v>
      </c>
      <c r="C53" t="s">
        <v>740</v>
      </c>
      <c r="D53" t="s">
        <v>741</v>
      </c>
      <c r="E53" t="b">
        <v>1</v>
      </c>
      <c r="F53" t="s">
        <v>250</v>
      </c>
      <c r="G53" t="s">
        <v>238</v>
      </c>
      <c r="H53">
        <v>0.5</v>
      </c>
      <c r="I53" t="s">
        <v>160</v>
      </c>
      <c r="J53" t="s">
        <v>714</v>
      </c>
      <c r="K53" t="b">
        <v>1</v>
      </c>
    </row>
    <row r="54" spans="1:11" hidden="1" x14ac:dyDescent="0.35">
      <c r="A54" t="s">
        <v>277</v>
      </c>
      <c r="B54">
        <v>2019</v>
      </c>
      <c r="C54" t="s">
        <v>278</v>
      </c>
      <c r="D54" t="s">
        <v>742</v>
      </c>
      <c r="E54" t="b">
        <v>0</v>
      </c>
      <c r="F54" t="s">
        <v>743</v>
      </c>
      <c r="G54" t="s">
        <v>222</v>
      </c>
      <c r="H54">
        <v>0.9</v>
      </c>
      <c r="I54" t="s">
        <v>160</v>
      </c>
      <c r="J54" t="s">
        <v>224</v>
      </c>
      <c r="K54" t="b">
        <v>1</v>
      </c>
    </row>
    <row r="55" spans="1:11" hidden="1" x14ac:dyDescent="0.35">
      <c r="A55" t="s">
        <v>280</v>
      </c>
      <c r="B55">
        <v>2019</v>
      </c>
      <c r="C55" t="s">
        <v>281</v>
      </c>
      <c r="D55" t="s">
        <v>744</v>
      </c>
      <c r="E55" t="b">
        <v>1</v>
      </c>
      <c r="F55" t="s">
        <v>745</v>
      </c>
      <c r="G55" t="s">
        <v>223</v>
      </c>
      <c r="H55">
        <v>1</v>
      </c>
      <c r="I55" t="s">
        <v>160</v>
      </c>
      <c r="J55" t="s">
        <v>223</v>
      </c>
      <c r="K55" t="b">
        <v>1</v>
      </c>
    </row>
    <row r="56" spans="1:11" hidden="1" x14ac:dyDescent="0.35">
      <c r="A56" t="s">
        <v>283</v>
      </c>
      <c r="B56">
        <v>2019</v>
      </c>
      <c r="C56" t="s">
        <v>284</v>
      </c>
      <c r="D56" t="s">
        <v>285</v>
      </c>
      <c r="E56" t="b">
        <v>1</v>
      </c>
      <c r="F56" t="s">
        <v>746</v>
      </c>
      <c r="G56" t="s">
        <v>223</v>
      </c>
      <c r="H56">
        <v>1</v>
      </c>
      <c r="I56" t="s">
        <v>160</v>
      </c>
      <c r="J56" t="s">
        <v>223</v>
      </c>
      <c r="K56" t="b">
        <v>1</v>
      </c>
    </row>
    <row r="57" spans="1:11" hidden="1" x14ac:dyDescent="0.35">
      <c r="A57" t="s">
        <v>286</v>
      </c>
      <c r="B57">
        <v>2019</v>
      </c>
      <c r="C57" t="s">
        <v>287</v>
      </c>
      <c r="D57" t="s">
        <v>288</v>
      </c>
      <c r="E57" t="b">
        <v>1</v>
      </c>
      <c r="F57" t="s">
        <v>747</v>
      </c>
      <c r="G57" t="s">
        <v>223</v>
      </c>
      <c r="H57">
        <v>1</v>
      </c>
      <c r="I57" t="s">
        <v>160</v>
      </c>
      <c r="J57" t="s">
        <v>223</v>
      </c>
      <c r="K57" t="b">
        <v>1</v>
      </c>
    </row>
    <row r="58" spans="1:11" hidden="1" x14ac:dyDescent="0.35">
      <c r="A58" t="s">
        <v>289</v>
      </c>
      <c r="B58">
        <v>2019</v>
      </c>
      <c r="C58" t="s">
        <v>290</v>
      </c>
      <c r="D58" t="s">
        <v>748</v>
      </c>
      <c r="E58" t="b">
        <v>1</v>
      </c>
      <c r="F58" t="s">
        <v>749</v>
      </c>
      <c r="G58" t="s">
        <v>223</v>
      </c>
      <c r="H58">
        <v>1</v>
      </c>
      <c r="I58" t="s">
        <v>160</v>
      </c>
      <c r="J58" t="s">
        <v>226</v>
      </c>
      <c r="K58" t="b">
        <v>1</v>
      </c>
    </row>
    <row r="59" spans="1:11" hidden="1" x14ac:dyDescent="0.35">
      <c r="A59" t="s">
        <v>292</v>
      </c>
      <c r="B59">
        <v>2019</v>
      </c>
      <c r="C59" t="s">
        <v>293</v>
      </c>
      <c r="D59" t="s">
        <v>750</v>
      </c>
      <c r="E59" t="b">
        <v>1</v>
      </c>
      <c r="F59" t="s">
        <v>250</v>
      </c>
      <c r="G59" t="s">
        <v>238</v>
      </c>
      <c r="H59">
        <v>0.5</v>
      </c>
      <c r="I59" t="s">
        <v>160</v>
      </c>
      <c r="J59" t="s">
        <v>224</v>
      </c>
      <c r="K59" t="b">
        <v>1</v>
      </c>
    </row>
    <row r="60" spans="1:11" hidden="1" x14ac:dyDescent="0.35">
      <c r="A60" t="s">
        <v>295</v>
      </c>
      <c r="B60">
        <v>2019</v>
      </c>
      <c r="C60" t="s">
        <v>296</v>
      </c>
      <c r="D60" t="s">
        <v>297</v>
      </c>
      <c r="E60" t="b">
        <v>1</v>
      </c>
      <c r="F60" t="s">
        <v>751</v>
      </c>
      <c r="G60" t="s">
        <v>223</v>
      </c>
      <c r="H60">
        <v>1</v>
      </c>
      <c r="I60" t="s">
        <v>160</v>
      </c>
      <c r="J60" t="s">
        <v>223</v>
      </c>
      <c r="K60" t="b">
        <v>1</v>
      </c>
    </row>
    <row r="61" spans="1:11" hidden="1" x14ac:dyDescent="0.35">
      <c r="A61" t="s">
        <v>298</v>
      </c>
      <c r="B61">
        <v>2019</v>
      </c>
      <c r="C61" t="s">
        <v>299</v>
      </c>
      <c r="D61" t="s">
        <v>752</v>
      </c>
      <c r="E61" t="b">
        <v>0</v>
      </c>
      <c r="F61" t="s">
        <v>753</v>
      </c>
      <c r="G61" t="s">
        <v>222</v>
      </c>
      <c r="H61">
        <v>0.9</v>
      </c>
      <c r="I61" t="s">
        <v>221</v>
      </c>
      <c r="J61" t="s">
        <v>222</v>
      </c>
      <c r="K61" t="b">
        <v>0</v>
      </c>
    </row>
    <row r="62" spans="1:11" hidden="1" x14ac:dyDescent="0.35">
      <c r="A62" t="s">
        <v>301</v>
      </c>
      <c r="B62">
        <v>2019</v>
      </c>
      <c r="C62" t="s">
        <v>302</v>
      </c>
      <c r="D62" t="s">
        <v>754</v>
      </c>
      <c r="E62" t="b">
        <v>1</v>
      </c>
      <c r="F62" t="s">
        <v>250</v>
      </c>
      <c r="G62" t="s">
        <v>238</v>
      </c>
      <c r="H62">
        <v>0.5</v>
      </c>
      <c r="I62" t="s">
        <v>160</v>
      </c>
      <c r="J62" t="s">
        <v>224</v>
      </c>
      <c r="K62" t="b">
        <v>1</v>
      </c>
    </row>
    <row r="63" spans="1:11" hidden="1" x14ac:dyDescent="0.35">
      <c r="A63" t="s">
        <v>304</v>
      </c>
      <c r="B63">
        <v>2019</v>
      </c>
      <c r="C63" t="s">
        <v>305</v>
      </c>
      <c r="D63" t="s">
        <v>755</v>
      </c>
      <c r="E63" t="b">
        <v>1</v>
      </c>
      <c r="F63" t="s">
        <v>756</v>
      </c>
      <c r="G63" t="s">
        <v>223</v>
      </c>
      <c r="H63">
        <v>1</v>
      </c>
      <c r="I63" t="s">
        <v>160</v>
      </c>
      <c r="J63" t="s">
        <v>226</v>
      </c>
      <c r="K63" t="b">
        <v>1</v>
      </c>
    </row>
    <row r="64" spans="1:11" hidden="1" x14ac:dyDescent="0.35">
      <c r="A64" t="s">
        <v>307</v>
      </c>
      <c r="B64">
        <v>2019</v>
      </c>
      <c r="C64" t="s">
        <v>308</v>
      </c>
      <c r="D64" t="s">
        <v>309</v>
      </c>
      <c r="E64" t="b">
        <v>1</v>
      </c>
      <c r="F64" t="s">
        <v>757</v>
      </c>
      <c r="G64" t="s">
        <v>223</v>
      </c>
      <c r="H64">
        <v>1</v>
      </c>
      <c r="I64" t="s">
        <v>160</v>
      </c>
      <c r="J64" t="s">
        <v>226</v>
      </c>
      <c r="K64" t="b">
        <v>1</v>
      </c>
    </row>
    <row r="65" spans="1:11" hidden="1" x14ac:dyDescent="0.35">
      <c r="A65" t="s">
        <v>310</v>
      </c>
      <c r="B65">
        <v>2019</v>
      </c>
      <c r="C65" t="s">
        <v>311</v>
      </c>
      <c r="D65" t="s">
        <v>758</v>
      </c>
      <c r="E65" t="b">
        <v>1</v>
      </c>
      <c r="F65" t="s">
        <v>250</v>
      </c>
      <c r="G65" t="s">
        <v>238</v>
      </c>
      <c r="H65">
        <v>0.5</v>
      </c>
      <c r="I65" t="s">
        <v>160</v>
      </c>
      <c r="J65" t="s">
        <v>224</v>
      </c>
      <c r="K65" t="b">
        <v>1</v>
      </c>
    </row>
    <row r="66" spans="1:11" hidden="1" x14ac:dyDescent="0.35">
      <c r="A66" t="s">
        <v>313</v>
      </c>
      <c r="B66">
        <v>2019</v>
      </c>
      <c r="C66" t="s">
        <v>314</v>
      </c>
      <c r="D66" t="s">
        <v>315</v>
      </c>
      <c r="E66" t="b">
        <v>1</v>
      </c>
      <c r="F66" t="s">
        <v>759</v>
      </c>
      <c r="G66" t="s">
        <v>223</v>
      </c>
      <c r="H66">
        <v>1</v>
      </c>
      <c r="I66" t="s">
        <v>160</v>
      </c>
      <c r="J66" t="s">
        <v>226</v>
      </c>
      <c r="K66" t="b">
        <v>1</v>
      </c>
    </row>
    <row r="67" spans="1:11" hidden="1" x14ac:dyDescent="0.35">
      <c r="A67" t="s">
        <v>316</v>
      </c>
      <c r="B67">
        <v>2019</v>
      </c>
      <c r="C67" t="s">
        <v>317</v>
      </c>
      <c r="D67" t="s">
        <v>760</v>
      </c>
      <c r="E67" t="b">
        <v>1</v>
      </c>
      <c r="F67" t="s">
        <v>250</v>
      </c>
      <c r="G67" t="s">
        <v>238</v>
      </c>
      <c r="H67">
        <v>0.5</v>
      </c>
      <c r="I67" t="s">
        <v>160</v>
      </c>
      <c r="J67" t="s">
        <v>224</v>
      </c>
      <c r="K67" t="b">
        <v>1</v>
      </c>
    </row>
    <row r="68" spans="1:11" hidden="1" x14ac:dyDescent="0.35">
      <c r="A68" t="s">
        <v>319</v>
      </c>
      <c r="B68">
        <v>2019</v>
      </c>
      <c r="C68" t="s">
        <v>761</v>
      </c>
      <c r="D68" t="s">
        <v>762</v>
      </c>
      <c r="E68" t="b">
        <v>1</v>
      </c>
      <c r="F68" t="s">
        <v>763</v>
      </c>
      <c r="G68" t="s">
        <v>223</v>
      </c>
      <c r="H68">
        <v>0.9</v>
      </c>
      <c r="I68" t="s">
        <v>160</v>
      </c>
      <c r="J68" t="s">
        <v>224</v>
      </c>
      <c r="K68" t="b">
        <v>1</v>
      </c>
    </row>
    <row r="69" spans="1:11" hidden="1" x14ac:dyDescent="0.35">
      <c r="A69" t="s">
        <v>322</v>
      </c>
      <c r="B69">
        <v>2019</v>
      </c>
      <c r="C69" t="s">
        <v>323</v>
      </c>
      <c r="D69" t="s">
        <v>764</v>
      </c>
      <c r="E69" t="b">
        <v>0</v>
      </c>
      <c r="F69" t="s">
        <v>765</v>
      </c>
      <c r="G69" t="s">
        <v>222</v>
      </c>
      <c r="H69">
        <v>1</v>
      </c>
      <c r="I69" t="s">
        <v>221</v>
      </c>
      <c r="J69" t="s">
        <v>715</v>
      </c>
      <c r="K69" t="b">
        <v>0</v>
      </c>
    </row>
    <row r="70" spans="1:11" ht="409.5" hidden="1" x14ac:dyDescent="0.35">
      <c r="A70" t="s">
        <v>325</v>
      </c>
      <c r="B70">
        <v>2019</v>
      </c>
      <c r="C70" t="s">
        <v>326</v>
      </c>
      <c r="D70" s="1" t="s">
        <v>327</v>
      </c>
      <c r="E70" t="b">
        <v>0</v>
      </c>
      <c r="F70" t="s">
        <v>766</v>
      </c>
      <c r="G70" t="s">
        <v>222</v>
      </c>
      <c r="H70">
        <v>1</v>
      </c>
      <c r="I70" t="s">
        <v>221</v>
      </c>
      <c r="J70" t="s">
        <v>716</v>
      </c>
      <c r="K70" t="b">
        <v>0</v>
      </c>
    </row>
    <row r="71" spans="1:11" hidden="1" x14ac:dyDescent="0.35">
      <c r="A71" t="s">
        <v>328</v>
      </c>
      <c r="B71">
        <v>2019</v>
      </c>
      <c r="C71" t="s">
        <v>767</v>
      </c>
      <c r="D71" t="s">
        <v>768</v>
      </c>
      <c r="E71" t="b">
        <v>1</v>
      </c>
      <c r="F71" t="s">
        <v>250</v>
      </c>
      <c r="G71" t="s">
        <v>238</v>
      </c>
      <c r="H71">
        <v>0.5</v>
      </c>
      <c r="I71" t="s">
        <v>160</v>
      </c>
      <c r="J71" t="s">
        <v>224</v>
      </c>
      <c r="K71" t="b">
        <v>1</v>
      </c>
    </row>
    <row r="72" spans="1:11" ht="409.5" hidden="1" x14ac:dyDescent="0.35">
      <c r="A72" t="s">
        <v>331</v>
      </c>
      <c r="B72">
        <v>2019</v>
      </c>
      <c r="C72" t="s">
        <v>332</v>
      </c>
      <c r="D72" s="1" t="s">
        <v>333</v>
      </c>
      <c r="E72" t="b">
        <v>1</v>
      </c>
      <c r="F72" t="s">
        <v>769</v>
      </c>
      <c r="G72" t="s">
        <v>223</v>
      </c>
      <c r="H72">
        <v>1</v>
      </c>
      <c r="I72" t="s">
        <v>160</v>
      </c>
      <c r="J72" t="s">
        <v>717</v>
      </c>
      <c r="K72" t="b">
        <v>1</v>
      </c>
    </row>
    <row r="73" spans="1:11" hidden="1" x14ac:dyDescent="0.35">
      <c r="A73" t="s">
        <v>334</v>
      </c>
      <c r="B73">
        <v>2019</v>
      </c>
      <c r="C73" t="s">
        <v>335</v>
      </c>
      <c r="D73" t="s">
        <v>336</v>
      </c>
      <c r="E73" t="b">
        <v>0</v>
      </c>
      <c r="F73" t="s">
        <v>770</v>
      </c>
      <c r="G73" t="s">
        <v>222</v>
      </c>
      <c r="H73">
        <v>1</v>
      </c>
      <c r="I73" t="s">
        <v>221</v>
      </c>
      <c r="J73" t="s">
        <v>718</v>
      </c>
      <c r="K73" t="b">
        <v>0</v>
      </c>
    </row>
    <row r="74" spans="1:11" hidden="1" x14ac:dyDescent="0.35">
      <c r="A74" t="s">
        <v>337</v>
      </c>
      <c r="B74">
        <v>2019</v>
      </c>
      <c r="C74" t="s">
        <v>338</v>
      </c>
      <c r="D74" t="s">
        <v>339</v>
      </c>
      <c r="E74" t="b">
        <v>1</v>
      </c>
      <c r="F74" t="s">
        <v>771</v>
      </c>
      <c r="G74" t="s">
        <v>223</v>
      </c>
      <c r="H74">
        <v>1</v>
      </c>
      <c r="I74" t="s">
        <v>160</v>
      </c>
      <c r="J74" t="s">
        <v>226</v>
      </c>
      <c r="K74" t="b">
        <v>1</v>
      </c>
    </row>
    <row r="75" spans="1:11" hidden="1" x14ac:dyDescent="0.35">
      <c r="A75" t="s">
        <v>340</v>
      </c>
      <c r="B75">
        <v>2019</v>
      </c>
      <c r="C75" t="s">
        <v>341</v>
      </c>
      <c r="D75" t="s">
        <v>342</v>
      </c>
      <c r="E75" t="b">
        <v>1</v>
      </c>
      <c r="F75" t="s">
        <v>772</v>
      </c>
      <c r="G75" t="s">
        <v>223</v>
      </c>
      <c r="H75">
        <v>1</v>
      </c>
      <c r="I75" t="s">
        <v>160</v>
      </c>
      <c r="J75" t="s">
        <v>226</v>
      </c>
      <c r="K75" t="b">
        <v>1</v>
      </c>
    </row>
    <row r="76" spans="1:11" hidden="1" x14ac:dyDescent="0.35">
      <c r="A76" t="s">
        <v>343</v>
      </c>
      <c r="B76">
        <v>2019</v>
      </c>
      <c r="C76" t="s">
        <v>344</v>
      </c>
      <c r="D76" t="s">
        <v>773</v>
      </c>
      <c r="E76" t="b">
        <v>1</v>
      </c>
      <c r="F76" t="s">
        <v>774</v>
      </c>
      <c r="G76" t="s">
        <v>223</v>
      </c>
      <c r="H76">
        <v>1</v>
      </c>
      <c r="I76" t="s">
        <v>160</v>
      </c>
      <c r="J76" t="s">
        <v>226</v>
      </c>
      <c r="K76" t="b">
        <v>1</v>
      </c>
    </row>
    <row r="77" spans="1:11" hidden="1" x14ac:dyDescent="0.35">
      <c r="A77" t="s">
        <v>346</v>
      </c>
      <c r="B77">
        <v>2019</v>
      </c>
      <c r="C77" t="s">
        <v>347</v>
      </c>
      <c r="D77" t="s">
        <v>775</v>
      </c>
      <c r="E77" t="b">
        <v>1</v>
      </c>
      <c r="F77" t="s">
        <v>776</v>
      </c>
      <c r="G77" t="s">
        <v>223</v>
      </c>
      <c r="H77">
        <v>1</v>
      </c>
      <c r="I77" t="s">
        <v>160</v>
      </c>
      <c r="J77" t="s">
        <v>223</v>
      </c>
      <c r="K77" t="b">
        <v>1</v>
      </c>
    </row>
    <row r="78" spans="1:11" hidden="1" x14ac:dyDescent="0.35">
      <c r="A78" t="s">
        <v>349</v>
      </c>
      <c r="B78">
        <v>2019</v>
      </c>
      <c r="C78" t="s">
        <v>350</v>
      </c>
      <c r="D78" t="s">
        <v>777</v>
      </c>
      <c r="E78" t="b">
        <v>0</v>
      </c>
      <c r="F78" t="s">
        <v>778</v>
      </c>
      <c r="G78" t="s">
        <v>222</v>
      </c>
      <c r="H78">
        <v>1</v>
      </c>
      <c r="I78" t="s">
        <v>221</v>
      </c>
      <c r="J78" t="s">
        <v>715</v>
      </c>
      <c r="K78" t="b">
        <v>0</v>
      </c>
    </row>
    <row r="79" spans="1:11" hidden="1" x14ac:dyDescent="0.35">
      <c r="A79" t="s">
        <v>352</v>
      </c>
      <c r="B79">
        <v>2019</v>
      </c>
      <c r="C79" t="s">
        <v>353</v>
      </c>
      <c r="D79" t="s">
        <v>354</v>
      </c>
      <c r="E79" t="b">
        <v>0</v>
      </c>
      <c r="F79" t="s">
        <v>779</v>
      </c>
      <c r="G79" t="s">
        <v>222</v>
      </c>
      <c r="H79">
        <v>0.9</v>
      </c>
      <c r="I79" t="s">
        <v>221</v>
      </c>
      <c r="J79" t="s">
        <v>719</v>
      </c>
      <c r="K79" t="b">
        <v>0</v>
      </c>
    </row>
    <row r="80" spans="1:11" hidden="1" x14ac:dyDescent="0.35">
      <c r="A80" t="s">
        <v>355</v>
      </c>
      <c r="B80">
        <v>2019</v>
      </c>
      <c r="C80" t="s">
        <v>353</v>
      </c>
      <c r="D80" t="s">
        <v>357</v>
      </c>
      <c r="E80" t="b">
        <v>0</v>
      </c>
      <c r="F80" t="s">
        <v>780</v>
      </c>
      <c r="G80" t="s">
        <v>222</v>
      </c>
      <c r="H80">
        <v>1</v>
      </c>
      <c r="I80" t="s">
        <v>221</v>
      </c>
      <c r="J80" t="s">
        <v>715</v>
      </c>
      <c r="K80" t="b">
        <v>0</v>
      </c>
    </row>
    <row r="81" spans="1:11" hidden="1" x14ac:dyDescent="0.35">
      <c r="A81" t="s">
        <v>358</v>
      </c>
      <c r="B81">
        <v>2019</v>
      </c>
      <c r="C81" t="s">
        <v>359</v>
      </c>
      <c r="D81" t="s">
        <v>781</v>
      </c>
      <c r="E81" t="b">
        <v>0</v>
      </c>
      <c r="F81" t="s">
        <v>780</v>
      </c>
      <c r="G81" t="s">
        <v>222</v>
      </c>
      <c r="H81">
        <v>1</v>
      </c>
      <c r="I81" s="5" t="s">
        <v>160</v>
      </c>
      <c r="J81" s="5"/>
      <c r="K81" t="b">
        <v>1</v>
      </c>
    </row>
    <row r="82" spans="1:11" hidden="1" x14ac:dyDescent="0.35">
      <c r="A82" t="s">
        <v>361</v>
      </c>
      <c r="B82">
        <v>2019</v>
      </c>
      <c r="C82" t="s">
        <v>362</v>
      </c>
      <c r="D82" t="s">
        <v>363</v>
      </c>
      <c r="E82" t="b">
        <v>1</v>
      </c>
      <c r="F82" t="s">
        <v>782</v>
      </c>
      <c r="G82" t="s">
        <v>223</v>
      </c>
      <c r="H82">
        <v>1</v>
      </c>
      <c r="I82" t="s">
        <v>160</v>
      </c>
      <c r="J82" t="s">
        <v>223</v>
      </c>
      <c r="K82" t="b">
        <v>1</v>
      </c>
    </row>
    <row r="83" spans="1:11" hidden="1" x14ac:dyDescent="0.35">
      <c r="A83" t="s">
        <v>367</v>
      </c>
      <c r="B83">
        <v>2019</v>
      </c>
      <c r="C83" t="s">
        <v>368</v>
      </c>
      <c r="D83" t="s">
        <v>783</v>
      </c>
      <c r="E83" t="b">
        <v>1</v>
      </c>
      <c r="F83" t="s">
        <v>784</v>
      </c>
      <c r="G83" t="s">
        <v>223</v>
      </c>
      <c r="H83">
        <v>1</v>
      </c>
      <c r="I83" t="s">
        <v>160</v>
      </c>
      <c r="J83" t="s">
        <v>224</v>
      </c>
      <c r="K83" t="b">
        <v>1</v>
      </c>
    </row>
    <row r="84" spans="1:11" hidden="1" x14ac:dyDescent="0.35">
      <c r="A84" t="s">
        <v>373</v>
      </c>
      <c r="B84">
        <v>2019</v>
      </c>
      <c r="C84" t="s">
        <v>374</v>
      </c>
      <c r="D84" t="s">
        <v>785</v>
      </c>
      <c r="E84" t="b">
        <v>0</v>
      </c>
      <c r="F84" t="s">
        <v>786</v>
      </c>
      <c r="G84" t="s">
        <v>222</v>
      </c>
      <c r="H84">
        <v>0.95</v>
      </c>
      <c r="I84" t="s">
        <v>221</v>
      </c>
      <c r="J84" t="s">
        <v>231</v>
      </c>
      <c r="K84" t="b">
        <v>0</v>
      </c>
    </row>
    <row r="85" spans="1:11" hidden="1" x14ac:dyDescent="0.35">
      <c r="A85" t="s">
        <v>376</v>
      </c>
      <c r="B85">
        <v>2019</v>
      </c>
      <c r="C85" t="s">
        <v>377</v>
      </c>
      <c r="D85" t="s">
        <v>787</v>
      </c>
      <c r="E85" t="b">
        <v>1</v>
      </c>
      <c r="F85" t="s">
        <v>250</v>
      </c>
      <c r="G85" t="s">
        <v>238</v>
      </c>
      <c r="H85">
        <v>0.5</v>
      </c>
      <c r="I85" t="s">
        <v>221</v>
      </c>
      <c r="J85" t="s">
        <v>231</v>
      </c>
      <c r="K85" t="b">
        <v>0</v>
      </c>
    </row>
    <row r="86" spans="1:11" ht="409.5" hidden="1" x14ac:dyDescent="0.35">
      <c r="A86" t="s">
        <v>379</v>
      </c>
      <c r="B86">
        <v>2019</v>
      </c>
      <c r="C86" t="s">
        <v>380</v>
      </c>
      <c r="D86" s="1" t="s">
        <v>381</v>
      </c>
      <c r="E86" t="b">
        <v>1</v>
      </c>
      <c r="F86" t="s">
        <v>788</v>
      </c>
      <c r="G86" t="s">
        <v>223</v>
      </c>
      <c r="H86">
        <v>1</v>
      </c>
      <c r="I86" t="s">
        <v>160</v>
      </c>
      <c r="J86" t="s">
        <v>720</v>
      </c>
      <c r="K86" t="b">
        <v>1</v>
      </c>
    </row>
    <row r="87" spans="1:11" hidden="1" x14ac:dyDescent="0.35">
      <c r="A87" t="s">
        <v>382</v>
      </c>
      <c r="B87">
        <v>2019</v>
      </c>
      <c r="C87" t="s">
        <v>383</v>
      </c>
      <c r="D87" t="s">
        <v>789</v>
      </c>
      <c r="E87" t="b">
        <v>1</v>
      </c>
      <c r="F87" t="s">
        <v>250</v>
      </c>
      <c r="G87" t="s">
        <v>238</v>
      </c>
      <c r="H87">
        <v>0.5</v>
      </c>
      <c r="I87" t="s">
        <v>160</v>
      </c>
      <c r="J87" t="s">
        <v>721</v>
      </c>
      <c r="K87" t="b">
        <v>1</v>
      </c>
    </row>
    <row r="88" spans="1:11" hidden="1" x14ac:dyDescent="0.35">
      <c r="A88" t="s">
        <v>385</v>
      </c>
      <c r="B88">
        <v>2019</v>
      </c>
      <c r="C88" t="s">
        <v>386</v>
      </c>
      <c r="D88" t="s">
        <v>387</v>
      </c>
      <c r="E88" t="b">
        <v>0</v>
      </c>
      <c r="F88" t="s">
        <v>790</v>
      </c>
      <c r="G88" t="s">
        <v>222</v>
      </c>
      <c r="H88">
        <v>1</v>
      </c>
      <c r="I88" t="s">
        <v>221</v>
      </c>
      <c r="J88" t="s">
        <v>722</v>
      </c>
      <c r="K88" t="b">
        <v>0</v>
      </c>
    </row>
    <row r="89" spans="1:11" hidden="1" x14ac:dyDescent="0.35">
      <c r="A89" t="s">
        <v>388</v>
      </c>
      <c r="B89">
        <v>2019</v>
      </c>
      <c r="C89" t="s">
        <v>389</v>
      </c>
      <c r="D89" t="s">
        <v>791</v>
      </c>
      <c r="E89" t="b">
        <v>1</v>
      </c>
      <c r="F89" t="s">
        <v>792</v>
      </c>
      <c r="G89" t="s">
        <v>223</v>
      </c>
      <c r="H89">
        <v>1</v>
      </c>
      <c r="I89" t="s">
        <v>160</v>
      </c>
      <c r="J89" t="s">
        <v>720</v>
      </c>
      <c r="K89" t="b">
        <v>1</v>
      </c>
    </row>
    <row r="90" spans="1:11" hidden="1" x14ac:dyDescent="0.35">
      <c r="A90" t="s">
        <v>391</v>
      </c>
      <c r="B90">
        <v>2019</v>
      </c>
      <c r="C90" t="s">
        <v>392</v>
      </c>
      <c r="D90" t="s">
        <v>393</v>
      </c>
      <c r="E90" t="b">
        <v>1</v>
      </c>
      <c r="F90" t="s">
        <v>793</v>
      </c>
      <c r="G90" t="s">
        <v>223</v>
      </c>
      <c r="H90">
        <v>0.9</v>
      </c>
      <c r="I90" t="s">
        <v>160</v>
      </c>
      <c r="J90" t="s">
        <v>224</v>
      </c>
      <c r="K90" t="b">
        <v>1</v>
      </c>
    </row>
    <row r="91" spans="1:11" hidden="1" x14ac:dyDescent="0.35">
      <c r="A91" t="s">
        <v>394</v>
      </c>
      <c r="B91">
        <v>2019</v>
      </c>
      <c r="C91" t="s">
        <v>395</v>
      </c>
      <c r="D91" t="s">
        <v>396</v>
      </c>
      <c r="E91" t="b">
        <v>1</v>
      </c>
      <c r="F91" t="s">
        <v>794</v>
      </c>
      <c r="G91" t="s">
        <v>223</v>
      </c>
      <c r="H91">
        <v>1</v>
      </c>
      <c r="I91" t="s">
        <v>160</v>
      </c>
      <c r="J91" t="s">
        <v>223</v>
      </c>
      <c r="K91" t="b">
        <v>1</v>
      </c>
    </row>
    <row r="92" spans="1:11" hidden="1" x14ac:dyDescent="0.35">
      <c r="A92" t="s">
        <v>397</v>
      </c>
      <c r="B92">
        <v>2019</v>
      </c>
      <c r="C92" t="s">
        <v>398</v>
      </c>
      <c r="D92" t="s">
        <v>399</v>
      </c>
      <c r="E92" t="b">
        <v>1</v>
      </c>
      <c r="F92" t="s">
        <v>795</v>
      </c>
      <c r="G92" t="s">
        <v>223</v>
      </c>
      <c r="H92">
        <v>1</v>
      </c>
      <c r="I92" t="s">
        <v>160</v>
      </c>
      <c r="J92" t="s">
        <v>223</v>
      </c>
      <c r="K92" t="b">
        <v>1</v>
      </c>
    </row>
    <row r="93" spans="1:11" hidden="1" x14ac:dyDescent="0.35">
      <c r="A93" t="s">
        <v>400</v>
      </c>
      <c r="B93">
        <v>2019</v>
      </c>
      <c r="C93" t="s">
        <v>401</v>
      </c>
      <c r="D93" t="s">
        <v>402</v>
      </c>
      <c r="E93" t="b">
        <v>1</v>
      </c>
      <c r="F93" t="s">
        <v>796</v>
      </c>
      <c r="G93" t="s">
        <v>223</v>
      </c>
      <c r="H93">
        <v>1</v>
      </c>
      <c r="I93" t="s">
        <v>160</v>
      </c>
      <c r="J93" t="s">
        <v>721</v>
      </c>
      <c r="K93" t="b">
        <v>1</v>
      </c>
    </row>
    <row r="94" spans="1:11" hidden="1" x14ac:dyDescent="0.35">
      <c r="A94" t="s">
        <v>403</v>
      </c>
      <c r="B94">
        <v>2019</v>
      </c>
      <c r="C94" t="s">
        <v>404</v>
      </c>
      <c r="D94" t="s">
        <v>797</v>
      </c>
      <c r="E94" t="b">
        <v>1</v>
      </c>
      <c r="F94" t="s">
        <v>250</v>
      </c>
      <c r="G94" t="s">
        <v>238</v>
      </c>
      <c r="H94">
        <v>0.5</v>
      </c>
      <c r="I94" t="s">
        <v>160</v>
      </c>
      <c r="J94" t="s">
        <v>224</v>
      </c>
      <c r="K94" t="b">
        <v>1</v>
      </c>
    </row>
    <row r="95" spans="1:11" hidden="1" x14ac:dyDescent="0.35">
      <c r="A95" t="s">
        <v>406</v>
      </c>
      <c r="B95">
        <v>2019</v>
      </c>
      <c r="C95" t="s">
        <v>407</v>
      </c>
      <c r="D95" t="s">
        <v>408</v>
      </c>
      <c r="E95" t="b">
        <v>0</v>
      </c>
      <c r="F95" t="s">
        <v>798</v>
      </c>
      <c r="G95" t="s">
        <v>222</v>
      </c>
      <c r="H95">
        <v>1</v>
      </c>
      <c r="I95" t="s">
        <v>221</v>
      </c>
      <c r="J95" t="s">
        <v>723</v>
      </c>
      <c r="K95" t="b">
        <v>0</v>
      </c>
    </row>
    <row r="96" spans="1:11" hidden="1" x14ac:dyDescent="0.35">
      <c r="A96" t="s">
        <v>409</v>
      </c>
      <c r="B96">
        <v>2019</v>
      </c>
      <c r="C96" t="s">
        <v>410</v>
      </c>
      <c r="D96" t="s">
        <v>799</v>
      </c>
      <c r="E96" t="b">
        <v>0</v>
      </c>
      <c r="F96" t="s">
        <v>800</v>
      </c>
      <c r="G96" t="s">
        <v>222</v>
      </c>
      <c r="H96">
        <v>1</v>
      </c>
      <c r="I96" t="s">
        <v>221</v>
      </c>
      <c r="J96" t="s">
        <v>231</v>
      </c>
      <c r="K96" t="b">
        <v>0</v>
      </c>
    </row>
    <row r="97" spans="1:11" hidden="1" x14ac:dyDescent="0.35">
      <c r="A97" t="s">
        <v>412</v>
      </c>
      <c r="B97">
        <v>2019</v>
      </c>
      <c r="C97" t="s">
        <v>413</v>
      </c>
      <c r="D97" t="s">
        <v>801</v>
      </c>
      <c r="E97" t="b">
        <v>1</v>
      </c>
      <c r="F97" t="s">
        <v>802</v>
      </c>
      <c r="G97" t="s">
        <v>223</v>
      </c>
      <c r="H97">
        <v>1</v>
      </c>
      <c r="I97" t="s">
        <v>160</v>
      </c>
      <c r="J97" t="s">
        <v>223</v>
      </c>
      <c r="K97" t="b">
        <v>1</v>
      </c>
    </row>
    <row r="98" spans="1:11" hidden="1" x14ac:dyDescent="0.35">
      <c r="A98" t="s">
        <v>415</v>
      </c>
      <c r="B98">
        <v>2019</v>
      </c>
      <c r="C98" t="s">
        <v>416</v>
      </c>
      <c r="D98" t="s">
        <v>803</v>
      </c>
      <c r="E98" t="b">
        <v>1</v>
      </c>
      <c r="F98" t="s">
        <v>250</v>
      </c>
      <c r="G98" t="s">
        <v>238</v>
      </c>
      <c r="H98">
        <v>0.5</v>
      </c>
      <c r="I98" t="s">
        <v>160</v>
      </c>
      <c r="J98" t="s">
        <v>224</v>
      </c>
      <c r="K98" t="b">
        <v>1</v>
      </c>
    </row>
    <row r="99" spans="1:11" hidden="1" x14ac:dyDescent="0.35">
      <c r="A99" t="s">
        <v>418</v>
      </c>
      <c r="B99">
        <v>2021</v>
      </c>
      <c r="C99" t="s">
        <v>419</v>
      </c>
      <c r="D99" t="s">
        <v>804</v>
      </c>
      <c r="E99" t="b">
        <v>1</v>
      </c>
      <c r="F99" t="s">
        <v>805</v>
      </c>
      <c r="G99" t="s">
        <v>223</v>
      </c>
      <c r="H99">
        <v>0.9</v>
      </c>
      <c r="I99" t="s">
        <v>160</v>
      </c>
      <c r="J99" t="s">
        <v>724</v>
      </c>
      <c r="K99" t="b">
        <v>1</v>
      </c>
    </row>
    <row r="100" spans="1:11" hidden="1" x14ac:dyDescent="0.35">
      <c r="A100" t="s">
        <v>421</v>
      </c>
      <c r="B100">
        <v>2021</v>
      </c>
      <c r="C100" t="s">
        <v>422</v>
      </c>
      <c r="D100" t="s">
        <v>806</v>
      </c>
      <c r="E100" t="b">
        <v>0</v>
      </c>
      <c r="F100" t="s">
        <v>807</v>
      </c>
      <c r="G100" t="s">
        <v>222</v>
      </c>
      <c r="H100">
        <v>1</v>
      </c>
      <c r="I100" t="s">
        <v>221</v>
      </c>
      <c r="J100" t="s">
        <v>231</v>
      </c>
      <c r="K100" t="b">
        <v>0</v>
      </c>
    </row>
    <row r="101" spans="1:11" hidden="1" x14ac:dyDescent="0.35">
      <c r="A101" t="s">
        <v>424</v>
      </c>
      <c r="B101">
        <v>2021</v>
      </c>
      <c r="C101" t="s">
        <v>425</v>
      </c>
      <c r="D101" t="s">
        <v>426</v>
      </c>
      <c r="E101" t="b">
        <v>1</v>
      </c>
      <c r="F101" t="s">
        <v>808</v>
      </c>
      <c r="G101" t="s">
        <v>223</v>
      </c>
      <c r="H101">
        <v>1</v>
      </c>
      <c r="I101" t="s">
        <v>160</v>
      </c>
      <c r="J101" t="s">
        <v>223</v>
      </c>
      <c r="K101" t="b">
        <v>1</v>
      </c>
    </row>
    <row r="102" spans="1:11" hidden="1" x14ac:dyDescent="0.35">
      <c r="A102" t="s">
        <v>427</v>
      </c>
      <c r="B102">
        <v>2021</v>
      </c>
      <c r="C102" t="s">
        <v>809</v>
      </c>
      <c r="D102" t="s">
        <v>810</v>
      </c>
      <c r="E102" t="b">
        <v>1</v>
      </c>
      <c r="F102" t="s">
        <v>250</v>
      </c>
      <c r="G102" t="s">
        <v>238</v>
      </c>
      <c r="H102">
        <v>0.5</v>
      </c>
      <c r="I102" t="s">
        <v>160</v>
      </c>
      <c r="J102" t="s">
        <v>223</v>
      </c>
      <c r="K102" t="b">
        <v>1</v>
      </c>
    </row>
    <row r="103" spans="1:11" hidden="1" x14ac:dyDescent="0.35">
      <c r="A103" t="s">
        <v>430</v>
      </c>
      <c r="B103">
        <v>2021</v>
      </c>
      <c r="C103" t="s">
        <v>431</v>
      </c>
      <c r="D103" t="s">
        <v>811</v>
      </c>
      <c r="E103" t="b">
        <v>1</v>
      </c>
      <c r="F103" t="s">
        <v>250</v>
      </c>
      <c r="G103" t="s">
        <v>238</v>
      </c>
      <c r="H103">
        <v>0.5</v>
      </c>
      <c r="I103" t="s">
        <v>221</v>
      </c>
      <c r="J103" t="s">
        <v>227</v>
      </c>
      <c r="K103" t="b">
        <v>0</v>
      </c>
    </row>
    <row r="104" spans="1:11" hidden="1" x14ac:dyDescent="0.35">
      <c r="A104" t="s">
        <v>433</v>
      </c>
      <c r="B104">
        <v>2021</v>
      </c>
      <c r="C104" t="s">
        <v>812</v>
      </c>
      <c r="D104" t="s">
        <v>813</v>
      </c>
      <c r="E104" t="b">
        <v>1</v>
      </c>
      <c r="F104" t="s">
        <v>250</v>
      </c>
      <c r="G104" t="s">
        <v>238</v>
      </c>
      <c r="H104">
        <v>0.5</v>
      </c>
      <c r="I104" t="s">
        <v>221</v>
      </c>
      <c r="J104" t="s">
        <v>231</v>
      </c>
      <c r="K104" t="b">
        <v>0</v>
      </c>
    </row>
    <row r="105" spans="1:11" hidden="1" x14ac:dyDescent="0.35">
      <c r="A105" t="s">
        <v>436</v>
      </c>
      <c r="B105">
        <v>2021</v>
      </c>
      <c r="C105" t="s">
        <v>437</v>
      </c>
      <c r="D105" t="s">
        <v>438</v>
      </c>
      <c r="E105" t="b">
        <v>1</v>
      </c>
      <c r="F105" t="s">
        <v>814</v>
      </c>
      <c r="G105" t="s">
        <v>223</v>
      </c>
      <c r="H105">
        <v>1</v>
      </c>
      <c r="I105" t="s">
        <v>160</v>
      </c>
      <c r="J105" t="s">
        <v>725</v>
      </c>
      <c r="K105" t="b">
        <v>1</v>
      </c>
    </row>
    <row r="106" spans="1:11" hidden="1" x14ac:dyDescent="0.35">
      <c r="A106" t="s">
        <v>439</v>
      </c>
      <c r="B106">
        <v>2021</v>
      </c>
      <c r="C106" t="s">
        <v>440</v>
      </c>
      <c r="D106" t="s">
        <v>815</v>
      </c>
      <c r="E106" t="b">
        <v>0</v>
      </c>
      <c r="F106" t="s">
        <v>816</v>
      </c>
      <c r="G106" t="s">
        <v>222</v>
      </c>
      <c r="H106">
        <v>1</v>
      </c>
      <c r="I106" t="s">
        <v>221</v>
      </c>
      <c r="J106" t="s">
        <v>726</v>
      </c>
      <c r="K106" t="b">
        <v>0</v>
      </c>
    </row>
    <row r="107" spans="1:11" hidden="1" x14ac:dyDescent="0.35">
      <c r="A107" t="s">
        <v>442</v>
      </c>
      <c r="B107">
        <v>2021</v>
      </c>
      <c r="C107" t="s">
        <v>443</v>
      </c>
      <c r="D107" t="s">
        <v>817</v>
      </c>
      <c r="E107" t="b">
        <v>0</v>
      </c>
      <c r="F107" t="s">
        <v>818</v>
      </c>
      <c r="G107" t="s">
        <v>222</v>
      </c>
      <c r="H107">
        <v>1</v>
      </c>
      <c r="I107" t="s">
        <v>221</v>
      </c>
      <c r="J107" t="s">
        <v>726</v>
      </c>
      <c r="K107" t="b">
        <v>0</v>
      </c>
    </row>
    <row r="108" spans="1:11" hidden="1" x14ac:dyDescent="0.35">
      <c r="A108" t="s">
        <v>445</v>
      </c>
      <c r="B108">
        <v>2021</v>
      </c>
      <c r="C108" t="s">
        <v>446</v>
      </c>
      <c r="D108" t="s">
        <v>819</v>
      </c>
      <c r="E108" t="b">
        <v>0</v>
      </c>
      <c r="F108" t="s">
        <v>820</v>
      </c>
      <c r="G108" t="s">
        <v>222</v>
      </c>
      <c r="H108">
        <v>1</v>
      </c>
      <c r="I108" t="s">
        <v>221</v>
      </c>
      <c r="J108" t="s">
        <v>726</v>
      </c>
      <c r="K108" t="b">
        <v>0</v>
      </c>
    </row>
    <row r="109" spans="1:11" hidden="1" x14ac:dyDescent="0.35">
      <c r="A109" t="s">
        <v>448</v>
      </c>
      <c r="B109">
        <v>2021</v>
      </c>
      <c r="C109" t="s">
        <v>449</v>
      </c>
      <c r="D109" t="s">
        <v>821</v>
      </c>
      <c r="E109" t="b">
        <v>1</v>
      </c>
      <c r="F109" t="s">
        <v>822</v>
      </c>
      <c r="G109" t="s">
        <v>223</v>
      </c>
      <c r="H109">
        <v>1</v>
      </c>
      <c r="I109" t="s">
        <v>160</v>
      </c>
      <c r="J109" t="s">
        <v>725</v>
      </c>
      <c r="K109" t="b">
        <v>1</v>
      </c>
    </row>
    <row r="110" spans="1:11" hidden="1" x14ac:dyDescent="0.35">
      <c r="A110" t="s">
        <v>451</v>
      </c>
      <c r="B110">
        <v>2021</v>
      </c>
      <c r="C110" t="s">
        <v>452</v>
      </c>
      <c r="D110" t="s">
        <v>823</v>
      </c>
      <c r="E110" t="b">
        <v>1</v>
      </c>
      <c r="F110" t="s">
        <v>250</v>
      </c>
      <c r="G110" t="s">
        <v>238</v>
      </c>
      <c r="H110">
        <v>0.5</v>
      </c>
      <c r="I110" t="s">
        <v>160</v>
      </c>
      <c r="J110" t="s">
        <v>224</v>
      </c>
      <c r="K110" t="b">
        <v>1</v>
      </c>
    </row>
    <row r="111" spans="1:11" hidden="1" x14ac:dyDescent="0.35">
      <c r="A111" t="s">
        <v>454</v>
      </c>
      <c r="B111">
        <v>2021</v>
      </c>
      <c r="C111" t="s">
        <v>455</v>
      </c>
      <c r="D111" t="s">
        <v>824</v>
      </c>
      <c r="E111" t="b">
        <v>1</v>
      </c>
      <c r="F111" t="s">
        <v>825</v>
      </c>
      <c r="G111" t="s">
        <v>223</v>
      </c>
      <c r="H111">
        <v>1</v>
      </c>
      <c r="I111" t="s">
        <v>160</v>
      </c>
      <c r="J111" t="s">
        <v>725</v>
      </c>
      <c r="K111" t="b">
        <v>1</v>
      </c>
    </row>
    <row r="112" spans="1:11" hidden="1" x14ac:dyDescent="0.35">
      <c r="A112" t="s">
        <v>457</v>
      </c>
      <c r="B112">
        <v>2021</v>
      </c>
      <c r="C112" t="s">
        <v>458</v>
      </c>
      <c r="D112" t="s">
        <v>826</v>
      </c>
      <c r="E112" t="b">
        <v>1</v>
      </c>
      <c r="F112" t="s">
        <v>827</v>
      </c>
      <c r="G112" t="s">
        <v>223</v>
      </c>
      <c r="H112">
        <v>0.95</v>
      </c>
      <c r="I112" t="s">
        <v>160</v>
      </c>
      <c r="J112" t="s">
        <v>223</v>
      </c>
      <c r="K112" t="b">
        <v>1</v>
      </c>
    </row>
    <row r="113" spans="1:11" hidden="1" x14ac:dyDescent="0.35">
      <c r="A113" t="s">
        <v>460</v>
      </c>
      <c r="B113">
        <v>2021</v>
      </c>
      <c r="C113" t="s">
        <v>461</v>
      </c>
      <c r="D113" t="s">
        <v>828</v>
      </c>
      <c r="E113" t="b">
        <v>1</v>
      </c>
      <c r="F113" t="s">
        <v>829</v>
      </c>
      <c r="G113" t="s">
        <v>223</v>
      </c>
      <c r="H113">
        <v>1</v>
      </c>
      <c r="I113" t="s">
        <v>160</v>
      </c>
      <c r="J113" t="s">
        <v>725</v>
      </c>
      <c r="K113" t="b">
        <v>1</v>
      </c>
    </row>
    <row r="114" spans="1:11" hidden="1" x14ac:dyDescent="0.35">
      <c r="A114" t="s">
        <v>463</v>
      </c>
      <c r="B114">
        <v>2021</v>
      </c>
      <c r="C114" t="s">
        <v>464</v>
      </c>
      <c r="D114" t="s">
        <v>830</v>
      </c>
      <c r="E114" t="b">
        <v>1</v>
      </c>
      <c r="F114" t="s">
        <v>831</v>
      </c>
      <c r="G114" t="s">
        <v>223</v>
      </c>
      <c r="H114">
        <v>1</v>
      </c>
      <c r="I114" t="s">
        <v>160</v>
      </c>
      <c r="J114" t="s">
        <v>223</v>
      </c>
      <c r="K114" t="b">
        <v>1</v>
      </c>
    </row>
    <row r="115" spans="1:11" hidden="1" x14ac:dyDescent="0.35">
      <c r="A115" t="s">
        <v>466</v>
      </c>
      <c r="B115">
        <v>2021</v>
      </c>
      <c r="C115" t="s">
        <v>467</v>
      </c>
      <c r="D115" t="s">
        <v>832</v>
      </c>
      <c r="E115" t="b">
        <v>1</v>
      </c>
      <c r="F115" t="s">
        <v>833</v>
      </c>
      <c r="G115" t="s">
        <v>223</v>
      </c>
      <c r="H115">
        <v>1</v>
      </c>
      <c r="I115" t="s">
        <v>160</v>
      </c>
      <c r="J115" t="s">
        <v>727</v>
      </c>
      <c r="K115" t="b">
        <v>1</v>
      </c>
    </row>
    <row r="116" spans="1:11" hidden="1" x14ac:dyDescent="0.35">
      <c r="A116" t="s">
        <v>469</v>
      </c>
      <c r="B116">
        <v>2021</v>
      </c>
      <c r="C116" t="s">
        <v>470</v>
      </c>
      <c r="D116" t="s">
        <v>834</v>
      </c>
      <c r="E116" t="b">
        <v>1</v>
      </c>
      <c r="F116" t="s">
        <v>835</v>
      </c>
      <c r="G116" t="s">
        <v>223</v>
      </c>
      <c r="H116">
        <v>0.9</v>
      </c>
      <c r="I116" t="s">
        <v>160</v>
      </c>
      <c r="J116" t="s">
        <v>223</v>
      </c>
      <c r="K116" t="b">
        <v>1</v>
      </c>
    </row>
    <row r="117" spans="1:11" hidden="1" x14ac:dyDescent="0.35">
      <c r="A117" t="s">
        <v>472</v>
      </c>
      <c r="B117">
        <v>2021</v>
      </c>
      <c r="C117" t="s">
        <v>473</v>
      </c>
      <c r="D117" t="s">
        <v>836</v>
      </c>
      <c r="E117" t="b">
        <v>1</v>
      </c>
      <c r="F117" t="s">
        <v>837</v>
      </c>
      <c r="G117" t="s">
        <v>223</v>
      </c>
      <c r="H117">
        <v>1</v>
      </c>
      <c r="I117" t="s">
        <v>160</v>
      </c>
      <c r="J117" t="s">
        <v>721</v>
      </c>
      <c r="K117" t="b">
        <v>1</v>
      </c>
    </row>
    <row r="118" spans="1:11" hidden="1" x14ac:dyDescent="0.35">
      <c r="A118" t="s">
        <v>475</v>
      </c>
      <c r="B118">
        <v>2021</v>
      </c>
      <c r="C118" t="s">
        <v>476</v>
      </c>
      <c r="D118" t="s">
        <v>838</v>
      </c>
      <c r="E118" t="b">
        <v>1</v>
      </c>
      <c r="F118" t="s">
        <v>250</v>
      </c>
      <c r="G118" t="s">
        <v>238</v>
      </c>
      <c r="H118">
        <v>0.5</v>
      </c>
      <c r="I118" t="s">
        <v>221</v>
      </c>
      <c r="J118" t="s">
        <v>728</v>
      </c>
      <c r="K118" t="b">
        <v>0</v>
      </c>
    </row>
    <row r="119" spans="1:11" ht="409.5" hidden="1" x14ac:dyDescent="0.35">
      <c r="A119" t="s">
        <v>478</v>
      </c>
      <c r="B119">
        <v>2021</v>
      </c>
      <c r="C119" t="s">
        <v>479</v>
      </c>
      <c r="D119" s="1" t="s">
        <v>480</v>
      </c>
      <c r="E119" t="b">
        <v>1</v>
      </c>
      <c r="F119" t="s">
        <v>839</v>
      </c>
      <c r="G119" t="s">
        <v>223</v>
      </c>
      <c r="H119">
        <v>1</v>
      </c>
      <c r="I119" t="s">
        <v>160</v>
      </c>
      <c r="J119" t="s">
        <v>725</v>
      </c>
      <c r="K119" t="b">
        <v>1</v>
      </c>
    </row>
    <row r="120" spans="1:11" hidden="1" x14ac:dyDescent="0.35">
      <c r="A120" t="s">
        <v>481</v>
      </c>
      <c r="B120">
        <v>2021</v>
      </c>
      <c r="C120" t="s">
        <v>482</v>
      </c>
      <c r="D120" t="s">
        <v>483</v>
      </c>
      <c r="E120" t="b">
        <v>1</v>
      </c>
      <c r="F120" t="s">
        <v>840</v>
      </c>
      <c r="G120" t="s">
        <v>223</v>
      </c>
      <c r="H120">
        <v>0.9</v>
      </c>
      <c r="I120" t="s">
        <v>160</v>
      </c>
      <c r="J120" t="s">
        <v>729</v>
      </c>
      <c r="K120" t="b">
        <v>1</v>
      </c>
    </row>
    <row r="121" spans="1:11" hidden="1" x14ac:dyDescent="0.35">
      <c r="A121" t="s">
        <v>484</v>
      </c>
      <c r="B121">
        <v>2021</v>
      </c>
      <c r="C121" t="s">
        <v>485</v>
      </c>
      <c r="D121" t="s">
        <v>841</v>
      </c>
      <c r="E121" t="b">
        <v>1</v>
      </c>
      <c r="F121" t="s">
        <v>842</v>
      </c>
      <c r="G121" t="s">
        <v>223</v>
      </c>
      <c r="H121">
        <v>1</v>
      </c>
      <c r="I121" s="5" t="s">
        <v>160</v>
      </c>
      <c r="J121" s="5"/>
      <c r="K121" t="b">
        <v>1</v>
      </c>
    </row>
    <row r="122" spans="1:11" hidden="1" x14ac:dyDescent="0.35">
      <c r="A122" t="s">
        <v>487</v>
      </c>
      <c r="B122">
        <v>2021</v>
      </c>
      <c r="C122" t="s">
        <v>488</v>
      </c>
      <c r="D122" t="s">
        <v>843</v>
      </c>
      <c r="E122" t="b">
        <v>1</v>
      </c>
      <c r="F122" t="s">
        <v>250</v>
      </c>
      <c r="G122" t="s">
        <v>238</v>
      </c>
      <c r="H122">
        <v>0.5</v>
      </c>
      <c r="I122" t="s">
        <v>160</v>
      </c>
      <c r="J122" t="s">
        <v>224</v>
      </c>
      <c r="K122" t="b">
        <v>1</v>
      </c>
    </row>
    <row r="123" spans="1:11" hidden="1" x14ac:dyDescent="0.35">
      <c r="A123" t="s">
        <v>490</v>
      </c>
      <c r="B123">
        <v>2021</v>
      </c>
      <c r="C123" t="s">
        <v>491</v>
      </c>
      <c r="D123" t="s">
        <v>844</v>
      </c>
      <c r="E123" t="b">
        <v>1</v>
      </c>
      <c r="F123" t="s">
        <v>250</v>
      </c>
      <c r="G123" t="s">
        <v>238</v>
      </c>
      <c r="H123">
        <v>0.5</v>
      </c>
      <c r="I123" t="s">
        <v>221</v>
      </c>
      <c r="J123" t="s">
        <v>728</v>
      </c>
      <c r="K123" t="b">
        <v>0</v>
      </c>
    </row>
    <row r="124" spans="1:11" hidden="1" x14ac:dyDescent="0.35">
      <c r="A124" t="s">
        <v>493</v>
      </c>
      <c r="B124">
        <v>2021</v>
      </c>
      <c r="C124" t="s">
        <v>494</v>
      </c>
      <c r="D124" t="s">
        <v>845</v>
      </c>
      <c r="E124" t="b">
        <v>1</v>
      </c>
      <c r="F124" t="s">
        <v>846</v>
      </c>
      <c r="G124" t="s">
        <v>223</v>
      </c>
      <c r="H124">
        <v>1</v>
      </c>
      <c r="I124" t="s">
        <v>160</v>
      </c>
      <c r="J124" t="s">
        <v>223</v>
      </c>
      <c r="K124" t="b">
        <v>1</v>
      </c>
    </row>
    <row r="125" spans="1:11" hidden="1" x14ac:dyDescent="0.35">
      <c r="A125" t="s">
        <v>496</v>
      </c>
      <c r="B125">
        <v>2021</v>
      </c>
      <c r="C125" t="s">
        <v>497</v>
      </c>
      <c r="D125" t="s">
        <v>498</v>
      </c>
      <c r="E125" t="b">
        <v>1</v>
      </c>
      <c r="F125" t="s">
        <v>847</v>
      </c>
      <c r="G125" t="s">
        <v>223</v>
      </c>
      <c r="H125">
        <v>1</v>
      </c>
      <c r="I125" t="s">
        <v>160</v>
      </c>
      <c r="J125" t="s">
        <v>223</v>
      </c>
      <c r="K125" t="b">
        <v>1</v>
      </c>
    </row>
    <row r="126" spans="1:11" hidden="1" x14ac:dyDescent="0.35">
      <c r="A126" t="s">
        <v>499</v>
      </c>
      <c r="B126">
        <v>2021</v>
      </c>
      <c r="C126" t="s">
        <v>848</v>
      </c>
      <c r="D126" t="s">
        <v>849</v>
      </c>
      <c r="E126" t="b">
        <v>1</v>
      </c>
      <c r="F126" t="s">
        <v>250</v>
      </c>
      <c r="G126" t="s">
        <v>238</v>
      </c>
      <c r="H126">
        <v>0.5</v>
      </c>
      <c r="I126" t="s">
        <v>160</v>
      </c>
      <c r="J126" t="s">
        <v>224</v>
      </c>
      <c r="K126" t="b">
        <v>1</v>
      </c>
    </row>
    <row r="127" spans="1:11" hidden="1" x14ac:dyDescent="0.35">
      <c r="A127" t="s">
        <v>502</v>
      </c>
      <c r="B127">
        <v>2021</v>
      </c>
      <c r="C127" t="s">
        <v>850</v>
      </c>
      <c r="D127" t="s">
        <v>851</v>
      </c>
      <c r="E127" t="b">
        <v>1</v>
      </c>
      <c r="F127" t="s">
        <v>852</v>
      </c>
      <c r="G127" t="s">
        <v>223</v>
      </c>
      <c r="H127">
        <v>0.9</v>
      </c>
      <c r="I127" t="s">
        <v>160</v>
      </c>
      <c r="J127" t="s">
        <v>224</v>
      </c>
      <c r="K127" t="b">
        <v>1</v>
      </c>
    </row>
    <row r="128" spans="1:11" hidden="1" x14ac:dyDescent="0.35">
      <c r="A128" t="s">
        <v>505</v>
      </c>
      <c r="B128">
        <v>2021</v>
      </c>
      <c r="C128" t="s">
        <v>506</v>
      </c>
      <c r="D128" t="s">
        <v>853</v>
      </c>
      <c r="E128" t="b">
        <v>0</v>
      </c>
      <c r="F128" t="s">
        <v>247</v>
      </c>
      <c r="G128" t="s">
        <v>222</v>
      </c>
      <c r="H128">
        <v>1</v>
      </c>
      <c r="I128" t="s">
        <v>221</v>
      </c>
      <c r="J128" t="s">
        <v>715</v>
      </c>
      <c r="K128" t="b">
        <v>0</v>
      </c>
    </row>
    <row r="129" spans="1:11" hidden="1" x14ac:dyDescent="0.35">
      <c r="A129" t="s">
        <v>508</v>
      </c>
      <c r="B129">
        <v>2021</v>
      </c>
      <c r="C129" t="s">
        <v>509</v>
      </c>
      <c r="D129" t="s">
        <v>854</v>
      </c>
      <c r="E129" t="b">
        <v>0</v>
      </c>
      <c r="F129" t="s">
        <v>247</v>
      </c>
      <c r="G129" t="s">
        <v>222</v>
      </c>
      <c r="H129">
        <v>1</v>
      </c>
      <c r="I129" t="s">
        <v>221</v>
      </c>
      <c r="J129" t="s">
        <v>715</v>
      </c>
      <c r="K129" t="b">
        <v>0</v>
      </c>
    </row>
    <row r="130" spans="1:11" hidden="1" x14ac:dyDescent="0.35">
      <c r="A130" t="s">
        <v>511</v>
      </c>
      <c r="B130">
        <v>2021</v>
      </c>
      <c r="C130" t="s">
        <v>512</v>
      </c>
      <c r="D130" t="s">
        <v>855</v>
      </c>
      <c r="E130" t="b">
        <v>1</v>
      </c>
      <c r="F130" t="s">
        <v>250</v>
      </c>
      <c r="G130" t="s">
        <v>238</v>
      </c>
      <c r="H130">
        <v>0.6</v>
      </c>
      <c r="I130" t="s">
        <v>160</v>
      </c>
      <c r="J130" t="s">
        <v>730</v>
      </c>
      <c r="K130" t="b">
        <v>1</v>
      </c>
    </row>
    <row r="131" spans="1:11" hidden="1" x14ac:dyDescent="0.35">
      <c r="A131" t="s">
        <v>514</v>
      </c>
      <c r="B131">
        <v>2021</v>
      </c>
      <c r="C131" t="s">
        <v>515</v>
      </c>
      <c r="D131" t="s">
        <v>516</v>
      </c>
      <c r="E131" t="b">
        <v>1</v>
      </c>
      <c r="F131" t="s">
        <v>856</v>
      </c>
      <c r="G131" t="s">
        <v>223</v>
      </c>
      <c r="H131">
        <v>0.9</v>
      </c>
      <c r="I131" t="s">
        <v>160</v>
      </c>
      <c r="J131" t="s">
        <v>717</v>
      </c>
      <c r="K131" t="b">
        <v>1</v>
      </c>
    </row>
    <row r="132" spans="1:11" ht="409.5" hidden="1" x14ac:dyDescent="0.35">
      <c r="A132" t="s">
        <v>517</v>
      </c>
      <c r="B132">
        <v>2021</v>
      </c>
      <c r="C132" t="s">
        <v>518</v>
      </c>
      <c r="D132" s="1" t="s">
        <v>519</v>
      </c>
      <c r="E132" t="b">
        <v>1</v>
      </c>
      <c r="F132" t="s">
        <v>857</v>
      </c>
      <c r="G132" t="s">
        <v>223</v>
      </c>
      <c r="H132">
        <v>1</v>
      </c>
      <c r="I132" t="s">
        <v>160</v>
      </c>
      <c r="J132" t="s">
        <v>223</v>
      </c>
      <c r="K132" t="b">
        <v>1</v>
      </c>
    </row>
    <row r="133" spans="1:11" hidden="1" x14ac:dyDescent="0.35">
      <c r="A133" t="s">
        <v>520</v>
      </c>
      <c r="B133">
        <v>2021</v>
      </c>
      <c r="C133" t="s">
        <v>521</v>
      </c>
      <c r="D133" t="s">
        <v>858</v>
      </c>
      <c r="E133" t="b">
        <v>1</v>
      </c>
      <c r="F133" t="s">
        <v>859</v>
      </c>
      <c r="G133" t="s">
        <v>223</v>
      </c>
      <c r="H133">
        <v>1</v>
      </c>
      <c r="I133" t="s">
        <v>160</v>
      </c>
      <c r="J133" t="s">
        <v>223</v>
      </c>
      <c r="K133" t="b">
        <v>1</v>
      </c>
    </row>
    <row r="134" spans="1:11" hidden="1" x14ac:dyDescent="0.35">
      <c r="A134" t="s">
        <v>523</v>
      </c>
      <c r="B134">
        <v>2021</v>
      </c>
      <c r="C134" t="s">
        <v>860</v>
      </c>
      <c r="D134" t="s">
        <v>861</v>
      </c>
      <c r="E134" t="b">
        <v>1</v>
      </c>
      <c r="F134" t="s">
        <v>250</v>
      </c>
      <c r="G134" t="s">
        <v>238</v>
      </c>
      <c r="H134">
        <v>0.5</v>
      </c>
      <c r="I134" t="s">
        <v>221</v>
      </c>
      <c r="J134" t="s">
        <v>231</v>
      </c>
      <c r="K134" t="b">
        <v>0</v>
      </c>
    </row>
    <row r="135" spans="1:11" hidden="1" x14ac:dyDescent="0.35">
      <c r="A135" t="s">
        <v>526</v>
      </c>
      <c r="B135">
        <v>2021</v>
      </c>
      <c r="C135" t="s">
        <v>527</v>
      </c>
      <c r="D135" t="s">
        <v>528</v>
      </c>
      <c r="E135" t="b">
        <v>1</v>
      </c>
      <c r="F135" t="s">
        <v>862</v>
      </c>
      <c r="G135" t="s">
        <v>223</v>
      </c>
      <c r="H135">
        <v>1</v>
      </c>
      <c r="I135" t="s">
        <v>160</v>
      </c>
      <c r="J135" t="s">
        <v>223</v>
      </c>
      <c r="K135" t="b">
        <v>1</v>
      </c>
    </row>
    <row r="136" spans="1:11" hidden="1" x14ac:dyDescent="0.35">
      <c r="A136" t="s">
        <v>529</v>
      </c>
      <c r="B136">
        <v>2021</v>
      </c>
      <c r="C136" t="s">
        <v>863</v>
      </c>
      <c r="D136" t="s">
        <v>864</v>
      </c>
      <c r="E136" t="b">
        <v>1</v>
      </c>
      <c r="F136" t="s">
        <v>250</v>
      </c>
      <c r="G136" t="s">
        <v>238</v>
      </c>
      <c r="H136">
        <v>0.5</v>
      </c>
      <c r="I136" t="s">
        <v>221</v>
      </c>
      <c r="J136" t="s">
        <v>231</v>
      </c>
      <c r="K136" t="b">
        <v>0</v>
      </c>
    </row>
    <row r="137" spans="1:11" x14ac:dyDescent="0.35">
      <c r="A137" t="s">
        <v>532</v>
      </c>
      <c r="B137">
        <v>2021</v>
      </c>
      <c r="C137" t="s">
        <v>533</v>
      </c>
      <c r="D137" t="s">
        <v>865</v>
      </c>
      <c r="E137" t="b">
        <v>1</v>
      </c>
      <c r="F137" t="s">
        <v>866</v>
      </c>
      <c r="G137" t="s">
        <v>223</v>
      </c>
      <c r="H137">
        <v>0.9</v>
      </c>
      <c r="I137" t="s">
        <v>221</v>
      </c>
      <c r="J137" t="s">
        <v>231</v>
      </c>
      <c r="K137" t="b">
        <v>0</v>
      </c>
    </row>
    <row r="138" spans="1:11" hidden="1" x14ac:dyDescent="0.35">
      <c r="A138" t="s">
        <v>535</v>
      </c>
      <c r="B138">
        <v>2021</v>
      </c>
      <c r="C138" t="s">
        <v>536</v>
      </c>
      <c r="D138" t="s">
        <v>537</v>
      </c>
      <c r="E138" t="b">
        <v>1</v>
      </c>
      <c r="F138" t="s">
        <v>867</v>
      </c>
      <c r="G138" t="s">
        <v>223</v>
      </c>
      <c r="H138">
        <v>1</v>
      </c>
      <c r="I138" t="s">
        <v>160</v>
      </c>
      <c r="J138" t="s">
        <v>725</v>
      </c>
      <c r="K138" t="b">
        <v>1</v>
      </c>
    </row>
    <row r="139" spans="1:11" hidden="1" x14ac:dyDescent="0.35">
      <c r="A139" t="s">
        <v>538</v>
      </c>
      <c r="B139">
        <v>2021</v>
      </c>
      <c r="C139" t="s">
        <v>539</v>
      </c>
      <c r="D139" t="s">
        <v>868</v>
      </c>
      <c r="E139" t="b">
        <v>1</v>
      </c>
      <c r="F139" t="s">
        <v>250</v>
      </c>
      <c r="G139" t="s">
        <v>238</v>
      </c>
      <c r="H139">
        <v>0.5</v>
      </c>
      <c r="I139" t="s">
        <v>221</v>
      </c>
      <c r="J139" t="s">
        <v>231</v>
      </c>
      <c r="K139" t="b">
        <v>0</v>
      </c>
    </row>
    <row r="140" spans="1:11" hidden="1" x14ac:dyDescent="0.35">
      <c r="A140" t="s">
        <v>541</v>
      </c>
      <c r="B140">
        <v>2021</v>
      </c>
      <c r="C140" t="s">
        <v>542</v>
      </c>
      <c r="D140" t="s">
        <v>543</v>
      </c>
      <c r="E140" t="b">
        <v>1</v>
      </c>
      <c r="F140" t="s">
        <v>250</v>
      </c>
      <c r="G140" t="s">
        <v>238</v>
      </c>
      <c r="H140">
        <v>0.5</v>
      </c>
      <c r="I140" t="s">
        <v>221</v>
      </c>
      <c r="J140" t="s">
        <v>728</v>
      </c>
      <c r="K140" t="b">
        <v>0</v>
      </c>
    </row>
    <row r="141" spans="1:11" hidden="1" x14ac:dyDescent="0.35">
      <c r="A141" t="s">
        <v>544</v>
      </c>
      <c r="B141">
        <v>2021</v>
      </c>
      <c r="C141" t="s">
        <v>545</v>
      </c>
      <c r="D141" t="s">
        <v>869</v>
      </c>
      <c r="E141" t="b">
        <v>1</v>
      </c>
      <c r="F141" t="s">
        <v>870</v>
      </c>
      <c r="G141" t="s">
        <v>223</v>
      </c>
      <c r="H141">
        <v>1</v>
      </c>
      <c r="I141" t="s">
        <v>160</v>
      </c>
      <c r="J141" t="s">
        <v>226</v>
      </c>
      <c r="K141" t="b">
        <v>1</v>
      </c>
    </row>
    <row r="142" spans="1:11" hidden="1" x14ac:dyDescent="0.35">
      <c r="A142" t="s">
        <v>547</v>
      </c>
      <c r="B142">
        <v>2021</v>
      </c>
      <c r="C142" t="s">
        <v>548</v>
      </c>
      <c r="D142" t="s">
        <v>549</v>
      </c>
      <c r="E142" t="b">
        <v>1</v>
      </c>
      <c r="F142" t="s">
        <v>250</v>
      </c>
      <c r="G142" t="s">
        <v>238</v>
      </c>
      <c r="H142">
        <v>0.5</v>
      </c>
      <c r="I142" t="s">
        <v>160</v>
      </c>
      <c r="J142" t="s">
        <v>731</v>
      </c>
      <c r="K142" t="b">
        <v>1</v>
      </c>
    </row>
    <row r="143" spans="1:11" hidden="1" x14ac:dyDescent="0.35">
      <c r="A143" t="s">
        <v>550</v>
      </c>
      <c r="B143">
        <v>2021</v>
      </c>
      <c r="C143" t="s">
        <v>551</v>
      </c>
      <c r="D143" t="s">
        <v>871</v>
      </c>
      <c r="E143" t="b">
        <v>1</v>
      </c>
      <c r="F143" t="s">
        <v>872</v>
      </c>
      <c r="G143" t="s">
        <v>223</v>
      </c>
      <c r="H143">
        <v>1</v>
      </c>
      <c r="I143" t="s">
        <v>160</v>
      </c>
      <c r="J143" t="s">
        <v>731</v>
      </c>
      <c r="K143" t="b">
        <v>1</v>
      </c>
    </row>
    <row r="144" spans="1:11" hidden="1" x14ac:dyDescent="0.35">
      <c r="A144" t="s">
        <v>553</v>
      </c>
      <c r="B144">
        <v>2021</v>
      </c>
      <c r="C144" t="s">
        <v>554</v>
      </c>
      <c r="D144" t="s">
        <v>873</v>
      </c>
      <c r="E144" t="b">
        <v>0</v>
      </c>
      <c r="F144" t="s">
        <v>874</v>
      </c>
      <c r="G144" t="s">
        <v>222</v>
      </c>
      <c r="H144">
        <v>1</v>
      </c>
      <c r="I144" t="s">
        <v>221</v>
      </c>
      <c r="J144" t="s">
        <v>231</v>
      </c>
      <c r="K144" t="b">
        <v>0</v>
      </c>
    </row>
    <row r="145" spans="1:11" hidden="1" x14ac:dyDescent="0.35">
      <c r="A145" t="s">
        <v>556</v>
      </c>
      <c r="B145">
        <v>2021</v>
      </c>
      <c r="C145" t="s">
        <v>557</v>
      </c>
      <c r="D145" t="s">
        <v>875</v>
      </c>
      <c r="E145" t="b">
        <v>1</v>
      </c>
      <c r="F145" t="s">
        <v>876</v>
      </c>
      <c r="G145" t="s">
        <v>223</v>
      </c>
      <c r="H145">
        <v>1</v>
      </c>
      <c r="I145" t="s">
        <v>160</v>
      </c>
      <c r="J145" t="s">
        <v>226</v>
      </c>
      <c r="K145" t="b">
        <v>1</v>
      </c>
    </row>
    <row r="146" spans="1:11" hidden="1" x14ac:dyDescent="0.35">
      <c r="A146" t="s">
        <v>559</v>
      </c>
      <c r="B146">
        <v>2021</v>
      </c>
      <c r="C146" t="s">
        <v>560</v>
      </c>
      <c r="D146" t="s">
        <v>877</v>
      </c>
      <c r="E146" t="b">
        <v>1</v>
      </c>
      <c r="F146" t="s">
        <v>878</v>
      </c>
      <c r="G146" t="s">
        <v>223</v>
      </c>
      <c r="H146">
        <v>1</v>
      </c>
      <c r="I146" t="s">
        <v>160</v>
      </c>
      <c r="J146" t="s">
        <v>721</v>
      </c>
      <c r="K146" t="b">
        <v>1</v>
      </c>
    </row>
    <row r="147" spans="1:11" hidden="1" x14ac:dyDescent="0.35">
      <c r="A147" t="s">
        <v>562</v>
      </c>
      <c r="B147">
        <v>2021</v>
      </c>
      <c r="C147" t="s">
        <v>879</v>
      </c>
      <c r="D147" t="s">
        <v>880</v>
      </c>
      <c r="E147" t="b">
        <v>1</v>
      </c>
      <c r="F147" t="s">
        <v>250</v>
      </c>
      <c r="G147" t="s">
        <v>238</v>
      </c>
      <c r="H147">
        <v>0.5</v>
      </c>
      <c r="I147" t="s">
        <v>160</v>
      </c>
      <c r="J147" t="s">
        <v>224</v>
      </c>
      <c r="K147" t="b">
        <v>1</v>
      </c>
    </row>
    <row r="148" spans="1:11" hidden="1" x14ac:dyDescent="0.35">
      <c r="A148" t="s">
        <v>565</v>
      </c>
      <c r="B148">
        <v>2021</v>
      </c>
      <c r="C148" t="s">
        <v>566</v>
      </c>
      <c r="D148" t="s">
        <v>567</v>
      </c>
      <c r="E148" t="b">
        <v>1</v>
      </c>
      <c r="F148" t="s">
        <v>881</v>
      </c>
      <c r="G148" t="s">
        <v>223</v>
      </c>
      <c r="H148">
        <v>1</v>
      </c>
      <c r="I148" t="s">
        <v>160</v>
      </c>
      <c r="J148" t="s">
        <v>732</v>
      </c>
      <c r="K148" t="b">
        <v>1</v>
      </c>
    </row>
    <row r="149" spans="1:11" hidden="1" x14ac:dyDescent="0.35">
      <c r="A149" t="s">
        <v>568</v>
      </c>
      <c r="B149">
        <v>2021</v>
      </c>
      <c r="C149" t="s">
        <v>569</v>
      </c>
      <c r="D149" t="s">
        <v>549</v>
      </c>
      <c r="E149" t="b">
        <v>1</v>
      </c>
      <c r="F149" t="s">
        <v>882</v>
      </c>
      <c r="G149" t="s">
        <v>223</v>
      </c>
      <c r="H149">
        <v>1</v>
      </c>
      <c r="I149" t="s">
        <v>160</v>
      </c>
      <c r="J149" t="s">
        <v>223</v>
      </c>
      <c r="K149" t="b">
        <v>1</v>
      </c>
    </row>
    <row r="150" spans="1:11" hidden="1" x14ac:dyDescent="0.35">
      <c r="A150" t="s">
        <v>570</v>
      </c>
      <c r="B150">
        <v>2021</v>
      </c>
      <c r="C150" t="s">
        <v>571</v>
      </c>
      <c r="D150" t="s">
        <v>883</v>
      </c>
      <c r="E150" t="b">
        <v>1</v>
      </c>
      <c r="F150" t="s">
        <v>884</v>
      </c>
      <c r="G150" t="s">
        <v>223</v>
      </c>
      <c r="H150">
        <v>0.9</v>
      </c>
      <c r="I150" t="s">
        <v>160</v>
      </c>
      <c r="J150" t="s">
        <v>223</v>
      </c>
      <c r="K150" t="b">
        <v>1</v>
      </c>
    </row>
    <row r="151" spans="1:11" hidden="1" x14ac:dyDescent="0.35">
      <c r="A151" t="s">
        <v>573</v>
      </c>
      <c r="B151">
        <v>2021</v>
      </c>
      <c r="C151" t="s">
        <v>574</v>
      </c>
      <c r="D151" t="s">
        <v>885</v>
      </c>
      <c r="E151" t="b">
        <v>1</v>
      </c>
      <c r="F151" t="s">
        <v>250</v>
      </c>
      <c r="G151" t="s">
        <v>238</v>
      </c>
      <c r="H151">
        <v>0.5</v>
      </c>
      <c r="I151" t="s">
        <v>221</v>
      </c>
      <c r="J151" t="s">
        <v>231</v>
      </c>
      <c r="K151" t="b">
        <v>0</v>
      </c>
    </row>
    <row r="152" spans="1:11" hidden="1" x14ac:dyDescent="0.35">
      <c r="A152" t="s">
        <v>576</v>
      </c>
      <c r="B152">
        <v>2021</v>
      </c>
      <c r="C152" t="s">
        <v>577</v>
      </c>
      <c r="D152" t="s">
        <v>886</v>
      </c>
      <c r="E152" t="b">
        <v>1</v>
      </c>
      <c r="F152" t="s">
        <v>250</v>
      </c>
      <c r="G152" t="s">
        <v>238</v>
      </c>
      <c r="H152">
        <v>0.5</v>
      </c>
      <c r="I152" t="s">
        <v>160</v>
      </c>
      <c r="J152" t="s">
        <v>224</v>
      </c>
      <c r="K152" t="b">
        <v>1</v>
      </c>
    </row>
    <row r="153" spans="1:11" hidden="1" x14ac:dyDescent="0.35">
      <c r="A153" t="s">
        <v>579</v>
      </c>
      <c r="B153">
        <v>2021</v>
      </c>
      <c r="C153" t="s">
        <v>580</v>
      </c>
      <c r="D153" t="s">
        <v>887</v>
      </c>
      <c r="E153" t="b">
        <v>1</v>
      </c>
      <c r="F153" t="s">
        <v>888</v>
      </c>
      <c r="G153" t="s">
        <v>223</v>
      </c>
      <c r="H153">
        <v>1</v>
      </c>
      <c r="I153" t="s">
        <v>160</v>
      </c>
      <c r="J153" t="s">
        <v>223</v>
      </c>
      <c r="K153" t="b">
        <v>1</v>
      </c>
    </row>
    <row r="154" spans="1:11" hidden="1" x14ac:dyDescent="0.35">
      <c r="A154" t="s">
        <v>582</v>
      </c>
      <c r="B154">
        <v>2021</v>
      </c>
      <c r="C154" t="s">
        <v>583</v>
      </c>
      <c r="D154" t="s">
        <v>584</v>
      </c>
      <c r="E154" t="b">
        <v>1</v>
      </c>
      <c r="F154" t="s">
        <v>889</v>
      </c>
      <c r="G154" t="s">
        <v>223</v>
      </c>
      <c r="H154">
        <v>1</v>
      </c>
      <c r="I154" t="s">
        <v>160</v>
      </c>
      <c r="J154" t="s">
        <v>733</v>
      </c>
      <c r="K154" t="b">
        <v>1</v>
      </c>
    </row>
    <row r="155" spans="1:11" x14ac:dyDescent="0.35">
      <c r="A155" t="s">
        <v>585</v>
      </c>
      <c r="B155">
        <v>2021</v>
      </c>
      <c r="C155" t="s">
        <v>586</v>
      </c>
      <c r="D155" t="s">
        <v>587</v>
      </c>
      <c r="E155" t="b">
        <v>1</v>
      </c>
      <c r="F155" t="s">
        <v>890</v>
      </c>
      <c r="G155" t="s">
        <v>223</v>
      </c>
      <c r="H155">
        <v>0.8</v>
      </c>
      <c r="I155" t="s">
        <v>221</v>
      </c>
      <c r="J155" t="s">
        <v>728</v>
      </c>
      <c r="K155" t="b">
        <v>0</v>
      </c>
    </row>
    <row r="156" spans="1:11" hidden="1" x14ac:dyDescent="0.35">
      <c r="A156" t="s">
        <v>588</v>
      </c>
      <c r="B156">
        <v>2021</v>
      </c>
      <c r="C156" t="s">
        <v>891</v>
      </c>
      <c r="D156" t="s">
        <v>892</v>
      </c>
      <c r="E156" t="b">
        <v>1</v>
      </c>
      <c r="F156" t="s">
        <v>250</v>
      </c>
      <c r="G156" t="s">
        <v>238</v>
      </c>
      <c r="H156">
        <v>0.5</v>
      </c>
      <c r="I156" t="s">
        <v>221</v>
      </c>
      <c r="J156" t="s">
        <v>728</v>
      </c>
      <c r="K156" t="b">
        <v>0</v>
      </c>
    </row>
    <row r="157" spans="1:11" hidden="1" x14ac:dyDescent="0.35">
      <c r="A157" t="s">
        <v>591</v>
      </c>
      <c r="B157">
        <v>2021</v>
      </c>
      <c r="C157" t="s">
        <v>893</v>
      </c>
      <c r="D157" t="s">
        <v>894</v>
      </c>
      <c r="E157" t="b">
        <v>1</v>
      </c>
      <c r="F157" t="s">
        <v>895</v>
      </c>
      <c r="G157" t="s">
        <v>223</v>
      </c>
      <c r="H157">
        <v>0.9</v>
      </c>
      <c r="I157" t="s">
        <v>160</v>
      </c>
      <c r="J157" t="s">
        <v>224</v>
      </c>
      <c r="K157" t="b">
        <v>1</v>
      </c>
    </row>
    <row r="158" spans="1:11" hidden="1" x14ac:dyDescent="0.35">
      <c r="A158" t="s">
        <v>594</v>
      </c>
      <c r="B158">
        <v>2021</v>
      </c>
      <c r="C158" t="s">
        <v>595</v>
      </c>
      <c r="D158" t="s">
        <v>896</v>
      </c>
      <c r="E158" t="b">
        <v>1</v>
      </c>
      <c r="F158" t="s">
        <v>897</v>
      </c>
      <c r="G158" t="s">
        <v>223</v>
      </c>
      <c r="H158">
        <v>0.9</v>
      </c>
      <c r="I158" t="s">
        <v>160</v>
      </c>
      <c r="J158" t="s">
        <v>721</v>
      </c>
      <c r="K158" t="b">
        <v>1</v>
      </c>
    </row>
    <row r="159" spans="1:11" ht="409.5" x14ac:dyDescent="0.35">
      <c r="A159" t="s">
        <v>597</v>
      </c>
      <c r="B159">
        <v>2021</v>
      </c>
      <c r="C159" t="s">
        <v>598</v>
      </c>
      <c r="D159" s="1" t="s">
        <v>599</v>
      </c>
      <c r="E159" t="b">
        <v>1</v>
      </c>
      <c r="F159" t="s">
        <v>898</v>
      </c>
      <c r="G159" t="s">
        <v>223</v>
      </c>
      <c r="H159">
        <v>0.9</v>
      </c>
      <c r="I159" t="s">
        <v>221</v>
      </c>
      <c r="J159" t="s">
        <v>734</v>
      </c>
      <c r="K159" t="b">
        <v>0</v>
      </c>
    </row>
    <row r="160" spans="1:11" hidden="1" x14ac:dyDescent="0.35">
      <c r="A160" t="s">
        <v>600</v>
      </c>
      <c r="B160">
        <v>2021</v>
      </c>
      <c r="C160" t="s">
        <v>601</v>
      </c>
      <c r="D160" t="s">
        <v>899</v>
      </c>
      <c r="E160" t="b">
        <v>1</v>
      </c>
      <c r="F160" t="s">
        <v>900</v>
      </c>
      <c r="G160" t="s">
        <v>223</v>
      </c>
      <c r="H160">
        <v>1</v>
      </c>
      <c r="I160" t="s">
        <v>160</v>
      </c>
      <c r="J160" t="s">
        <v>735</v>
      </c>
      <c r="K160" t="b">
        <v>1</v>
      </c>
    </row>
    <row r="161" spans="1:11" hidden="1" x14ac:dyDescent="0.35">
      <c r="A161" t="s">
        <v>603</v>
      </c>
      <c r="B161">
        <v>2021</v>
      </c>
      <c r="C161" t="s">
        <v>604</v>
      </c>
      <c r="D161" t="s">
        <v>901</v>
      </c>
      <c r="E161" t="b">
        <v>1</v>
      </c>
      <c r="F161" t="s">
        <v>250</v>
      </c>
      <c r="G161" t="s">
        <v>238</v>
      </c>
      <c r="H161">
        <v>0.5</v>
      </c>
      <c r="I161" t="s">
        <v>221</v>
      </c>
      <c r="J161" t="s">
        <v>231</v>
      </c>
      <c r="K161" t="b">
        <v>0</v>
      </c>
    </row>
    <row r="162" spans="1:11" hidden="1" x14ac:dyDescent="0.35">
      <c r="A162" t="s">
        <v>606</v>
      </c>
      <c r="B162">
        <v>2021</v>
      </c>
      <c r="C162" t="s">
        <v>607</v>
      </c>
      <c r="D162" t="s">
        <v>608</v>
      </c>
      <c r="E162" t="b">
        <v>1</v>
      </c>
      <c r="F162" t="s">
        <v>902</v>
      </c>
      <c r="G162" t="s">
        <v>223</v>
      </c>
      <c r="H162">
        <v>1</v>
      </c>
      <c r="I162" t="s">
        <v>160</v>
      </c>
      <c r="J162" t="s">
        <v>725</v>
      </c>
      <c r="K162" t="b">
        <v>1</v>
      </c>
    </row>
    <row r="163" spans="1:11" hidden="1" x14ac:dyDescent="0.35">
      <c r="A163" t="s">
        <v>609</v>
      </c>
      <c r="B163">
        <v>2021</v>
      </c>
      <c r="C163" t="s">
        <v>903</v>
      </c>
      <c r="D163" t="s">
        <v>904</v>
      </c>
      <c r="E163" t="b">
        <v>1</v>
      </c>
      <c r="F163" t="s">
        <v>250</v>
      </c>
      <c r="G163" t="s">
        <v>238</v>
      </c>
      <c r="H163">
        <v>0.5</v>
      </c>
      <c r="I163" t="s">
        <v>221</v>
      </c>
      <c r="J163" t="s">
        <v>231</v>
      </c>
      <c r="K163" t="b">
        <v>0</v>
      </c>
    </row>
    <row r="164" spans="1:11" hidden="1" x14ac:dyDescent="0.35">
      <c r="A164" t="s">
        <v>612</v>
      </c>
      <c r="B164">
        <v>2021</v>
      </c>
      <c r="C164" t="s">
        <v>613</v>
      </c>
      <c r="D164" t="s">
        <v>614</v>
      </c>
      <c r="E164" t="b">
        <v>1</v>
      </c>
      <c r="F164" t="s">
        <v>905</v>
      </c>
      <c r="G164" t="s">
        <v>223</v>
      </c>
      <c r="H164">
        <v>1</v>
      </c>
      <c r="I164" t="s">
        <v>160</v>
      </c>
      <c r="J164" t="s">
        <v>736</v>
      </c>
      <c r="K164" t="b">
        <v>1</v>
      </c>
    </row>
    <row r="165" spans="1:11" hidden="1" x14ac:dyDescent="0.35">
      <c r="A165" t="s">
        <v>615</v>
      </c>
      <c r="B165">
        <v>2021</v>
      </c>
      <c r="C165" t="s">
        <v>616</v>
      </c>
      <c r="D165" t="s">
        <v>906</v>
      </c>
      <c r="E165" t="b">
        <v>1</v>
      </c>
      <c r="F165" t="s">
        <v>250</v>
      </c>
      <c r="G165" t="s">
        <v>238</v>
      </c>
      <c r="H165">
        <v>0.5</v>
      </c>
      <c r="I165" t="s">
        <v>160</v>
      </c>
      <c r="J165" t="s">
        <v>736</v>
      </c>
      <c r="K165" t="b">
        <v>1</v>
      </c>
    </row>
    <row r="166" spans="1:11" hidden="1" x14ac:dyDescent="0.35">
      <c r="A166" t="s">
        <v>618</v>
      </c>
      <c r="B166">
        <v>2021</v>
      </c>
      <c r="C166" t="s">
        <v>619</v>
      </c>
      <c r="D166" t="s">
        <v>907</v>
      </c>
      <c r="E166" t="b">
        <v>1</v>
      </c>
      <c r="F166" t="s">
        <v>908</v>
      </c>
      <c r="G166" t="s">
        <v>223</v>
      </c>
      <c r="H166">
        <v>1</v>
      </c>
      <c r="I166" t="s">
        <v>160</v>
      </c>
      <c r="J166" t="s">
        <v>224</v>
      </c>
      <c r="K166" t="b">
        <v>1</v>
      </c>
    </row>
    <row r="167" spans="1:11" ht="409.5" hidden="1" x14ac:dyDescent="0.35">
      <c r="A167" t="s">
        <v>621</v>
      </c>
      <c r="B167">
        <v>2021</v>
      </c>
      <c r="C167" t="s">
        <v>622</v>
      </c>
      <c r="D167" s="1" t="s">
        <v>623</v>
      </c>
      <c r="E167" t="b">
        <v>1</v>
      </c>
      <c r="F167" t="s">
        <v>909</v>
      </c>
      <c r="G167" t="s">
        <v>223</v>
      </c>
      <c r="H167">
        <v>1</v>
      </c>
      <c r="I167" t="s">
        <v>160</v>
      </c>
      <c r="J167" t="s">
        <v>725</v>
      </c>
      <c r="K167" t="b">
        <v>1</v>
      </c>
    </row>
    <row r="168" spans="1:11" hidden="1" x14ac:dyDescent="0.35">
      <c r="A168" t="s">
        <v>624</v>
      </c>
      <c r="B168">
        <v>2021</v>
      </c>
      <c r="C168" t="s">
        <v>910</v>
      </c>
      <c r="D168" t="s">
        <v>911</v>
      </c>
      <c r="E168" t="b">
        <v>1</v>
      </c>
      <c r="F168" t="s">
        <v>250</v>
      </c>
      <c r="G168" t="s">
        <v>238</v>
      </c>
      <c r="H168">
        <v>0.5</v>
      </c>
      <c r="I168" t="s">
        <v>160</v>
      </c>
      <c r="J168" t="s">
        <v>224</v>
      </c>
      <c r="K168" t="b">
        <v>1</v>
      </c>
    </row>
    <row r="169" spans="1:11" hidden="1" x14ac:dyDescent="0.35">
      <c r="A169" t="s">
        <v>627</v>
      </c>
      <c r="B169">
        <v>2021</v>
      </c>
      <c r="C169" t="s">
        <v>912</v>
      </c>
      <c r="D169" t="s">
        <v>913</v>
      </c>
      <c r="E169" t="b">
        <v>0</v>
      </c>
      <c r="F169" t="s">
        <v>914</v>
      </c>
      <c r="G169" t="s">
        <v>222</v>
      </c>
      <c r="H169">
        <v>1</v>
      </c>
      <c r="I169" t="s">
        <v>221</v>
      </c>
      <c r="J169" t="s">
        <v>231</v>
      </c>
      <c r="K169" t="b">
        <v>0</v>
      </c>
    </row>
    <row r="170" spans="1:11" hidden="1" x14ac:dyDescent="0.35">
      <c r="A170" t="s">
        <v>630</v>
      </c>
      <c r="B170">
        <v>2021</v>
      </c>
      <c r="C170" t="s">
        <v>631</v>
      </c>
      <c r="D170" t="s">
        <v>915</v>
      </c>
      <c r="E170" t="b">
        <v>1</v>
      </c>
      <c r="F170" t="s">
        <v>250</v>
      </c>
      <c r="G170" t="s">
        <v>238</v>
      </c>
      <c r="H170">
        <v>0.5</v>
      </c>
      <c r="I170" t="s">
        <v>221</v>
      </c>
      <c r="J170" t="s">
        <v>227</v>
      </c>
      <c r="K170" t="b">
        <v>0</v>
      </c>
    </row>
    <row r="171" spans="1:11" hidden="1" x14ac:dyDescent="0.35">
      <c r="A171" t="s">
        <v>633</v>
      </c>
      <c r="B171">
        <v>2021</v>
      </c>
      <c r="C171" t="s">
        <v>634</v>
      </c>
      <c r="D171" t="s">
        <v>635</v>
      </c>
      <c r="E171" t="b">
        <v>1</v>
      </c>
      <c r="F171" t="s">
        <v>916</v>
      </c>
      <c r="G171" t="s">
        <v>223</v>
      </c>
      <c r="H171">
        <v>1</v>
      </c>
      <c r="I171" t="s">
        <v>160</v>
      </c>
      <c r="J171" t="s">
        <v>223</v>
      </c>
      <c r="K171" t="b">
        <v>1</v>
      </c>
    </row>
    <row r="172" spans="1:11" hidden="1" x14ac:dyDescent="0.35">
      <c r="A172" t="s">
        <v>636</v>
      </c>
      <c r="B172">
        <v>2021</v>
      </c>
      <c r="C172" t="s">
        <v>637</v>
      </c>
      <c r="D172" t="s">
        <v>549</v>
      </c>
      <c r="E172" t="b">
        <v>1</v>
      </c>
      <c r="F172" t="s">
        <v>250</v>
      </c>
      <c r="G172" t="s">
        <v>238</v>
      </c>
      <c r="H172">
        <v>0.5</v>
      </c>
      <c r="I172" t="s">
        <v>221</v>
      </c>
      <c r="J172" t="s">
        <v>715</v>
      </c>
      <c r="K172" t="b">
        <v>0</v>
      </c>
    </row>
    <row r="173" spans="1:11" hidden="1" x14ac:dyDescent="0.35">
      <c r="A173" t="s">
        <v>638</v>
      </c>
      <c r="B173">
        <v>2021</v>
      </c>
      <c r="C173" t="s">
        <v>639</v>
      </c>
      <c r="D173" t="s">
        <v>917</v>
      </c>
      <c r="E173" t="b">
        <v>1</v>
      </c>
      <c r="F173" t="s">
        <v>250</v>
      </c>
      <c r="G173" t="s">
        <v>238</v>
      </c>
      <c r="H173">
        <v>0.5</v>
      </c>
      <c r="I173" t="s">
        <v>221</v>
      </c>
      <c r="J173" t="s">
        <v>231</v>
      </c>
      <c r="K173" t="b">
        <v>0</v>
      </c>
    </row>
    <row r="174" spans="1:11" hidden="1" x14ac:dyDescent="0.35">
      <c r="A174" t="s">
        <v>641</v>
      </c>
      <c r="B174">
        <v>2021</v>
      </c>
      <c r="C174" t="s">
        <v>918</v>
      </c>
      <c r="D174" t="s">
        <v>919</v>
      </c>
      <c r="E174" t="b">
        <v>1</v>
      </c>
      <c r="F174" t="s">
        <v>250</v>
      </c>
      <c r="G174" t="s">
        <v>238</v>
      </c>
      <c r="H174">
        <v>0.5</v>
      </c>
      <c r="I174" t="s">
        <v>221</v>
      </c>
      <c r="J174" t="s">
        <v>231</v>
      </c>
      <c r="K174" t="b">
        <v>0</v>
      </c>
    </row>
    <row r="175" spans="1:11" hidden="1" x14ac:dyDescent="0.35">
      <c r="A175" t="s">
        <v>644</v>
      </c>
      <c r="B175">
        <v>2021</v>
      </c>
      <c r="C175" t="s">
        <v>645</v>
      </c>
      <c r="D175" t="s">
        <v>646</v>
      </c>
      <c r="E175" t="b">
        <v>1</v>
      </c>
      <c r="F175" t="s">
        <v>250</v>
      </c>
      <c r="G175" t="s">
        <v>238</v>
      </c>
      <c r="H175">
        <v>0.5</v>
      </c>
      <c r="I175" t="s">
        <v>221</v>
      </c>
      <c r="J175" t="s">
        <v>728</v>
      </c>
      <c r="K175" t="b">
        <v>0</v>
      </c>
    </row>
    <row r="176" spans="1:11" hidden="1" x14ac:dyDescent="0.35">
      <c r="A176" t="s">
        <v>647</v>
      </c>
      <c r="B176">
        <v>2021</v>
      </c>
      <c r="C176" t="s">
        <v>648</v>
      </c>
      <c r="D176" t="s">
        <v>920</v>
      </c>
      <c r="E176" t="b">
        <v>1</v>
      </c>
      <c r="F176" t="s">
        <v>921</v>
      </c>
      <c r="G176" t="s">
        <v>223</v>
      </c>
      <c r="H176">
        <v>1</v>
      </c>
      <c r="I176" t="s">
        <v>160</v>
      </c>
      <c r="J176" t="s">
        <v>721</v>
      </c>
      <c r="K176" t="b">
        <v>1</v>
      </c>
    </row>
    <row r="177" spans="1:11" hidden="1" x14ac:dyDescent="0.35">
      <c r="A177" t="s">
        <v>650</v>
      </c>
      <c r="B177">
        <v>2021</v>
      </c>
      <c r="C177" t="s">
        <v>651</v>
      </c>
      <c r="D177" t="s">
        <v>922</v>
      </c>
      <c r="E177" t="b">
        <v>1</v>
      </c>
      <c r="F177" t="s">
        <v>923</v>
      </c>
      <c r="G177" t="s">
        <v>223</v>
      </c>
      <c r="H177">
        <v>1</v>
      </c>
      <c r="I177" t="s">
        <v>160</v>
      </c>
      <c r="J177" t="s">
        <v>223</v>
      </c>
      <c r="K177" t="b">
        <v>1</v>
      </c>
    </row>
    <row r="178" spans="1:11" ht="409.5" hidden="1" x14ac:dyDescent="0.35">
      <c r="A178" t="s">
        <v>653</v>
      </c>
      <c r="B178">
        <v>2021</v>
      </c>
      <c r="C178" t="s">
        <v>651</v>
      </c>
      <c r="D178" s="1" t="s">
        <v>654</v>
      </c>
      <c r="E178" t="b">
        <v>1</v>
      </c>
      <c r="F178" t="s">
        <v>924</v>
      </c>
      <c r="G178" t="s">
        <v>223</v>
      </c>
      <c r="H178">
        <v>1</v>
      </c>
      <c r="I178" s="5" t="s">
        <v>160</v>
      </c>
      <c r="J178" s="5"/>
      <c r="K178" t="b">
        <v>1</v>
      </c>
    </row>
    <row r="179" spans="1:11" hidden="1" x14ac:dyDescent="0.35">
      <c r="A179" t="s">
        <v>655</v>
      </c>
      <c r="B179">
        <v>2021</v>
      </c>
      <c r="C179" t="s">
        <v>656</v>
      </c>
      <c r="D179" t="s">
        <v>657</v>
      </c>
      <c r="E179" t="b">
        <v>1</v>
      </c>
      <c r="F179" t="s">
        <v>925</v>
      </c>
      <c r="G179" t="s">
        <v>223</v>
      </c>
      <c r="H179">
        <v>0.9</v>
      </c>
      <c r="I179" t="s">
        <v>160</v>
      </c>
      <c r="J179" t="s">
        <v>223</v>
      </c>
      <c r="K179" t="b">
        <v>1</v>
      </c>
    </row>
    <row r="180" spans="1:11" ht="409.5" hidden="1" x14ac:dyDescent="0.35">
      <c r="A180" t="s">
        <v>658</v>
      </c>
      <c r="B180">
        <v>2025</v>
      </c>
      <c r="C180" t="s">
        <v>659</v>
      </c>
      <c r="D180" s="1" t="s">
        <v>660</v>
      </c>
      <c r="E180" t="b">
        <v>1</v>
      </c>
      <c r="F180" t="s">
        <v>926</v>
      </c>
      <c r="G180" t="s">
        <v>223</v>
      </c>
      <c r="H180">
        <v>1</v>
      </c>
      <c r="I180" t="s">
        <v>160</v>
      </c>
      <c r="J180" t="s">
        <v>721</v>
      </c>
      <c r="K180" t="b">
        <v>1</v>
      </c>
    </row>
    <row r="181" spans="1:11" hidden="1" x14ac:dyDescent="0.35">
      <c r="A181" t="s">
        <v>661</v>
      </c>
      <c r="B181">
        <v>2025</v>
      </c>
      <c r="C181" t="s">
        <v>659</v>
      </c>
      <c r="D181" t="s">
        <v>927</v>
      </c>
      <c r="E181" t="b">
        <v>1</v>
      </c>
      <c r="F181" t="s">
        <v>928</v>
      </c>
      <c r="G181" t="s">
        <v>223</v>
      </c>
      <c r="H181">
        <v>1</v>
      </c>
      <c r="I181" s="5" t="s">
        <v>160</v>
      </c>
      <c r="J181" s="5"/>
      <c r="K181" t="b">
        <v>1</v>
      </c>
    </row>
    <row r="182" spans="1:11" hidden="1" x14ac:dyDescent="0.35">
      <c r="A182" t="s">
        <v>663</v>
      </c>
      <c r="B182">
        <v>2025</v>
      </c>
      <c r="C182" t="s">
        <v>664</v>
      </c>
      <c r="D182" t="s">
        <v>929</v>
      </c>
      <c r="E182" t="b">
        <v>1</v>
      </c>
      <c r="F182" t="s">
        <v>250</v>
      </c>
      <c r="G182" t="s">
        <v>238</v>
      </c>
      <c r="H182">
        <v>0.5</v>
      </c>
      <c r="I182" t="s">
        <v>221</v>
      </c>
      <c r="J182" t="s">
        <v>728</v>
      </c>
      <c r="K182" t="b">
        <v>0</v>
      </c>
    </row>
    <row r="183" spans="1:11" hidden="1" x14ac:dyDescent="0.35">
      <c r="A183" t="s">
        <v>666</v>
      </c>
      <c r="B183">
        <v>2025</v>
      </c>
      <c r="C183" t="s">
        <v>667</v>
      </c>
      <c r="D183" t="s">
        <v>930</v>
      </c>
      <c r="E183" t="b">
        <v>0</v>
      </c>
      <c r="F183" t="s">
        <v>931</v>
      </c>
      <c r="G183" t="s">
        <v>222</v>
      </c>
      <c r="H183">
        <v>0.9</v>
      </c>
      <c r="I183" t="s">
        <v>160</v>
      </c>
      <c r="J183" t="s">
        <v>224</v>
      </c>
      <c r="K183" t="b">
        <v>1</v>
      </c>
    </row>
    <row r="184" spans="1:11" hidden="1" x14ac:dyDescent="0.35">
      <c r="A184" t="s">
        <v>669</v>
      </c>
      <c r="B184">
        <v>2025</v>
      </c>
      <c r="C184" t="s">
        <v>670</v>
      </c>
      <c r="D184" t="s">
        <v>671</v>
      </c>
      <c r="E184" t="b">
        <v>1</v>
      </c>
      <c r="F184" t="s">
        <v>932</v>
      </c>
      <c r="G184" t="s">
        <v>223</v>
      </c>
      <c r="H184">
        <v>0.9</v>
      </c>
      <c r="I184" t="s">
        <v>160</v>
      </c>
      <c r="J184" t="s">
        <v>224</v>
      </c>
      <c r="K184" t="b">
        <v>1</v>
      </c>
    </row>
    <row r="185" spans="1:11" hidden="1" x14ac:dyDescent="0.35">
      <c r="A185" t="s">
        <v>672</v>
      </c>
      <c r="B185">
        <v>2025</v>
      </c>
      <c r="C185" t="s">
        <v>673</v>
      </c>
      <c r="D185" t="s">
        <v>674</v>
      </c>
      <c r="E185" t="b">
        <v>1</v>
      </c>
      <c r="F185" t="s">
        <v>250</v>
      </c>
      <c r="G185" t="s">
        <v>238</v>
      </c>
      <c r="H185">
        <v>0.5</v>
      </c>
      <c r="I185" t="s">
        <v>221</v>
      </c>
      <c r="J185" t="s">
        <v>728</v>
      </c>
      <c r="K185" t="b">
        <v>0</v>
      </c>
    </row>
    <row r="186" spans="1:11" hidden="1" x14ac:dyDescent="0.35">
      <c r="A186" t="s">
        <v>675</v>
      </c>
      <c r="B186">
        <v>2025</v>
      </c>
      <c r="C186" t="s">
        <v>933</v>
      </c>
      <c r="D186" t="s">
        <v>934</v>
      </c>
      <c r="E186" t="b">
        <v>1</v>
      </c>
      <c r="F186" t="s">
        <v>250</v>
      </c>
      <c r="G186" t="s">
        <v>238</v>
      </c>
      <c r="H186">
        <v>0.5</v>
      </c>
      <c r="I186" t="s">
        <v>221</v>
      </c>
      <c r="J186" t="s">
        <v>728</v>
      </c>
      <c r="K186" t="b">
        <v>0</v>
      </c>
    </row>
    <row r="187" spans="1:11" hidden="1" x14ac:dyDescent="0.35">
      <c r="A187" t="s">
        <v>678</v>
      </c>
      <c r="B187">
        <v>2025</v>
      </c>
      <c r="C187" t="s">
        <v>679</v>
      </c>
      <c r="D187" t="s">
        <v>680</v>
      </c>
      <c r="E187" t="b">
        <v>1</v>
      </c>
      <c r="F187" t="s">
        <v>935</v>
      </c>
      <c r="G187" t="s">
        <v>223</v>
      </c>
      <c r="H187">
        <v>1</v>
      </c>
      <c r="I187" t="s">
        <v>160</v>
      </c>
      <c r="J187" t="s">
        <v>226</v>
      </c>
      <c r="K187" t="b">
        <v>1</v>
      </c>
    </row>
    <row r="188" spans="1:11" hidden="1" x14ac:dyDescent="0.35">
      <c r="A188" t="s">
        <v>681</v>
      </c>
      <c r="B188">
        <v>2025</v>
      </c>
      <c r="C188" t="s">
        <v>682</v>
      </c>
      <c r="D188" t="s">
        <v>936</v>
      </c>
      <c r="E188" t="b">
        <v>0</v>
      </c>
      <c r="F188" t="s">
        <v>937</v>
      </c>
      <c r="G188" t="s">
        <v>222</v>
      </c>
      <c r="H188">
        <v>0.9</v>
      </c>
      <c r="I188" t="s">
        <v>221</v>
      </c>
      <c r="J188" t="s">
        <v>728</v>
      </c>
      <c r="K188" t="b">
        <v>0</v>
      </c>
    </row>
    <row r="189" spans="1:11" hidden="1" x14ac:dyDescent="0.35">
      <c r="A189" t="s">
        <v>684</v>
      </c>
      <c r="B189">
        <v>2025</v>
      </c>
      <c r="C189" t="s">
        <v>685</v>
      </c>
      <c r="D189" t="s">
        <v>938</v>
      </c>
      <c r="E189" t="b">
        <v>1</v>
      </c>
      <c r="F189" t="s">
        <v>250</v>
      </c>
      <c r="G189" t="s">
        <v>238</v>
      </c>
      <c r="H189">
        <v>0.5</v>
      </c>
      <c r="I189" t="s">
        <v>160</v>
      </c>
      <c r="J189" t="s">
        <v>737</v>
      </c>
      <c r="K189" t="b">
        <v>1</v>
      </c>
    </row>
    <row r="190" spans="1:11" hidden="1" x14ac:dyDescent="0.35">
      <c r="A190" t="s">
        <v>687</v>
      </c>
      <c r="B190">
        <v>2025</v>
      </c>
      <c r="C190" t="s">
        <v>688</v>
      </c>
      <c r="D190" t="s">
        <v>689</v>
      </c>
      <c r="E190" t="b">
        <v>1</v>
      </c>
      <c r="F190" t="s">
        <v>939</v>
      </c>
      <c r="G190" t="s">
        <v>223</v>
      </c>
      <c r="H190">
        <v>1</v>
      </c>
      <c r="I190" t="s">
        <v>160</v>
      </c>
      <c r="J190" t="s">
        <v>223</v>
      </c>
      <c r="K190" t="b">
        <v>1</v>
      </c>
    </row>
    <row r="191" spans="1:11" hidden="1" x14ac:dyDescent="0.35">
      <c r="A191" t="s">
        <v>690</v>
      </c>
      <c r="B191">
        <v>2025</v>
      </c>
      <c r="C191" t="s">
        <v>691</v>
      </c>
      <c r="D191" t="s">
        <v>940</v>
      </c>
      <c r="E191" t="b">
        <v>1</v>
      </c>
      <c r="F191" t="s">
        <v>250</v>
      </c>
      <c r="G191" t="s">
        <v>238</v>
      </c>
      <c r="H191">
        <v>0.5</v>
      </c>
      <c r="I191" t="s">
        <v>160</v>
      </c>
      <c r="J191" t="s">
        <v>224</v>
      </c>
      <c r="K191" t="b">
        <v>1</v>
      </c>
    </row>
    <row r="192" spans="1:11" hidden="1" x14ac:dyDescent="0.35">
      <c r="A192" t="s">
        <v>693</v>
      </c>
      <c r="B192">
        <v>2025</v>
      </c>
      <c r="C192" t="s">
        <v>694</v>
      </c>
      <c r="D192" t="s">
        <v>695</v>
      </c>
      <c r="E192" t="b">
        <v>1</v>
      </c>
      <c r="F192" t="s">
        <v>941</v>
      </c>
      <c r="G192" t="s">
        <v>223</v>
      </c>
      <c r="H192">
        <v>0.9</v>
      </c>
      <c r="I192" t="s">
        <v>160</v>
      </c>
      <c r="J192" t="s">
        <v>223</v>
      </c>
      <c r="K192" t="b">
        <v>1</v>
      </c>
    </row>
    <row r="193" spans="1:11" hidden="1" x14ac:dyDescent="0.35">
      <c r="A193" t="s">
        <v>696</v>
      </c>
      <c r="B193">
        <v>2025</v>
      </c>
      <c r="C193" t="s">
        <v>697</v>
      </c>
      <c r="D193" t="s">
        <v>942</v>
      </c>
      <c r="E193" t="b">
        <v>1</v>
      </c>
      <c r="F193" t="s">
        <v>943</v>
      </c>
      <c r="G193" t="s">
        <v>223</v>
      </c>
      <c r="H193">
        <v>0.9</v>
      </c>
      <c r="I193" t="s">
        <v>160</v>
      </c>
      <c r="J193" t="s">
        <v>721</v>
      </c>
      <c r="K193" t="b">
        <v>1</v>
      </c>
    </row>
    <row r="194" spans="1:11" hidden="1" x14ac:dyDescent="0.35">
      <c r="A194" t="s">
        <v>699</v>
      </c>
      <c r="B194">
        <v>2025</v>
      </c>
      <c r="C194" t="s">
        <v>700</v>
      </c>
      <c r="D194" t="s">
        <v>944</v>
      </c>
      <c r="E194" t="b">
        <v>0</v>
      </c>
      <c r="F194" t="s">
        <v>945</v>
      </c>
      <c r="G194" t="s">
        <v>222</v>
      </c>
      <c r="H194">
        <v>1</v>
      </c>
      <c r="I194" t="s">
        <v>221</v>
      </c>
      <c r="J194" t="s">
        <v>738</v>
      </c>
      <c r="K194" t="b">
        <v>0</v>
      </c>
    </row>
    <row r="195" spans="1:11" ht="409.5" hidden="1" x14ac:dyDescent="0.35">
      <c r="A195" t="s">
        <v>702</v>
      </c>
      <c r="B195">
        <v>2025</v>
      </c>
      <c r="C195" t="s">
        <v>703</v>
      </c>
      <c r="D195" s="1" t="s">
        <v>704</v>
      </c>
      <c r="E195" t="b">
        <v>0</v>
      </c>
      <c r="F195" t="s">
        <v>945</v>
      </c>
      <c r="G195" t="s">
        <v>222</v>
      </c>
      <c r="H195">
        <v>1</v>
      </c>
      <c r="I195" s="5" t="s">
        <v>160</v>
      </c>
      <c r="J195" s="5"/>
      <c r="K195" t="b">
        <v>1</v>
      </c>
    </row>
    <row r="196" spans="1:11" hidden="1" x14ac:dyDescent="0.35">
      <c r="A196" t="s">
        <v>705</v>
      </c>
      <c r="B196">
        <v>2025</v>
      </c>
      <c r="C196" t="s">
        <v>706</v>
      </c>
      <c r="D196" t="s">
        <v>946</v>
      </c>
      <c r="E196" t="b">
        <v>0</v>
      </c>
      <c r="F196" t="s">
        <v>947</v>
      </c>
      <c r="G196" t="s">
        <v>222</v>
      </c>
      <c r="H196">
        <v>1</v>
      </c>
      <c r="I196" t="s">
        <v>221</v>
      </c>
      <c r="J196" t="s">
        <v>231</v>
      </c>
      <c r="K196" t="b">
        <v>0</v>
      </c>
    </row>
    <row r="197" spans="1:11" hidden="1" x14ac:dyDescent="0.35">
      <c r="A197" t="s">
        <v>708</v>
      </c>
      <c r="B197">
        <v>2025</v>
      </c>
      <c r="C197" t="s">
        <v>709</v>
      </c>
      <c r="D197" t="s">
        <v>710</v>
      </c>
      <c r="E197" t="b">
        <v>1</v>
      </c>
      <c r="F197" t="s">
        <v>948</v>
      </c>
      <c r="G197" t="s">
        <v>223</v>
      </c>
      <c r="H197">
        <v>1</v>
      </c>
      <c r="I197" t="s">
        <v>160</v>
      </c>
      <c r="J197" t="s">
        <v>224</v>
      </c>
      <c r="K197" t="b">
        <v>1</v>
      </c>
    </row>
    <row r="198" spans="1:11" hidden="1" x14ac:dyDescent="0.35">
      <c r="A198" t="s">
        <v>711</v>
      </c>
      <c r="B198">
        <v>2025</v>
      </c>
      <c r="C198" t="s">
        <v>712</v>
      </c>
      <c r="D198" t="s">
        <v>949</v>
      </c>
      <c r="E198" t="b">
        <v>1</v>
      </c>
      <c r="F198" t="s">
        <v>250</v>
      </c>
      <c r="G198" t="s">
        <v>238</v>
      </c>
      <c r="H198">
        <v>0.5</v>
      </c>
      <c r="I198" t="s">
        <v>160</v>
      </c>
      <c r="J198" t="s">
        <v>224</v>
      </c>
      <c r="K198" t="b">
        <v>1</v>
      </c>
    </row>
    <row r="199" spans="1:11" hidden="1" x14ac:dyDescent="0.35">
      <c r="A199" t="s">
        <v>950</v>
      </c>
      <c r="B199">
        <v>2025</v>
      </c>
      <c r="C199" t="s">
        <v>951</v>
      </c>
      <c r="D199" t="s">
        <v>952</v>
      </c>
      <c r="E199" t="b">
        <v>1</v>
      </c>
      <c r="F199" t="s">
        <v>250</v>
      </c>
      <c r="G199" t="s">
        <v>238</v>
      </c>
      <c r="H199">
        <v>0.5</v>
      </c>
      <c r="I199" t="s">
        <v>221</v>
      </c>
      <c r="J199" t="s">
        <v>726</v>
      </c>
      <c r="K199" t="b">
        <v>0</v>
      </c>
    </row>
    <row r="200" spans="1:11" ht="409.5" hidden="1" x14ac:dyDescent="0.35">
      <c r="A200" t="s">
        <v>953</v>
      </c>
      <c r="B200">
        <v>2025</v>
      </c>
      <c r="C200" t="s">
        <v>954</v>
      </c>
      <c r="D200" s="1" t="s">
        <v>955</v>
      </c>
      <c r="E200" t="b">
        <v>1</v>
      </c>
      <c r="F200" t="s">
        <v>956</v>
      </c>
      <c r="G200" t="s">
        <v>223</v>
      </c>
      <c r="H200">
        <v>1</v>
      </c>
      <c r="I200" t="s">
        <v>160</v>
      </c>
      <c r="J200" t="s">
        <v>223</v>
      </c>
      <c r="K200" t="b">
        <v>1</v>
      </c>
    </row>
    <row r="201" spans="1:11" hidden="1" x14ac:dyDescent="0.35">
      <c r="A201" t="s">
        <v>957</v>
      </c>
      <c r="B201">
        <v>2025</v>
      </c>
      <c r="C201" t="s">
        <v>954</v>
      </c>
      <c r="D201" t="s">
        <v>958</v>
      </c>
      <c r="E201" t="b">
        <v>1</v>
      </c>
      <c r="F201" t="s">
        <v>956</v>
      </c>
      <c r="G201" t="s">
        <v>223</v>
      </c>
      <c r="H201">
        <v>1</v>
      </c>
      <c r="I201" s="5" t="s">
        <v>160</v>
      </c>
      <c r="J201" s="5"/>
      <c r="K201" t="b">
        <v>1</v>
      </c>
    </row>
    <row r="202" spans="1:11" hidden="1" x14ac:dyDescent="0.35">
      <c r="A202" t="s">
        <v>959</v>
      </c>
      <c r="B202">
        <v>2025</v>
      </c>
      <c r="C202" t="s">
        <v>960</v>
      </c>
      <c r="D202" t="s">
        <v>961</v>
      </c>
      <c r="E202" t="b">
        <v>1</v>
      </c>
      <c r="F202" t="s">
        <v>962</v>
      </c>
      <c r="G202" t="s">
        <v>223</v>
      </c>
      <c r="H202">
        <v>1</v>
      </c>
      <c r="I202" t="s">
        <v>160</v>
      </c>
      <c r="J202" t="s">
        <v>720</v>
      </c>
      <c r="K202" t="b">
        <v>1</v>
      </c>
    </row>
    <row r="203" spans="1:11" ht="409.5" hidden="1" x14ac:dyDescent="0.35">
      <c r="A203" t="s">
        <v>963</v>
      </c>
      <c r="B203">
        <v>2025</v>
      </c>
      <c r="C203" t="s">
        <v>964</v>
      </c>
      <c r="D203" s="1" t="s">
        <v>965</v>
      </c>
      <c r="E203" t="b">
        <v>1</v>
      </c>
      <c r="F203" t="s">
        <v>250</v>
      </c>
      <c r="G203" t="s">
        <v>238</v>
      </c>
      <c r="H203">
        <v>0.7</v>
      </c>
      <c r="I203" t="s">
        <v>221</v>
      </c>
      <c r="J203" t="s">
        <v>728</v>
      </c>
      <c r="K203" t="b">
        <v>0</v>
      </c>
    </row>
    <row r="204" spans="1:11" hidden="1" x14ac:dyDescent="0.35">
      <c r="A204" t="s">
        <v>966</v>
      </c>
      <c r="B204">
        <v>2025</v>
      </c>
      <c r="C204" t="s">
        <v>967</v>
      </c>
      <c r="D204" t="s">
        <v>968</v>
      </c>
      <c r="E204" t="b">
        <v>1</v>
      </c>
      <c r="F204" t="s">
        <v>969</v>
      </c>
      <c r="G204" t="s">
        <v>223</v>
      </c>
      <c r="H204">
        <v>1</v>
      </c>
      <c r="I204" t="s">
        <v>160</v>
      </c>
      <c r="J204" t="s">
        <v>223</v>
      </c>
      <c r="K204" t="b">
        <v>1</v>
      </c>
    </row>
    <row r="205" spans="1:11" hidden="1" x14ac:dyDescent="0.35">
      <c r="A205" t="s">
        <v>970</v>
      </c>
      <c r="B205">
        <v>2025</v>
      </c>
      <c r="C205" t="s">
        <v>971</v>
      </c>
      <c r="D205" t="s">
        <v>972</v>
      </c>
      <c r="E205" t="b">
        <v>1</v>
      </c>
      <c r="F205" t="s">
        <v>973</v>
      </c>
      <c r="G205" t="s">
        <v>223</v>
      </c>
      <c r="H205">
        <v>1</v>
      </c>
      <c r="I205" t="s">
        <v>160</v>
      </c>
      <c r="J205" t="s">
        <v>223</v>
      </c>
      <c r="K205" t="b">
        <v>1</v>
      </c>
    </row>
    <row r="206" spans="1:11" hidden="1" x14ac:dyDescent="0.35">
      <c r="A206" t="s">
        <v>974</v>
      </c>
      <c r="B206">
        <v>2025</v>
      </c>
      <c r="C206" t="s">
        <v>975</v>
      </c>
      <c r="D206" t="s">
        <v>976</v>
      </c>
      <c r="E206" t="b">
        <v>1</v>
      </c>
      <c r="F206" t="s">
        <v>977</v>
      </c>
      <c r="G206" t="s">
        <v>223</v>
      </c>
      <c r="H206">
        <v>1</v>
      </c>
      <c r="I206" t="s">
        <v>160</v>
      </c>
      <c r="J206" t="s">
        <v>725</v>
      </c>
      <c r="K206" t="b">
        <v>1</v>
      </c>
    </row>
    <row r="207" spans="1:11" hidden="1" x14ac:dyDescent="0.35">
      <c r="A207" t="s">
        <v>978</v>
      </c>
      <c r="B207">
        <v>2025</v>
      </c>
      <c r="C207" t="s">
        <v>979</v>
      </c>
      <c r="D207" t="s">
        <v>980</v>
      </c>
      <c r="E207" t="b">
        <v>0</v>
      </c>
      <c r="F207" t="s">
        <v>981</v>
      </c>
      <c r="G207" t="s">
        <v>222</v>
      </c>
      <c r="H207">
        <v>1</v>
      </c>
      <c r="I207" t="s">
        <v>221</v>
      </c>
      <c r="J207" t="s">
        <v>738</v>
      </c>
      <c r="K207" t="b">
        <v>0</v>
      </c>
    </row>
    <row r="208" spans="1:11" hidden="1" x14ac:dyDescent="0.35">
      <c r="A208" t="s">
        <v>982</v>
      </c>
      <c r="B208">
        <v>2025</v>
      </c>
      <c r="C208" t="s">
        <v>983</v>
      </c>
      <c r="D208" t="s">
        <v>984</v>
      </c>
      <c r="E208" t="b">
        <v>1</v>
      </c>
      <c r="F208" t="s">
        <v>250</v>
      </c>
      <c r="G208" t="s">
        <v>238</v>
      </c>
      <c r="H208">
        <v>0.5</v>
      </c>
      <c r="I208" t="s">
        <v>221</v>
      </c>
      <c r="J208" t="s">
        <v>222</v>
      </c>
      <c r="K208" t="b">
        <v>0</v>
      </c>
    </row>
    <row r="209" spans="1:11" ht="409.5" hidden="1" x14ac:dyDescent="0.35">
      <c r="A209" t="s">
        <v>985</v>
      </c>
      <c r="B209">
        <v>2025</v>
      </c>
      <c r="C209" t="s">
        <v>986</v>
      </c>
      <c r="D209" s="1" t="s">
        <v>987</v>
      </c>
      <c r="E209" t="b">
        <v>0</v>
      </c>
      <c r="F209" t="s">
        <v>988</v>
      </c>
      <c r="G209" t="s">
        <v>222</v>
      </c>
      <c r="H209">
        <v>1</v>
      </c>
      <c r="I209" t="s">
        <v>221</v>
      </c>
      <c r="J209" t="s">
        <v>1636</v>
      </c>
      <c r="K209" t="b">
        <v>0</v>
      </c>
    </row>
    <row r="210" spans="1:11" x14ac:dyDescent="0.35">
      <c r="A210" t="s">
        <v>989</v>
      </c>
      <c r="B210">
        <v>2025</v>
      </c>
      <c r="C210" t="s">
        <v>990</v>
      </c>
      <c r="D210" t="s">
        <v>991</v>
      </c>
      <c r="E210" t="b">
        <v>1</v>
      </c>
      <c r="F210" t="s">
        <v>992</v>
      </c>
      <c r="G210" t="s">
        <v>223</v>
      </c>
      <c r="H210">
        <v>0.9</v>
      </c>
      <c r="I210" t="s">
        <v>221</v>
      </c>
      <c r="J210" t="s">
        <v>728</v>
      </c>
      <c r="K210" t="b">
        <v>0</v>
      </c>
    </row>
    <row r="211" spans="1:11" ht="409.5" hidden="1" x14ac:dyDescent="0.35">
      <c r="A211" t="s">
        <v>993</v>
      </c>
      <c r="B211">
        <v>2025</v>
      </c>
      <c r="C211" t="s">
        <v>994</v>
      </c>
      <c r="D211" s="1" t="s">
        <v>995</v>
      </c>
      <c r="E211" t="b">
        <v>0</v>
      </c>
      <c r="F211" t="s">
        <v>996</v>
      </c>
      <c r="G211" t="s">
        <v>222</v>
      </c>
      <c r="H211">
        <v>1</v>
      </c>
      <c r="I211" t="s">
        <v>221</v>
      </c>
      <c r="J211" t="s">
        <v>1637</v>
      </c>
      <c r="K211" t="b">
        <v>0</v>
      </c>
    </row>
    <row r="212" spans="1:11" hidden="1" x14ac:dyDescent="0.35">
      <c r="A212" t="s">
        <v>997</v>
      </c>
      <c r="B212">
        <v>2025</v>
      </c>
      <c r="C212" t="s">
        <v>998</v>
      </c>
      <c r="D212" t="s">
        <v>999</v>
      </c>
      <c r="E212" t="b">
        <v>1</v>
      </c>
      <c r="F212" t="s">
        <v>1000</v>
      </c>
      <c r="G212" t="s">
        <v>223</v>
      </c>
      <c r="H212">
        <v>1</v>
      </c>
      <c r="I212" t="s">
        <v>160</v>
      </c>
      <c r="J212" t="s">
        <v>226</v>
      </c>
      <c r="K212" t="b">
        <v>1</v>
      </c>
    </row>
    <row r="213" spans="1:11" hidden="1" x14ac:dyDescent="0.35">
      <c r="A213" t="s">
        <v>1001</v>
      </c>
      <c r="B213">
        <v>2025</v>
      </c>
      <c r="C213" t="s">
        <v>1002</v>
      </c>
      <c r="D213" t="s">
        <v>1003</v>
      </c>
      <c r="E213" t="b">
        <v>1</v>
      </c>
      <c r="F213" t="s">
        <v>250</v>
      </c>
      <c r="G213" t="s">
        <v>238</v>
      </c>
      <c r="H213">
        <v>0.5</v>
      </c>
      <c r="I213" t="s">
        <v>160</v>
      </c>
      <c r="J213" t="s">
        <v>224</v>
      </c>
      <c r="K213" t="b">
        <v>1</v>
      </c>
    </row>
    <row r="214" spans="1:11" hidden="1" x14ac:dyDescent="0.35">
      <c r="A214" t="s">
        <v>1004</v>
      </c>
      <c r="B214">
        <v>2025</v>
      </c>
      <c r="C214" t="s">
        <v>1005</v>
      </c>
      <c r="D214" t="s">
        <v>1006</v>
      </c>
      <c r="E214" t="b">
        <v>1</v>
      </c>
      <c r="F214" t="s">
        <v>1007</v>
      </c>
      <c r="G214" t="s">
        <v>223</v>
      </c>
      <c r="H214">
        <v>0.9</v>
      </c>
      <c r="I214" t="s">
        <v>160</v>
      </c>
      <c r="J214" t="s">
        <v>223</v>
      </c>
      <c r="K214" t="b">
        <v>1</v>
      </c>
    </row>
    <row r="215" spans="1:11" hidden="1" x14ac:dyDescent="0.35">
      <c r="A215" t="s">
        <v>1008</v>
      </c>
      <c r="B215">
        <v>2025</v>
      </c>
      <c r="C215" t="s">
        <v>1009</v>
      </c>
      <c r="D215" t="s">
        <v>1010</v>
      </c>
      <c r="E215" t="b">
        <v>1</v>
      </c>
      <c r="F215" t="s">
        <v>1011</v>
      </c>
      <c r="G215" t="s">
        <v>223</v>
      </c>
      <c r="H215">
        <v>1</v>
      </c>
      <c r="I215" t="s">
        <v>160</v>
      </c>
      <c r="J215" t="s">
        <v>230</v>
      </c>
      <c r="K215" t="b">
        <v>1</v>
      </c>
    </row>
    <row r="216" spans="1:11" hidden="1" x14ac:dyDescent="0.35">
      <c r="A216" t="s">
        <v>1012</v>
      </c>
      <c r="B216">
        <v>2025</v>
      </c>
      <c r="C216" t="s">
        <v>1013</v>
      </c>
      <c r="D216" t="s">
        <v>1014</v>
      </c>
      <c r="E216" t="b">
        <v>1</v>
      </c>
      <c r="F216" t="s">
        <v>1015</v>
      </c>
      <c r="G216" t="s">
        <v>223</v>
      </c>
      <c r="H216">
        <v>1</v>
      </c>
      <c r="I216" t="s">
        <v>160</v>
      </c>
      <c r="J216" t="s">
        <v>223</v>
      </c>
      <c r="K216" t="b">
        <v>1</v>
      </c>
    </row>
    <row r="217" spans="1:11" ht="409.5" hidden="1" x14ac:dyDescent="0.35">
      <c r="A217" t="s">
        <v>1016</v>
      </c>
      <c r="B217">
        <v>2025</v>
      </c>
      <c r="C217" t="s">
        <v>1017</v>
      </c>
      <c r="D217" s="1" t="s">
        <v>1018</v>
      </c>
      <c r="E217" t="b">
        <v>1</v>
      </c>
      <c r="F217" t="s">
        <v>1019</v>
      </c>
      <c r="G217" t="s">
        <v>223</v>
      </c>
      <c r="H217">
        <v>1</v>
      </c>
      <c r="I217" t="s">
        <v>160</v>
      </c>
      <c r="J217" t="s">
        <v>226</v>
      </c>
      <c r="K217" t="b">
        <v>1</v>
      </c>
    </row>
    <row r="218" spans="1:11" ht="409.5" hidden="1" x14ac:dyDescent="0.35">
      <c r="A218" t="s">
        <v>1020</v>
      </c>
      <c r="B218">
        <v>2025</v>
      </c>
      <c r="C218" t="s">
        <v>1021</v>
      </c>
      <c r="D218" s="1" t="s">
        <v>1022</v>
      </c>
      <c r="E218" t="b">
        <v>1</v>
      </c>
      <c r="F218" t="s">
        <v>250</v>
      </c>
      <c r="G218" t="s">
        <v>238</v>
      </c>
      <c r="H218">
        <v>0.5</v>
      </c>
      <c r="I218" t="s">
        <v>221</v>
      </c>
      <c r="J218" t="s">
        <v>1638</v>
      </c>
      <c r="K218" t="b">
        <v>0</v>
      </c>
    </row>
    <row r="219" spans="1:11" hidden="1" x14ac:dyDescent="0.35">
      <c r="A219" t="s">
        <v>1023</v>
      </c>
      <c r="B219">
        <v>2025</v>
      </c>
      <c r="C219" t="s">
        <v>1024</v>
      </c>
      <c r="D219" t="s">
        <v>1025</v>
      </c>
      <c r="E219" t="b">
        <v>1</v>
      </c>
      <c r="F219" t="s">
        <v>265</v>
      </c>
      <c r="G219" t="s">
        <v>223</v>
      </c>
      <c r="H219">
        <v>1</v>
      </c>
      <c r="I219" t="s">
        <v>160</v>
      </c>
      <c r="J219" t="s">
        <v>223</v>
      </c>
      <c r="K219" t="b">
        <v>1</v>
      </c>
    </row>
    <row r="220" spans="1:11" hidden="1" x14ac:dyDescent="0.35">
      <c r="A220" t="s">
        <v>1026</v>
      </c>
      <c r="B220">
        <v>2025</v>
      </c>
      <c r="C220" t="s">
        <v>1027</v>
      </c>
      <c r="D220" t="s">
        <v>1028</v>
      </c>
      <c r="E220" t="b">
        <v>1</v>
      </c>
      <c r="F220" t="s">
        <v>250</v>
      </c>
      <c r="G220" t="s">
        <v>238</v>
      </c>
      <c r="H220">
        <v>0.5</v>
      </c>
      <c r="I220" t="s">
        <v>221</v>
      </c>
      <c r="J220" t="s">
        <v>231</v>
      </c>
      <c r="K220" t="b">
        <v>0</v>
      </c>
    </row>
    <row r="221" spans="1:11" hidden="1" x14ac:dyDescent="0.35">
      <c r="A221" t="s">
        <v>1029</v>
      </c>
      <c r="B221">
        <v>2025</v>
      </c>
      <c r="C221" t="s">
        <v>1030</v>
      </c>
      <c r="D221" t="s">
        <v>1031</v>
      </c>
      <c r="E221" t="b">
        <v>1</v>
      </c>
      <c r="F221" t="s">
        <v>250</v>
      </c>
      <c r="G221" t="s">
        <v>238</v>
      </c>
      <c r="H221">
        <v>0.5</v>
      </c>
      <c r="I221" t="s">
        <v>221</v>
      </c>
      <c r="J221" t="s">
        <v>728</v>
      </c>
      <c r="K221" t="b">
        <v>0</v>
      </c>
    </row>
    <row r="222" spans="1:11" hidden="1" x14ac:dyDescent="0.35">
      <c r="A222" t="s">
        <v>1032</v>
      </c>
      <c r="B222">
        <v>2025</v>
      </c>
      <c r="C222" t="s">
        <v>1033</v>
      </c>
      <c r="D222" t="s">
        <v>1034</v>
      </c>
      <c r="E222" t="b">
        <v>1</v>
      </c>
      <c r="F222" t="s">
        <v>1035</v>
      </c>
      <c r="G222" t="s">
        <v>223</v>
      </c>
      <c r="H222">
        <v>1</v>
      </c>
      <c r="I222" t="s">
        <v>160</v>
      </c>
      <c r="J222" t="s">
        <v>223</v>
      </c>
      <c r="K222" t="b">
        <v>1</v>
      </c>
    </row>
    <row r="223" spans="1:11" hidden="1" x14ac:dyDescent="0.35">
      <c r="A223" t="s">
        <v>1036</v>
      </c>
      <c r="B223">
        <v>2025</v>
      </c>
      <c r="C223" t="s">
        <v>1037</v>
      </c>
      <c r="D223" t="s">
        <v>1038</v>
      </c>
      <c r="E223" t="b">
        <v>1</v>
      </c>
      <c r="F223" t="s">
        <v>1039</v>
      </c>
      <c r="G223" t="s">
        <v>223</v>
      </c>
      <c r="H223">
        <v>1</v>
      </c>
      <c r="I223" t="s">
        <v>160</v>
      </c>
      <c r="J223" t="s">
        <v>223</v>
      </c>
      <c r="K223" t="b">
        <v>1</v>
      </c>
    </row>
    <row r="224" spans="1:11" hidden="1" x14ac:dyDescent="0.35">
      <c r="A224" t="s">
        <v>1040</v>
      </c>
      <c r="B224">
        <v>2025</v>
      </c>
      <c r="C224" t="s">
        <v>1041</v>
      </c>
      <c r="D224" t="s">
        <v>1042</v>
      </c>
      <c r="E224" t="b">
        <v>1</v>
      </c>
      <c r="F224" t="s">
        <v>1043</v>
      </c>
      <c r="G224" t="s">
        <v>223</v>
      </c>
      <c r="H224">
        <v>1</v>
      </c>
      <c r="I224" t="s">
        <v>160</v>
      </c>
      <c r="J224" t="s">
        <v>226</v>
      </c>
      <c r="K224" t="b">
        <v>1</v>
      </c>
    </row>
    <row r="225" spans="1:11" hidden="1" x14ac:dyDescent="0.35">
      <c r="A225" t="s">
        <v>1044</v>
      </c>
      <c r="B225">
        <v>2025</v>
      </c>
      <c r="C225" t="s">
        <v>1045</v>
      </c>
      <c r="D225" t="s">
        <v>1046</v>
      </c>
      <c r="E225" t="b">
        <v>1</v>
      </c>
      <c r="F225" t="s">
        <v>1047</v>
      </c>
      <c r="G225" t="s">
        <v>223</v>
      </c>
      <c r="H225">
        <v>1</v>
      </c>
      <c r="I225" t="s">
        <v>160</v>
      </c>
      <c r="J225" t="s">
        <v>223</v>
      </c>
      <c r="K225" t="b">
        <v>1</v>
      </c>
    </row>
    <row r="226" spans="1:11" hidden="1" x14ac:dyDescent="0.35">
      <c r="A226" t="s">
        <v>1048</v>
      </c>
      <c r="B226">
        <v>2025</v>
      </c>
      <c r="C226" t="s">
        <v>1049</v>
      </c>
      <c r="D226" t="s">
        <v>1050</v>
      </c>
      <c r="E226" t="b">
        <v>1</v>
      </c>
      <c r="F226" t="s">
        <v>250</v>
      </c>
      <c r="G226" t="s">
        <v>238</v>
      </c>
      <c r="H226">
        <v>0.6</v>
      </c>
      <c r="I226" t="s">
        <v>160</v>
      </c>
      <c r="J226" t="s">
        <v>224</v>
      </c>
      <c r="K226" t="b">
        <v>1</v>
      </c>
    </row>
    <row r="227" spans="1:11" hidden="1" x14ac:dyDescent="0.35">
      <c r="A227" t="s">
        <v>1051</v>
      </c>
      <c r="B227">
        <v>2025</v>
      </c>
      <c r="C227" t="s">
        <v>1052</v>
      </c>
      <c r="D227" t="s">
        <v>549</v>
      </c>
      <c r="E227" t="b">
        <v>1</v>
      </c>
      <c r="F227" t="s">
        <v>1053</v>
      </c>
      <c r="G227" t="s">
        <v>223</v>
      </c>
      <c r="H227">
        <v>1</v>
      </c>
      <c r="I227" t="s">
        <v>160</v>
      </c>
      <c r="J227" t="s">
        <v>223</v>
      </c>
      <c r="K227" t="b">
        <v>1</v>
      </c>
    </row>
    <row r="228" spans="1:11" hidden="1" x14ac:dyDescent="0.35">
      <c r="A228" t="s">
        <v>1054</v>
      </c>
      <c r="B228">
        <v>2025</v>
      </c>
      <c r="C228" t="s">
        <v>1055</v>
      </c>
      <c r="D228" t="s">
        <v>1056</v>
      </c>
      <c r="E228" t="b">
        <v>1</v>
      </c>
      <c r="F228" t="s">
        <v>1057</v>
      </c>
      <c r="G228" t="s">
        <v>223</v>
      </c>
      <c r="H228">
        <v>1</v>
      </c>
      <c r="I228" t="s">
        <v>160</v>
      </c>
      <c r="J228" t="s">
        <v>223</v>
      </c>
      <c r="K228" t="b">
        <v>1</v>
      </c>
    </row>
    <row r="229" spans="1:11" hidden="1" x14ac:dyDescent="0.35">
      <c r="A229" t="s">
        <v>1058</v>
      </c>
      <c r="B229">
        <v>2025</v>
      </c>
      <c r="C229" t="s">
        <v>1059</v>
      </c>
      <c r="D229" t="s">
        <v>1060</v>
      </c>
      <c r="E229" t="b">
        <v>1</v>
      </c>
      <c r="F229" t="s">
        <v>1061</v>
      </c>
      <c r="G229" t="s">
        <v>223</v>
      </c>
      <c r="H229">
        <v>0.8</v>
      </c>
      <c r="I229" t="s">
        <v>160</v>
      </c>
      <c r="J229" t="s">
        <v>1639</v>
      </c>
      <c r="K229" t="b">
        <v>1</v>
      </c>
    </row>
    <row r="230" spans="1:11" hidden="1" x14ac:dyDescent="0.35">
      <c r="A230" t="s">
        <v>1062</v>
      </c>
      <c r="B230">
        <v>2025</v>
      </c>
      <c r="C230" t="s">
        <v>1063</v>
      </c>
      <c r="D230" t="s">
        <v>1064</v>
      </c>
      <c r="E230" t="b">
        <v>1</v>
      </c>
      <c r="F230" t="s">
        <v>1065</v>
      </c>
      <c r="G230" t="s">
        <v>223</v>
      </c>
      <c r="H230">
        <v>1</v>
      </c>
      <c r="I230" t="s">
        <v>160</v>
      </c>
      <c r="J230" t="s">
        <v>223</v>
      </c>
      <c r="K230" t="b">
        <v>1</v>
      </c>
    </row>
    <row r="231" spans="1:11" hidden="1" x14ac:dyDescent="0.35">
      <c r="A231" t="s">
        <v>1066</v>
      </c>
      <c r="B231">
        <v>2025</v>
      </c>
      <c r="C231" t="s">
        <v>1067</v>
      </c>
      <c r="D231" t="s">
        <v>1068</v>
      </c>
      <c r="E231" t="b">
        <v>0</v>
      </c>
      <c r="F231" t="s">
        <v>1069</v>
      </c>
      <c r="G231" t="s">
        <v>222</v>
      </c>
      <c r="H231">
        <v>1</v>
      </c>
      <c r="I231" t="s">
        <v>221</v>
      </c>
      <c r="J231" t="s">
        <v>231</v>
      </c>
      <c r="K231" t="b">
        <v>0</v>
      </c>
    </row>
    <row r="232" spans="1:11" ht="409.5" hidden="1" x14ac:dyDescent="0.35">
      <c r="A232" t="s">
        <v>1070</v>
      </c>
      <c r="B232">
        <v>2025</v>
      </c>
      <c r="C232" t="s">
        <v>1071</v>
      </c>
      <c r="D232" s="1" t="s">
        <v>1072</v>
      </c>
      <c r="E232" t="b">
        <v>1</v>
      </c>
      <c r="F232" t="s">
        <v>1073</v>
      </c>
      <c r="G232" t="s">
        <v>223</v>
      </c>
      <c r="H232">
        <v>1</v>
      </c>
      <c r="I232" t="s">
        <v>160</v>
      </c>
      <c r="J232" t="s">
        <v>223</v>
      </c>
      <c r="K232" t="b">
        <v>1</v>
      </c>
    </row>
    <row r="233" spans="1:11" hidden="1" x14ac:dyDescent="0.35">
      <c r="A233" t="s">
        <v>1074</v>
      </c>
      <c r="B233">
        <v>2025</v>
      </c>
      <c r="C233" t="s">
        <v>1075</v>
      </c>
      <c r="D233" t="s">
        <v>1076</v>
      </c>
      <c r="E233" t="b">
        <v>0</v>
      </c>
      <c r="F233" t="s">
        <v>1077</v>
      </c>
      <c r="G233" t="s">
        <v>222</v>
      </c>
      <c r="H233">
        <v>1</v>
      </c>
      <c r="I233" t="s">
        <v>221</v>
      </c>
      <c r="J233" t="s">
        <v>231</v>
      </c>
      <c r="K233" t="b">
        <v>0</v>
      </c>
    </row>
    <row r="234" spans="1:11" hidden="1" x14ac:dyDescent="0.35">
      <c r="A234" t="s">
        <v>1078</v>
      </c>
      <c r="B234">
        <v>2025</v>
      </c>
      <c r="C234" t="s">
        <v>1079</v>
      </c>
      <c r="D234" t="s">
        <v>1080</v>
      </c>
      <c r="E234" t="b">
        <v>1</v>
      </c>
      <c r="F234" t="s">
        <v>250</v>
      </c>
      <c r="G234" t="s">
        <v>238</v>
      </c>
      <c r="H234">
        <v>0.5</v>
      </c>
      <c r="I234" t="s">
        <v>160</v>
      </c>
      <c r="J234" t="s">
        <v>224</v>
      </c>
      <c r="K234" t="b">
        <v>1</v>
      </c>
    </row>
    <row r="235" spans="1:11" hidden="1" x14ac:dyDescent="0.35">
      <c r="A235" t="s">
        <v>1081</v>
      </c>
      <c r="B235">
        <v>2025</v>
      </c>
      <c r="C235" t="s">
        <v>1082</v>
      </c>
      <c r="D235" t="s">
        <v>1083</v>
      </c>
      <c r="E235" t="b">
        <v>1</v>
      </c>
      <c r="F235" t="s">
        <v>250</v>
      </c>
      <c r="G235" t="s">
        <v>238</v>
      </c>
      <c r="H235">
        <v>0.5</v>
      </c>
      <c r="I235" t="s">
        <v>221</v>
      </c>
      <c r="J235" t="s">
        <v>728</v>
      </c>
      <c r="K235" t="b">
        <v>0</v>
      </c>
    </row>
    <row r="236" spans="1:11" hidden="1" x14ac:dyDescent="0.35">
      <c r="A236" t="s">
        <v>1084</v>
      </c>
      <c r="B236">
        <v>2025</v>
      </c>
      <c r="C236" t="s">
        <v>1085</v>
      </c>
      <c r="D236" t="s">
        <v>1086</v>
      </c>
      <c r="E236" t="b">
        <v>1</v>
      </c>
      <c r="F236" t="s">
        <v>1087</v>
      </c>
      <c r="G236" t="s">
        <v>223</v>
      </c>
      <c r="H236">
        <v>0.9</v>
      </c>
      <c r="I236" t="s">
        <v>160</v>
      </c>
      <c r="J236" t="s">
        <v>223</v>
      </c>
      <c r="K236" t="b">
        <v>1</v>
      </c>
    </row>
    <row r="237" spans="1:11" hidden="1" x14ac:dyDescent="0.35">
      <c r="A237" t="s">
        <v>1088</v>
      </c>
      <c r="B237">
        <v>2025</v>
      </c>
      <c r="C237" t="s">
        <v>1089</v>
      </c>
      <c r="D237" t="s">
        <v>1090</v>
      </c>
      <c r="E237" t="b">
        <v>1</v>
      </c>
      <c r="F237" t="s">
        <v>1091</v>
      </c>
      <c r="G237" t="s">
        <v>223</v>
      </c>
      <c r="H237">
        <v>1</v>
      </c>
      <c r="I237" t="s">
        <v>160</v>
      </c>
      <c r="J237" t="s">
        <v>224</v>
      </c>
      <c r="K237" t="b">
        <v>1</v>
      </c>
    </row>
    <row r="238" spans="1:11" hidden="1" x14ac:dyDescent="0.35">
      <c r="A238" t="s">
        <v>1092</v>
      </c>
      <c r="B238">
        <v>2025</v>
      </c>
      <c r="C238" t="s">
        <v>1093</v>
      </c>
      <c r="D238" t="s">
        <v>1094</v>
      </c>
      <c r="E238" t="b">
        <v>1</v>
      </c>
      <c r="F238" t="s">
        <v>250</v>
      </c>
      <c r="G238" t="s">
        <v>238</v>
      </c>
      <c r="H238">
        <v>0.5</v>
      </c>
      <c r="I238" t="s">
        <v>160</v>
      </c>
      <c r="J238" t="s">
        <v>224</v>
      </c>
      <c r="K238" t="b">
        <v>1</v>
      </c>
    </row>
    <row r="239" spans="1:11" hidden="1" x14ac:dyDescent="0.35">
      <c r="A239" t="s">
        <v>1095</v>
      </c>
      <c r="B239">
        <v>2025</v>
      </c>
      <c r="C239" t="s">
        <v>1096</v>
      </c>
      <c r="D239" t="s">
        <v>1097</v>
      </c>
      <c r="E239" t="b">
        <v>1</v>
      </c>
      <c r="F239" t="s">
        <v>1098</v>
      </c>
      <c r="G239" t="s">
        <v>223</v>
      </c>
      <c r="H239">
        <v>1</v>
      </c>
      <c r="I239" t="s">
        <v>160</v>
      </c>
      <c r="J239" t="s">
        <v>223</v>
      </c>
      <c r="K239" t="b">
        <v>1</v>
      </c>
    </row>
    <row r="240" spans="1:11" hidden="1" x14ac:dyDescent="0.35">
      <c r="A240" t="s">
        <v>1099</v>
      </c>
      <c r="B240">
        <v>2025</v>
      </c>
      <c r="C240" t="s">
        <v>1100</v>
      </c>
      <c r="D240" t="s">
        <v>1101</v>
      </c>
      <c r="E240" t="b">
        <v>1</v>
      </c>
      <c r="F240" t="s">
        <v>250</v>
      </c>
      <c r="G240" t="s">
        <v>238</v>
      </c>
      <c r="H240">
        <v>0.5</v>
      </c>
      <c r="I240" t="s">
        <v>221</v>
      </c>
      <c r="J240" t="s">
        <v>728</v>
      </c>
      <c r="K240" t="b">
        <v>0</v>
      </c>
    </row>
    <row r="241" spans="1:11" hidden="1" x14ac:dyDescent="0.35">
      <c r="A241" t="s">
        <v>1102</v>
      </c>
      <c r="B241">
        <v>2025</v>
      </c>
      <c r="C241" t="s">
        <v>1103</v>
      </c>
      <c r="D241" t="s">
        <v>1104</v>
      </c>
      <c r="E241" t="b">
        <v>1</v>
      </c>
      <c r="F241" t="s">
        <v>250</v>
      </c>
      <c r="G241" t="s">
        <v>238</v>
      </c>
      <c r="H241">
        <v>0.5</v>
      </c>
      <c r="I241" t="s">
        <v>160</v>
      </c>
      <c r="J241" t="s">
        <v>224</v>
      </c>
      <c r="K241" t="b">
        <v>1</v>
      </c>
    </row>
    <row r="242" spans="1:11" hidden="1" x14ac:dyDescent="0.35">
      <c r="A242" t="s">
        <v>1105</v>
      </c>
      <c r="B242">
        <v>2025</v>
      </c>
      <c r="C242" t="s">
        <v>1106</v>
      </c>
      <c r="D242" t="s">
        <v>1107</v>
      </c>
      <c r="E242" t="b">
        <v>1</v>
      </c>
      <c r="F242" t="s">
        <v>1108</v>
      </c>
      <c r="G242" t="s">
        <v>223</v>
      </c>
      <c r="H242">
        <v>1</v>
      </c>
      <c r="I242" t="s">
        <v>160</v>
      </c>
      <c r="J242" t="s">
        <v>1640</v>
      </c>
      <c r="K242" t="b">
        <v>1</v>
      </c>
    </row>
    <row r="243" spans="1:11" hidden="1" x14ac:dyDescent="0.35">
      <c r="A243" t="s">
        <v>1109</v>
      </c>
      <c r="B243">
        <v>2025</v>
      </c>
      <c r="C243" t="s">
        <v>1110</v>
      </c>
      <c r="D243" t="s">
        <v>1111</v>
      </c>
      <c r="E243" t="b">
        <v>1</v>
      </c>
      <c r="F243" t="s">
        <v>1112</v>
      </c>
      <c r="G243" t="s">
        <v>223</v>
      </c>
      <c r="H243">
        <v>0.9</v>
      </c>
      <c r="I243" t="s">
        <v>160</v>
      </c>
      <c r="J243" t="s">
        <v>224</v>
      </c>
      <c r="K243" t="b">
        <v>1</v>
      </c>
    </row>
    <row r="244" spans="1:11" hidden="1" x14ac:dyDescent="0.35">
      <c r="A244" t="s">
        <v>1113</v>
      </c>
      <c r="B244">
        <v>2025</v>
      </c>
      <c r="C244" t="s">
        <v>1114</v>
      </c>
      <c r="D244" t="s">
        <v>1115</v>
      </c>
      <c r="E244" t="b">
        <v>1</v>
      </c>
      <c r="F244" t="s">
        <v>1116</v>
      </c>
      <c r="G244" t="s">
        <v>223</v>
      </c>
      <c r="H244">
        <v>1</v>
      </c>
      <c r="I244" t="s">
        <v>160</v>
      </c>
      <c r="J244" t="s">
        <v>223</v>
      </c>
      <c r="K244" t="b">
        <v>1</v>
      </c>
    </row>
    <row r="245" spans="1:11" hidden="1" x14ac:dyDescent="0.35">
      <c r="A245" t="s">
        <v>1117</v>
      </c>
      <c r="B245">
        <v>2025</v>
      </c>
      <c r="C245" t="s">
        <v>1118</v>
      </c>
      <c r="D245" t="s">
        <v>1119</v>
      </c>
      <c r="E245" t="b">
        <v>1</v>
      </c>
      <c r="F245" t="s">
        <v>1120</v>
      </c>
      <c r="G245" t="s">
        <v>223</v>
      </c>
      <c r="H245">
        <v>1</v>
      </c>
      <c r="I245" t="s">
        <v>160</v>
      </c>
      <c r="J245" t="s">
        <v>720</v>
      </c>
      <c r="K245" t="b">
        <v>1</v>
      </c>
    </row>
    <row r="246" spans="1:11" hidden="1" x14ac:dyDescent="0.35">
      <c r="A246" t="s">
        <v>1121</v>
      </c>
      <c r="B246">
        <v>2025</v>
      </c>
      <c r="C246" t="s">
        <v>1122</v>
      </c>
      <c r="D246" t="s">
        <v>1123</v>
      </c>
      <c r="E246" t="b">
        <v>0</v>
      </c>
      <c r="F246" t="s">
        <v>996</v>
      </c>
      <c r="G246" t="s">
        <v>222</v>
      </c>
      <c r="H246">
        <v>1</v>
      </c>
      <c r="I246" t="s">
        <v>221</v>
      </c>
      <c r="J246" t="s">
        <v>1637</v>
      </c>
      <c r="K246" t="b">
        <v>0</v>
      </c>
    </row>
    <row r="247" spans="1:11" hidden="1" x14ac:dyDescent="0.35">
      <c r="A247" t="s">
        <v>1124</v>
      </c>
      <c r="B247">
        <v>2025</v>
      </c>
      <c r="C247" t="s">
        <v>1125</v>
      </c>
      <c r="D247" t="s">
        <v>1126</v>
      </c>
      <c r="E247" t="b">
        <v>1</v>
      </c>
      <c r="F247" t="s">
        <v>1127</v>
      </c>
      <c r="G247" t="s">
        <v>223</v>
      </c>
      <c r="H247">
        <v>1</v>
      </c>
      <c r="I247" t="s">
        <v>160</v>
      </c>
      <c r="J247" t="s">
        <v>725</v>
      </c>
      <c r="K247" t="b">
        <v>1</v>
      </c>
    </row>
    <row r="248" spans="1:11" hidden="1" x14ac:dyDescent="0.35">
      <c r="A248" t="s">
        <v>1128</v>
      </c>
      <c r="B248">
        <v>2025</v>
      </c>
      <c r="C248" t="s">
        <v>1129</v>
      </c>
      <c r="D248" t="s">
        <v>1130</v>
      </c>
      <c r="E248" t="b">
        <v>1</v>
      </c>
      <c r="F248" t="s">
        <v>1131</v>
      </c>
      <c r="G248" t="s">
        <v>223</v>
      </c>
      <c r="H248">
        <v>1</v>
      </c>
      <c r="I248" t="s">
        <v>160</v>
      </c>
      <c r="J248" t="s">
        <v>223</v>
      </c>
      <c r="K248" t="b">
        <v>1</v>
      </c>
    </row>
    <row r="249" spans="1:11" ht="409.5" hidden="1" x14ac:dyDescent="0.35">
      <c r="A249" t="s">
        <v>1132</v>
      </c>
      <c r="B249">
        <v>2025</v>
      </c>
      <c r="C249" t="s">
        <v>1133</v>
      </c>
      <c r="D249" s="1" t="s">
        <v>1134</v>
      </c>
      <c r="E249" t="b">
        <v>0</v>
      </c>
      <c r="F249" t="s">
        <v>1135</v>
      </c>
      <c r="G249" t="s">
        <v>222</v>
      </c>
      <c r="H249">
        <v>1</v>
      </c>
      <c r="I249" t="s">
        <v>221</v>
      </c>
      <c r="J249" t="s">
        <v>738</v>
      </c>
      <c r="K249" t="b">
        <v>0</v>
      </c>
    </row>
    <row r="250" spans="1:11" hidden="1" x14ac:dyDescent="0.35">
      <c r="A250" t="s">
        <v>1136</v>
      </c>
      <c r="B250">
        <v>2025</v>
      </c>
      <c r="C250" t="s">
        <v>1137</v>
      </c>
      <c r="D250" t="s">
        <v>1138</v>
      </c>
      <c r="E250" t="b">
        <v>0</v>
      </c>
      <c r="F250" t="s">
        <v>1139</v>
      </c>
      <c r="G250" t="s">
        <v>222</v>
      </c>
      <c r="H250">
        <v>1</v>
      </c>
      <c r="I250" t="s">
        <v>221</v>
      </c>
      <c r="J250" t="s">
        <v>726</v>
      </c>
      <c r="K250" t="b">
        <v>0</v>
      </c>
    </row>
    <row r="251" spans="1:11" hidden="1" x14ac:dyDescent="0.35">
      <c r="A251" t="s">
        <v>1140</v>
      </c>
      <c r="B251">
        <v>2025</v>
      </c>
      <c r="C251" t="s">
        <v>1141</v>
      </c>
      <c r="D251" t="s">
        <v>1142</v>
      </c>
      <c r="E251" t="b">
        <v>1</v>
      </c>
      <c r="F251" t="s">
        <v>1143</v>
      </c>
      <c r="G251" t="s">
        <v>223</v>
      </c>
      <c r="H251">
        <v>0.9</v>
      </c>
      <c r="I251" t="s">
        <v>160</v>
      </c>
      <c r="J251" t="s">
        <v>224</v>
      </c>
      <c r="K251" t="b">
        <v>1</v>
      </c>
    </row>
    <row r="252" spans="1:11" hidden="1" x14ac:dyDescent="0.35">
      <c r="A252" t="s">
        <v>1144</v>
      </c>
      <c r="B252">
        <v>2025</v>
      </c>
      <c r="C252" t="s">
        <v>1145</v>
      </c>
      <c r="D252" t="s">
        <v>1146</v>
      </c>
      <c r="E252" t="b">
        <v>1</v>
      </c>
      <c r="F252" t="s">
        <v>250</v>
      </c>
      <c r="G252" t="s">
        <v>238</v>
      </c>
      <c r="H252">
        <v>0.5</v>
      </c>
      <c r="I252" t="s">
        <v>221</v>
      </c>
      <c r="J252" t="s">
        <v>231</v>
      </c>
      <c r="K252" t="b">
        <v>0</v>
      </c>
    </row>
    <row r="253" spans="1:11" hidden="1" x14ac:dyDescent="0.35">
      <c r="A253" t="s">
        <v>1147</v>
      </c>
      <c r="B253">
        <v>2025</v>
      </c>
      <c r="C253" t="s">
        <v>1148</v>
      </c>
      <c r="D253" t="s">
        <v>1149</v>
      </c>
      <c r="E253" t="b">
        <v>1</v>
      </c>
      <c r="F253" t="s">
        <v>250</v>
      </c>
      <c r="G253" t="s">
        <v>238</v>
      </c>
      <c r="H253">
        <v>0.5</v>
      </c>
      <c r="I253" t="s">
        <v>160</v>
      </c>
      <c r="J253" t="s">
        <v>224</v>
      </c>
      <c r="K253" t="b">
        <v>1</v>
      </c>
    </row>
    <row r="254" spans="1:11" hidden="1" x14ac:dyDescent="0.35">
      <c r="A254" t="s">
        <v>1150</v>
      </c>
      <c r="B254">
        <v>2025</v>
      </c>
      <c r="C254" t="s">
        <v>1151</v>
      </c>
      <c r="D254" t="s">
        <v>1152</v>
      </c>
      <c r="E254" t="b">
        <v>0</v>
      </c>
      <c r="F254" t="s">
        <v>743</v>
      </c>
      <c r="G254" t="s">
        <v>222</v>
      </c>
      <c r="H254">
        <v>1</v>
      </c>
      <c r="I254" t="s">
        <v>160</v>
      </c>
      <c r="J254" t="s">
        <v>224</v>
      </c>
      <c r="K254" t="b">
        <v>1</v>
      </c>
    </row>
    <row r="255" spans="1:11" ht="409.5" hidden="1" x14ac:dyDescent="0.35">
      <c r="A255" t="s">
        <v>1153</v>
      </c>
      <c r="B255">
        <v>2025</v>
      </c>
      <c r="C255" t="s">
        <v>1154</v>
      </c>
      <c r="D255" s="1" t="s">
        <v>1155</v>
      </c>
      <c r="E255" t="b">
        <v>1</v>
      </c>
      <c r="F255" t="s">
        <v>1156</v>
      </c>
      <c r="G255" t="s">
        <v>223</v>
      </c>
      <c r="H255">
        <v>1</v>
      </c>
      <c r="I255" t="s">
        <v>160</v>
      </c>
      <c r="J255" t="s">
        <v>226</v>
      </c>
      <c r="K255" t="b">
        <v>1</v>
      </c>
    </row>
    <row r="256" spans="1:11" hidden="1" x14ac:dyDescent="0.35">
      <c r="A256" t="s">
        <v>1157</v>
      </c>
      <c r="B256">
        <v>2025</v>
      </c>
      <c r="C256" t="s">
        <v>1158</v>
      </c>
      <c r="D256" t="s">
        <v>1159</v>
      </c>
      <c r="E256" t="b">
        <v>1</v>
      </c>
      <c r="F256" t="s">
        <v>250</v>
      </c>
      <c r="G256" t="s">
        <v>238</v>
      </c>
      <c r="H256">
        <v>0.5</v>
      </c>
      <c r="I256" t="s">
        <v>160</v>
      </c>
      <c r="J256" t="s">
        <v>224</v>
      </c>
      <c r="K256" t="b">
        <v>1</v>
      </c>
    </row>
    <row r="257" spans="1:11" hidden="1" x14ac:dyDescent="0.35">
      <c r="A257" t="s">
        <v>1160</v>
      </c>
      <c r="B257">
        <v>2025</v>
      </c>
      <c r="C257" t="s">
        <v>1161</v>
      </c>
      <c r="D257" t="s">
        <v>1162</v>
      </c>
      <c r="E257" t="b">
        <v>1</v>
      </c>
      <c r="F257" t="s">
        <v>1163</v>
      </c>
      <c r="G257" t="s">
        <v>223</v>
      </c>
      <c r="H257">
        <v>1</v>
      </c>
      <c r="I257" t="s">
        <v>160</v>
      </c>
      <c r="J257" t="s">
        <v>720</v>
      </c>
      <c r="K257" t="b">
        <v>1</v>
      </c>
    </row>
    <row r="258" spans="1:11" hidden="1" x14ac:dyDescent="0.35">
      <c r="A258" t="s">
        <v>1164</v>
      </c>
      <c r="B258">
        <v>2025</v>
      </c>
      <c r="C258" t="s">
        <v>1165</v>
      </c>
      <c r="D258" t="s">
        <v>1166</v>
      </c>
      <c r="E258" t="b">
        <v>1</v>
      </c>
      <c r="F258" t="s">
        <v>1167</v>
      </c>
      <c r="G258" t="s">
        <v>223</v>
      </c>
      <c r="H258">
        <v>1</v>
      </c>
      <c r="I258" t="s">
        <v>160</v>
      </c>
      <c r="J258" t="s">
        <v>223</v>
      </c>
      <c r="K258" t="b">
        <v>1</v>
      </c>
    </row>
    <row r="259" spans="1:11" ht="409.5" hidden="1" x14ac:dyDescent="0.35">
      <c r="A259" t="s">
        <v>1168</v>
      </c>
      <c r="B259">
        <v>2025</v>
      </c>
      <c r="C259" t="s">
        <v>1169</v>
      </c>
      <c r="D259" s="1" t="s">
        <v>1170</v>
      </c>
      <c r="E259" t="b">
        <v>1</v>
      </c>
      <c r="F259" t="s">
        <v>250</v>
      </c>
      <c r="G259" t="s">
        <v>238</v>
      </c>
      <c r="H259">
        <v>0.5</v>
      </c>
      <c r="I259" t="s">
        <v>160</v>
      </c>
      <c r="J259" t="s">
        <v>223</v>
      </c>
      <c r="K259" t="b">
        <v>1</v>
      </c>
    </row>
    <row r="260" spans="1:11" ht="409.5" hidden="1" x14ac:dyDescent="0.35">
      <c r="A260" t="s">
        <v>1171</v>
      </c>
      <c r="B260">
        <v>2025</v>
      </c>
      <c r="C260" t="s">
        <v>1172</v>
      </c>
      <c r="D260" s="1" t="s">
        <v>1173</v>
      </c>
      <c r="E260" t="b">
        <v>1</v>
      </c>
      <c r="F260" t="s">
        <v>1174</v>
      </c>
      <c r="G260" t="s">
        <v>223</v>
      </c>
      <c r="H260">
        <v>1</v>
      </c>
      <c r="I260" t="s">
        <v>160</v>
      </c>
      <c r="J260" t="s">
        <v>223</v>
      </c>
      <c r="K260" t="b">
        <v>1</v>
      </c>
    </row>
    <row r="261" spans="1:11" hidden="1" x14ac:dyDescent="0.35">
      <c r="A261" t="s">
        <v>1175</v>
      </c>
      <c r="B261">
        <v>2025</v>
      </c>
      <c r="C261" t="s">
        <v>1176</v>
      </c>
      <c r="D261" t="s">
        <v>1177</v>
      </c>
      <c r="E261" t="b">
        <v>1</v>
      </c>
      <c r="F261" t="s">
        <v>1178</v>
      </c>
      <c r="G261" t="s">
        <v>223</v>
      </c>
      <c r="H261">
        <v>1</v>
      </c>
      <c r="I261" t="s">
        <v>160</v>
      </c>
      <c r="J261" t="s">
        <v>226</v>
      </c>
      <c r="K261" t="b">
        <v>1</v>
      </c>
    </row>
    <row r="262" spans="1:11" hidden="1" x14ac:dyDescent="0.35">
      <c r="A262" t="s">
        <v>1179</v>
      </c>
      <c r="B262">
        <v>2025</v>
      </c>
      <c r="C262" t="s">
        <v>1180</v>
      </c>
      <c r="D262" t="s">
        <v>1181</v>
      </c>
      <c r="E262" t="b">
        <v>1</v>
      </c>
      <c r="F262" t="s">
        <v>969</v>
      </c>
      <c r="G262" t="s">
        <v>223</v>
      </c>
      <c r="H262">
        <v>1</v>
      </c>
      <c r="I262" t="s">
        <v>160</v>
      </c>
      <c r="J262" t="s">
        <v>226</v>
      </c>
      <c r="K262" t="b">
        <v>1</v>
      </c>
    </row>
    <row r="263" spans="1:11" ht="409.5" hidden="1" x14ac:dyDescent="0.35">
      <c r="A263" t="s">
        <v>1182</v>
      </c>
      <c r="B263">
        <v>2025</v>
      </c>
      <c r="C263" t="s">
        <v>1183</v>
      </c>
      <c r="D263" s="1" t="s">
        <v>1184</v>
      </c>
      <c r="E263" t="b">
        <v>0</v>
      </c>
      <c r="F263" t="s">
        <v>1185</v>
      </c>
      <c r="G263" t="s">
        <v>222</v>
      </c>
      <c r="H263">
        <v>1</v>
      </c>
      <c r="I263" t="s">
        <v>221</v>
      </c>
      <c r="J263" t="s">
        <v>1641</v>
      </c>
      <c r="K263" t="b">
        <v>0</v>
      </c>
    </row>
    <row r="264" spans="1:11" hidden="1" x14ac:dyDescent="0.35">
      <c r="A264" t="s">
        <v>1186</v>
      </c>
      <c r="B264">
        <v>2025</v>
      </c>
      <c r="C264" t="s">
        <v>1187</v>
      </c>
      <c r="D264" t="s">
        <v>1188</v>
      </c>
      <c r="E264" t="b">
        <v>1</v>
      </c>
      <c r="F264" t="s">
        <v>250</v>
      </c>
      <c r="G264" t="s">
        <v>238</v>
      </c>
      <c r="H264">
        <v>0.5</v>
      </c>
      <c r="I264" t="s">
        <v>160</v>
      </c>
      <c r="J264" t="s">
        <v>224</v>
      </c>
      <c r="K264" t="b">
        <v>1</v>
      </c>
    </row>
    <row r="265" spans="1:11" ht="409.5" hidden="1" x14ac:dyDescent="0.35">
      <c r="A265" t="s">
        <v>1189</v>
      </c>
      <c r="B265">
        <v>2025</v>
      </c>
      <c r="C265" t="s">
        <v>1190</v>
      </c>
      <c r="D265" s="1" t="s">
        <v>1191</v>
      </c>
      <c r="E265" t="b">
        <v>0</v>
      </c>
      <c r="F265" t="s">
        <v>816</v>
      </c>
      <c r="G265" t="s">
        <v>222</v>
      </c>
      <c r="H265">
        <v>1</v>
      </c>
      <c r="I265" t="s">
        <v>221</v>
      </c>
      <c r="J265" t="s">
        <v>726</v>
      </c>
      <c r="K265" t="b">
        <v>0</v>
      </c>
    </row>
    <row r="266" spans="1:11" hidden="1" x14ac:dyDescent="0.35">
      <c r="A266" t="s">
        <v>1192</v>
      </c>
      <c r="B266">
        <v>2025</v>
      </c>
      <c r="C266" t="s">
        <v>1190</v>
      </c>
      <c r="D266" t="s">
        <v>549</v>
      </c>
      <c r="E266" t="b">
        <v>1</v>
      </c>
      <c r="F266" t="s">
        <v>250</v>
      </c>
      <c r="G266" t="s">
        <v>238</v>
      </c>
      <c r="H266">
        <v>0.5</v>
      </c>
      <c r="I266" s="5" t="s">
        <v>160</v>
      </c>
      <c r="J266" s="5"/>
      <c r="K266" t="b">
        <v>1</v>
      </c>
    </row>
    <row r="267" spans="1:11" hidden="1" x14ac:dyDescent="0.35">
      <c r="A267" t="s">
        <v>1193</v>
      </c>
      <c r="B267">
        <v>2025</v>
      </c>
      <c r="C267" t="s">
        <v>1194</v>
      </c>
      <c r="D267" t="s">
        <v>1195</v>
      </c>
      <c r="E267" t="b">
        <v>1</v>
      </c>
      <c r="F267" t="s">
        <v>250</v>
      </c>
      <c r="G267" t="s">
        <v>238</v>
      </c>
      <c r="H267">
        <v>0.5</v>
      </c>
      <c r="I267" t="s">
        <v>160</v>
      </c>
      <c r="J267" t="s">
        <v>224</v>
      </c>
      <c r="K267" t="b">
        <v>1</v>
      </c>
    </row>
    <row r="268" spans="1:11" hidden="1" x14ac:dyDescent="0.35">
      <c r="A268" t="s">
        <v>1196</v>
      </c>
      <c r="B268">
        <v>2025</v>
      </c>
      <c r="C268" t="s">
        <v>1197</v>
      </c>
      <c r="D268" t="s">
        <v>1198</v>
      </c>
      <c r="E268" t="b">
        <v>1</v>
      </c>
      <c r="F268" t="s">
        <v>250</v>
      </c>
      <c r="G268" t="s">
        <v>238</v>
      </c>
      <c r="H268">
        <v>0.5</v>
      </c>
      <c r="I268" t="s">
        <v>221</v>
      </c>
      <c r="J268" t="s">
        <v>231</v>
      </c>
      <c r="K268" t="b">
        <v>0</v>
      </c>
    </row>
    <row r="269" spans="1:11" hidden="1" x14ac:dyDescent="0.35">
      <c r="A269" t="s">
        <v>1199</v>
      </c>
      <c r="B269">
        <v>2025</v>
      </c>
      <c r="C269" t="s">
        <v>1200</v>
      </c>
      <c r="D269" t="s">
        <v>1201</v>
      </c>
      <c r="E269" t="b">
        <v>1</v>
      </c>
      <c r="F269" t="s">
        <v>1202</v>
      </c>
      <c r="G269" t="s">
        <v>223</v>
      </c>
      <c r="H269">
        <v>0.9</v>
      </c>
      <c r="I269" t="s">
        <v>160</v>
      </c>
      <c r="J269" t="s">
        <v>224</v>
      </c>
      <c r="K269" t="b">
        <v>1</v>
      </c>
    </row>
    <row r="270" spans="1:11" hidden="1" x14ac:dyDescent="0.35">
      <c r="A270" t="s">
        <v>1203</v>
      </c>
      <c r="B270">
        <v>2025</v>
      </c>
      <c r="C270" t="s">
        <v>1204</v>
      </c>
      <c r="D270" t="s">
        <v>1205</v>
      </c>
      <c r="E270" t="b">
        <v>1</v>
      </c>
      <c r="F270" t="s">
        <v>250</v>
      </c>
      <c r="G270" t="s">
        <v>238</v>
      </c>
      <c r="H270">
        <v>0.5</v>
      </c>
      <c r="I270" t="s">
        <v>160</v>
      </c>
      <c r="J270" t="s">
        <v>224</v>
      </c>
      <c r="K270" t="b">
        <v>1</v>
      </c>
    </row>
    <row r="271" spans="1:11" ht="409.5" hidden="1" x14ac:dyDescent="0.35">
      <c r="A271" t="s">
        <v>1206</v>
      </c>
      <c r="B271">
        <v>2025</v>
      </c>
      <c r="C271" t="s">
        <v>1207</v>
      </c>
      <c r="D271" s="1" t="s">
        <v>1208</v>
      </c>
      <c r="E271" t="b">
        <v>0</v>
      </c>
      <c r="F271" t="s">
        <v>1209</v>
      </c>
      <c r="G271" t="s">
        <v>222</v>
      </c>
      <c r="H271">
        <v>1</v>
      </c>
      <c r="I271" t="s">
        <v>221</v>
      </c>
      <c r="J271" t="s">
        <v>738</v>
      </c>
      <c r="K271" t="b">
        <v>0</v>
      </c>
    </row>
    <row r="272" spans="1:11" hidden="1" x14ac:dyDescent="0.35">
      <c r="A272" t="s">
        <v>1210</v>
      </c>
      <c r="B272">
        <v>2025</v>
      </c>
      <c r="C272" t="s">
        <v>1211</v>
      </c>
      <c r="D272" t="s">
        <v>1212</v>
      </c>
      <c r="E272" t="b">
        <v>1</v>
      </c>
      <c r="F272" t="s">
        <v>250</v>
      </c>
      <c r="G272" t="s">
        <v>238</v>
      </c>
      <c r="H272">
        <v>0.5</v>
      </c>
      <c r="I272" t="s">
        <v>221</v>
      </c>
      <c r="J272" t="s">
        <v>231</v>
      </c>
      <c r="K272" t="b">
        <v>0</v>
      </c>
    </row>
    <row r="273" spans="1:11" hidden="1" x14ac:dyDescent="0.35">
      <c r="A273" t="s">
        <v>1213</v>
      </c>
      <c r="B273">
        <v>2025</v>
      </c>
      <c r="C273" t="s">
        <v>1214</v>
      </c>
      <c r="D273" t="s">
        <v>1215</v>
      </c>
      <c r="E273" t="b">
        <v>1</v>
      </c>
      <c r="F273" t="s">
        <v>1216</v>
      </c>
      <c r="G273" t="s">
        <v>223</v>
      </c>
      <c r="H273">
        <v>1</v>
      </c>
      <c r="I273" t="s">
        <v>160</v>
      </c>
      <c r="J273" t="s">
        <v>223</v>
      </c>
      <c r="K273" t="b">
        <v>1</v>
      </c>
    </row>
    <row r="274" spans="1:11" hidden="1" x14ac:dyDescent="0.35">
      <c r="A274" t="s">
        <v>1217</v>
      </c>
      <c r="B274">
        <v>2025</v>
      </c>
      <c r="C274" t="s">
        <v>1218</v>
      </c>
      <c r="D274" t="s">
        <v>1219</v>
      </c>
      <c r="E274" t="b">
        <v>0</v>
      </c>
      <c r="F274" t="s">
        <v>1220</v>
      </c>
      <c r="G274" t="s">
        <v>222</v>
      </c>
      <c r="H274">
        <v>0.9</v>
      </c>
      <c r="I274" t="s">
        <v>221</v>
      </c>
      <c r="J274" t="s">
        <v>1642</v>
      </c>
      <c r="K274" t="b">
        <v>0</v>
      </c>
    </row>
    <row r="275" spans="1:11" hidden="1" x14ac:dyDescent="0.35">
      <c r="A275" t="s">
        <v>1221</v>
      </c>
      <c r="B275">
        <v>2025</v>
      </c>
      <c r="C275" t="s">
        <v>1222</v>
      </c>
      <c r="D275" t="s">
        <v>1223</v>
      </c>
      <c r="E275" t="b">
        <v>1</v>
      </c>
      <c r="F275" t="s">
        <v>250</v>
      </c>
      <c r="G275" t="s">
        <v>238</v>
      </c>
      <c r="H275">
        <v>0.5</v>
      </c>
      <c r="I275" t="s">
        <v>221</v>
      </c>
      <c r="J275" t="s">
        <v>716</v>
      </c>
      <c r="K275" t="b">
        <v>0</v>
      </c>
    </row>
    <row r="276" spans="1:11" hidden="1" x14ac:dyDescent="0.35">
      <c r="A276" t="s">
        <v>1224</v>
      </c>
      <c r="B276">
        <v>2025</v>
      </c>
      <c r="C276" t="s">
        <v>1222</v>
      </c>
      <c r="D276" t="s">
        <v>1225</v>
      </c>
      <c r="E276" t="b">
        <v>1</v>
      </c>
      <c r="F276" t="s">
        <v>250</v>
      </c>
      <c r="G276" t="s">
        <v>238</v>
      </c>
      <c r="H276">
        <v>0.5</v>
      </c>
      <c r="I276" s="5" t="s">
        <v>160</v>
      </c>
      <c r="J276" s="5"/>
      <c r="K276" t="b">
        <v>1</v>
      </c>
    </row>
    <row r="277" spans="1:11" hidden="1" x14ac:dyDescent="0.35">
      <c r="A277" t="s">
        <v>1226</v>
      </c>
      <c r="B277">
        <v>2025</v>
      </c>
      <c r="C277" t="s">
        <v>1227</v>
      </c>
      <c r="D277" t="s">
        <v>1228</v>
      </c>
      <c r="E277" t="b">
        <v>1</v>
      </c>
      <c r="F277" t="s">
        <v>1229</v>
      </c>
      <c r="G277" t="s">
        <v>223</v>
      </c>
      <c r="H277">
        <v>1</v>
      </c>
      <c r="I277" t="s">
        <v>160</v>
      </c>
      <c r="J277" t="s">
        <v>223</v>
      </c>
      <c r="K277" t="b">
        <v>1</v>
      </c>
    </row>
    <row r="278" spans="1:11" ht="409.5" hidden="1" x14ac:dyDescent="0.35">
      <c r="A278" t="s">
        <v>1230</v>
      </c>
      <c r="B278">
        <v>2025</v>
      </c>
      <c r="C278" t="s">
        <v>1231</v>
      </c>
      <c r="D278" s="1" t="s">
        <v>1232</v>
      </c>
      <c r="E278" t="b">
        <v>0</v>
      </c>
      <c r="F278" t="s">
        <v>1233</v>
      </c>
      <c r="G278" t="s">
        <v>222</v>
      </c>
      <c r="H278">
        <v>1</v>
      </c>
      <c r="I278" t="s">
        <v>221</v>
      </c>
      <c r="J278" t="s">
        <v>1642</v>
      </c>
      <c r="K278" t="b">
        <v>0</v>
      </c>
    </row>
    <row r="279" spans="1:11" hidden="1" x14ac:dyDescent="0.35">
      <c r="A279" t="s">
        <v>1234</v>
      </c>
      <c r="B279">
        <v>2025</v>
      </c>
      <c r="C279" t="s">
        <v>1235</v>
      </c>
      <c r="D279" t="s">
        <v>1236</v>
      </c>
      <c r="E279" t="b">
        <v>1</v>
      </c>
      <c r="F279" t="s">
        <v>1237</v>
      </c>
      <c r="G279" t="s">
        <v>223</v>
      </c>
      <c r="H279">
        <v>1</v>
      </c>
      <c r="I279" t="s">
        <v>160</v>
      </c>
      <c r="J279" t="s">
        <v>223</v>
      </c>
      <c r="K279" t="b">
        <v>1</v>
      </c>
    </row>
    <row r="280" spans="1:11" hidden="1" x14ac:dyDescent="0.35">
      <c r="A280" t="s">
        <v>1238</v>
      </c>
      <c r="B280">
        <v>2020</v>
      </c>
      <c r="C280" t="s">
        <v>1239</v>
      </c>
      <c r="D280" t="s">
        <v>1240</v>
      </c>
      <c r="E280" t="b">
        <v>1</v>
      </c>
      <c r="F280" t="s">
        <v>250</v>
      </c>
      <c r="G280" t="s">
        <v>238</v>
      </c>
      <c r="H280">
        <v>0.5</v>
      </c>
      <c r="I280" t="s">
        <v>160</v>
      </c>
      <c r="J280" t="s">
        <v>223</v>
      </c>
      <c r="K280" t="b">
        <v>1</v>
      </c>
    </row>
    <row r="281" spans="1:11" hidden="1" x14ac:dyDescent="0.35">
      <c r="A281" t="s">
        <v>1241</v>
      </c>
      <c r="B281">
        <v>2020</v>
      </c>
      <c r="C281" t="s">
        <v>1242</v>
      </c>
      <c r="D281" t="s">
        <v>1243</v>
      </c>
      <c r="E281" t="b">
        <v>0</v>
      </c>
      <c r="F281" t="s">
        <v>1244</v>
      </c>
      <c r="G281" t="s">
        <v>222</v>
      </c>
      <c r="H281">
        <v>0.9</v>
      </c>
      <c r="I281" t="s">
        <v>160</v>
      </c>
      <c r="J281" t="s">
        <v>231</v>
      </c>
      <c r="K281" t="b">
        <v>1</v>
      </c>
    </row>
    <row r="282" spans="1:11" hidden="1" x14ac:dyDescent="0.35">
      <c r="A282" t="s">
        <v>1245</v>
      </c>
      <c r="B282">
        <v>2020</v>
      </c>
      <c r="C282" t="s">
        <v>1246</v>
      </c>
      <c r="D282" t="s">
        <v>1247</v>
      </c>
      <c r="E282" t="b">
        <v>1</v>
      </c>
      <c r="F282" t="s">
        <v>1248</v>
      </c>
      <c r="G282" t="s">
        <v>223</v>
      </c>
      <c r="H282">
        <v>1</v>
      </c>
      <c r="I282" t="s">
        <v>160</v>
      </c>
      <c r="J282" t="s">
        <v>721</v>
      </c>
      <c r="K282" t="b">
        <v>1</v>
      </c>
    </row>
    <row r="283" spans="1:11" hidden="1" x14ac:dyDescent="0.35">
      <c r="A283" t="s">
        <v>1249</v>
      </c>
      <c r="B283">
        <v>2020</v>
      </c>
      <c r="C283" t="s">
        <v>1250</v>
      </c>
      <c r="D283" t="s">
        <v>1251</v>
      </c>
      <c r="E283" t="b">
        <v>1</v>
      </c>
      <c r="F283" t="s">
        <v>1252</v>
      </c>
      <c r="G283" t="s">
        <v>223</v>
      </c>
      <c r="H283">
        <v>1</v>
      </c>
      <c r="I283" t="s">
        <v>160</v>
      </c>
      <c r="J283" t="s">
        <v>224</v>
      </c>
      <c r="K283" t="b">
        <v>1</v>
      </c>
    </row>
    <row r="284" spans="1:11" hidden="1" x14ac:dyDescent="0.35">
      <c r="A284" t="s">
        <v>1253</v>
      </c>
      <c r="B284">
        <v>2020</v>
      </c>
      <c r="C284" t="s">
        <v>1254</v>
      </c>
      <c r="D284" t="s">
        <v>1255</v>
      </c>
      <c r="E284" t="b">
        <v>1</v>
      </c>
      <c r="F284" t="s">
        <v>1256</v>
      </c>
      <c r="G284" t="s">
        <v>223</v>
      </c>
      <c r="H284">
        <v>1</v>
      </c>
      <c r="I284" t="s">
        <v>160</v>
      </c>
      <c r="J284" t="s">
        <v>721</v>
      </c>
      <c r="K284" t="b">
        <v>1</v>
      </c>
    </row>
    <row r="285" spans="1:11" hidden="1" x14ac:dyDescent="0.35">
      <c r="A285" t="s">
        <v>1257</v>
      </c>
      <c r="B285">
        <v>2020</v>
      </c>
      <c r="C285" t="s">
        <v>1258</v>
      </c>
      <c r="D285" t="s">
        <v>1259</v>
      </c>
      <c r="E285" t="b">
        <v>1</v>
      </c>
      <c r="F285" t="s">
        <v>250</v>
      </c>
      <c r="G285" t="s">
        <v>238</v>
      </c>
      <c r="H285">
        <v>0.5</v>
      </c>
      <c r="I285" t="s">
        <v>221</v>
      </c>
      <c r="J285" t="s">
        <v>231</v>
      </c>
      <c r="K285" t="b">
        <v>0</v>
      </c>
    </row>
    <row r="286" spans="1:11" hidden="1" x14ac:dyDescent="0.35">
      <c r="A286" t="s">
        <v>1260</v>
      </c>
      <c r="B286">
        <v>2020</v>
      </c>
      <c r="C286" t="s">
        <v>1261</v>
      </c>
      <c r="D286" t="s">
        <v>1262</v>
      </c>
      <c r="E286" t="b">
        <v>0</v>
      </c>
      <c r="F286" t="s">
        <v>1263</v>
      </c>
      <c r="G286" t="s">
        <v>222</v>
      </c>
      <c r="H286">
        <v>1</v>
      </c>
      <c r="I286" t="s">
        <v>221</v>
      </c>
      <c r="J286" t="s">
        <v>726</v>
      </c>
      <c r="K286" t="b">
        <v>0</v>
      </c>
    </row>
    <row r="287" spans="1:11" hidden="1" x14ac:dyDescent="0.35">
      <c r="A287" t="s">
        <v>1264</v>
      </c>
      <c r="B287">
        <v>2020</v>
      </c>
      <c r="C287" t="s">
        <v>1265</v>
      </c>
      <c r="D287" t="s">
        <v>1266</v>
      </c>
      <c r="E287" t="b">
        <v>1</v>
      </c>
      <c r="F287" t="s">
        <v>1267</v>
      </c>
      <c r="G287" t="s">
        <v>223</v>
      </c>
      <c r="H287">
        <v>1</v>
      </c>
      <c r="I287" t="s">
        <v>160</v>
      </c>
      <c r="J287" t="s">
        <v>223</v>
      </c>
      <c r="K287" t="b">
        <v>1</v>
      </c>
    </row>
    <row r="288" spans="1:11" x14ac:dyDescent="0.35">
      <c r="A288" t="s">
        <v>1268</v>
      </c>
      <c r="B288">
        <v>2020</v>
      </c>
      <c r="C288" t="s">
        <v>1269</v>
      </c>
      <c r="D288" t="s">
        <v>1270</v>
      </c>
      <c r="E288" t="b">
        <v>1</v>
      </c>
      <c r="F288" t="s">
        <v>1271</v>
      </c>
      <c r="G288" t="s">
        <v>223</v>
      </c>
      <c r="H288">
        <v>0.9</v>
      </c>
      <c r="I288" t="s">
        <v>221</v>
      </c>
      <c r="J288" t="s">
        <v>1643</v>
      </c>
      <c r="K288" t="b">
        <v>0</v>
      </c>
    </row>
    <row r="289" spans="1:11" hidden="1" x14ac:dyDescent="0.35">
      <c r="A289" t="s">
        <v>1272</v>
      </c>
      <c r="B289">
        <v>2020</v>
      </c>
      <c r="C289" t="s">
        <v>1273</v>
      </c>
      <c r="D289" t="s">
        <v>549</v>
      </c>
      <c r="E289" t="b">
        <v>1</v>
      </c>
      <c r="F289" t="s">
        <v>250</v>
      </c>
      <c r="G289" t="s">
        <v>238</v>
      </c>
      <c r="H289">
        <v>0.5</v>
      </c>
      <c r="I289" t="s">
        <v>160</v>
      </c>
      <c r="J289" t="s">
        <v>223</v>
      </c>
      <c r="K289" t="b">
        <v>1</v>
      </c>
    </row>
    <row r="290" spans="1:11" hidden="1" x14ac:dyDescent="0.35">
      <c r="A290" t="s">
        <v>1274</v>
      </c>
      <c r="B290">
        <v>2020</v>
      </c>
      <c r="C290" t="s">
        <v>1275</v>
      </c>
      <c r="D290" t="s">
        <v>1276</v>
      </c>
      <c r="E290" t="b">
        <v>1</v>
      </c>
      <c r="F290" t="s">
        <v>831</v>
      </c>
      <c r="G290" t="s">
        <v>223</v>
      </c>
      <c r="H290">
        <v>1</v>
      </c>
      <c r="I290" t="s">
        <v>160</v>
      </c>
      <c r="J290" t="s">
        <v>725</v>
      </c>
      <c r="K290" t="b">
        <v>1</v>
      </c>
    </row>
    <row r="291" spans="1:11" hidden="1" x14ac:dyDescent="0.35">
      <c r="A291" t="s">
        <v>1277</v>
      </c>
      <c r="B291">
        <v>2020</v>
      </c>
      <c r="C291" t="s">
        <v>1278</v>
      </c>
      <c r="D291" t="s">
        <v>1279</v>
      </c>
      <c r="E291" t="b">
        <v>1</v>
      </c>
      <c r="F291" t="s">
        <v>969</v>
      </c>
      <c r="G291" t="s">
        <v>223</v>
      </c>
      <c r="H291">
        <v>1</v>
      </c>
      <c r="I291" t="s">
        <v>160</v>
      </c>
      <c r="J291" t="s">
        <v>720</v>
      </c>
      <c r="K291" t="b">
        <v>1</v>
      </c>
    </row>
    <row r="292" spans="1:11" hidden="1" x14ac:dyDescent="0.35">
      <c r="A292" t="s">
        <v>1280</v>
      </c>
      <c r="B292">
        <v>2020</v>
      </c>
      <c r="C292" t="s">
        <v>1281</v>
      </c>
      <c r="D292" t="s">
        <v>1282</v>
      </c>
      <c r="E292" t="b">
        <v>1</v>
      </c>
      <c r="F292" t="s">
        <v>250</v>
      </c>
      <c r="G292" t="s">
        <v>238</v>
      </c>
      <c r="H292">
        <v>0.5</v>
      </c>
      <c r="I292" t="s">
        <v>160</v>
      </c>
      <c r="J292" t="s">
        <v>224</v>
      </c>
      <c r="K292" t="b">
        <v>1</v>
      </c>
    </row>
    <row r="293" spans="1:11" hidden="1" x14ac:dyDescent="0.35">
      <c r="A293" t="s">
        <v>1283</v>
      </c>
      <c r="B293">
        <v>2020</v>
      </c>
      <c r="C293" t="s">
        <v>1284</v>
      </c>
      <c r="D293" t="s">
        <v>1285</v>
      </c>
      <c r="E293" t="b">
        <v>0</v>
      </c>
      <c r="F293" t="s">
        <v>816</v>
      </c>
      <c r="G293" t="s">
        <v>222</v>
      </c>
      <c r="H293">
        <v>1</v>
      </c>
      <c r="I293" t="s">
        <v>221</v>
      </c>
      <c r="J293" t="s">
        <v>726</v>
      </c>
      <c r="K293" t="b">
        <v>0</v>
      </c>
    </row>
    <row r="294" spans="1:11" hidden="1" x14ac:dyDescent="0.35">
      <c r="A294" t="s">
        <v>1286</v>
      </c>
      <c r="B294">
        <v>2020</v>
      </c>
      <c r="C294" t="s">
        <v>1287</v>
      </c>
      <c r="D294" t="s">
        <v>1288</v>
      </c>
      <c r="E294" t="b">
        <v>0</v>
      </c>
      <c r="F294" t="s">
        <v>1289</v>
      </c>
      <c r="G294" t="s">
        <v>222</v>
      </c>
      <c r="H294">
        <v>0.9</v>
      </c>
      <c r="I294" t="s">
        <v>221</v>
      </c>
      <c r="J294" t="s">
        <v>231</v>
      </c>
      <c r="K294" t="b">
        <v>0</v>
      </c>
    </row>
    <row r="295" spans="1:11" hidden="1" x14ac:dyDescent="0.35">
      <c r="A295" t="s">
        <v>1290</v>
      </c>
      <c r="B295">
        <v>2020</v>
      </c>
      <c r="C295" t="s">
        <v>1291</v>
      </c>
      <c r="D295" t="s">
        <v>1292</v>
      </c>
      <c r="E295" t="b">
        <v>1</v>
      </c>
      <c r="F295" t="s">
        <v>250</v>
      </c>
      <c r="G295" t="s">
        <v>238</v>
      </c>
      <c r="H295">
        <v>0.5</v>
      </c>
      <c r="I295" t="s">
        <v>160</v>
      </c>
      <c r="J295" t="s">
        <v>224</v>
      </c>
      <c r="K295" t="b">
        <v>1</v>
      </c>
    </row>
    <row r="296" spans="1:11" hidden="1" x14ac:dyDescent="0.35">
      <c r="A296" t="s">
        <v>1293</v>
      </c>
      <c r="B296">
        <v>2020</v>
      </c>
      <c r="C296" t="s">
        <v>1294</v>
      </c>
      <c r="D296" t="s">
        <v>1295</v>
      </c>
      <c r="E296" t="b">
        <v>1</v>
      </c>
      <c r="F296" t="s">
        <v>1296</v>
      </c>
      <c r="G296" t="s">
        <v>223</v>
      </c>
      <c r="H296">
        <v>1</v>
      </c>
      <c r="I296" t="s">
        <v>160</v>
      </c>
      <c r="J296" t="s">
        <v>721</v>
      </c>
      <c r="K296" t="b">
        <v>1</v>
      </c>
    </row>
    <row r="297" spans="1:11" hidden="1" x14ac:dyDescent="0.35">
      <c r="A297" t="s">
        <v>1297</v>
      </c>
      <c r="B297">
        <v>2020</v>
      </c>
      <c r="C297" t="s">
        <v>1298</v>
      </c>
      <c r="D297" t="s">
        <v>1299</v>
      </c>
      <c r="E297" t="b">
        <v>1</v>
      </c>
      <c r="F297" t="s">
        <v>1300</v>
      </c>
      <c r="G297" t="s">
        <v>223</v>
      </c>
      <c r="H297">
        <v>0.9</v>
      </c>
      <c r="I297" t="s">
        <v>160</v>
      </c>
      <c r="J297" t="s">
        <v>224</v>
      </c>
      <c r="K297" t="b">
        <v>1</v>
      </c>
    </row>
    <row r="298" spans="1:11" hidden="1" x14ac:dyDescent="0.35">
      <c r="A298" t="s">
        <v>1301</v>
      </c>
      <c r="B298">
        <v>2020</v>
      </c>
      <c r="C298" t="s">
        <v>1302</v>
      </c>
      <c r="D298" t="s">
        <v>1303</v>
      </c>
      <c r="E298" t="b">
        <v>1</v>
      </c>
      <c r="F298" t="s">
        <v>250</v>
      </c>
      <c r="G298" t="s">
        <v>238</v>
      </c>
      <c r="H298">
        <v>0.5</v>
      </c>
      <c r="I298" t="s">
        <v>221</v>
      </c>
      <c r="J298" t="s">
        <v>231</v>
      </c>
      <c r="K298" t="b">
        <v>0</v>
      </c>
    </row>
    <row r="299" spans="1:11" hidden="1" x14ac:dyDescent="0.35">
      <c r="A299" t="s">
        <v>1304</v>
      </c>
      <c r="B299">
        <v>2020</v>
      </c>
      <c r="C299" t="s">
        <v>1305</v>
      </c>
      <c r="D299" t="s">
        <v>1306</v>
      </c>
      <c r="E299" t="b">
        <v>1</v>
      </c>
      <c r="F299" t="s">
        <v>250</v>
      </c>
      <c r="G299" t="s">
        <v>238</v>
      </c>
      <c r="H299">
        <v>0.5</v>
      </c>
      <c r="I299" t="s">
        <v>221</v>
      </c>
      <c r="J299" t="s">
        <v>231</v>
      </c>
      <c r="K299" t="b">
        <v>0</v>
      </c>
    </row>
    <row r="300" spans="1:11" hidden="1" x14ac:dyDescent="0.35">
      <c r="A300" t="s">
        <v>1307</v>
      </c>
      <c r="B300">
        <v>2020</v>
      </c>
      <c r="C300" t="s">
        <v>1308</v>
      </c>
      <c r="D300" t="s">
        <v>1309</v>
      </c>
      <c r="E300" t="b">
        <v>1</v>
      </c>
      <c r="F300" t="s">
        <v>250</v>
      </c>
      <c r="G300" t="s">
        <v>238</v>
      </c>
      <c r="H300">
        <v>0.5</v>
      </c>
      <c r="I300" t="s">
        <v>160</v>
      </c>
      <c r="J300" t="s">
        <v>224</v>
      </c>
      <c r="K300" t="b">
        <v>1</v>
      </c>
    </row>
    <row r="301" spans="1:11" hidden="1" x14ac:dyDescent="0.35">
      <c r="A301" t="s">
        <v>1310</v>
      </c>
      <c r="B301">
        <v>2020</v>
      </c>
      <c r="C301" t="s">
        <v>1311</v>
      </c>
      <c r="D301" t="s">
        <v>1312</v>
      </c>
      <c r="E301" t="b">
        <v>1</v>
      </c>
      <c r="F301" t="s">
        <v>250</v>
      </c>
      <c r="G301" t="s">
        <v>238</v>
      </c>
      <c r="H301">
        <v>0.5</v>
      </c>
      <c r="I301" t="s">
        <v>160</v>
      </c>
      <c r="J301" t="s">
        <v>224</v>
      </c>
      <c r="K301" t="b">
        <v>1</v>
      </c>
    </row>
    <row r="302" spans="1:11" hidden="1" x14ac:dyDescent="0.35">
      <c r="A302" t="s">
        <v>1313</v>
      </c>
      <c r="B302">
        <v>2020</v>
      </c>
      <c r="C302" t="s">
        <v>1314</v>
      </c>
      <c r="D302" t="s">
        <v>1315</v>
      </c>
      <c r="E302" t="b">
        <v>1</v>
      </c>
      <c r="F302" t="s">
        <v>250</v>
      </c>
      <c r="G302" t="s">
        <v>238</v>
      </c>
      <c r="H302">
        <v>0.5</v>
      </c>
      <c r="I302" t="s">
        <v>221</v>
      </c>
      <c r="J302" t="s">
        <v>1644</v>
      </c>
      <c r="K302" t="b">
        <v>0</v>
      </c>
    </row>
    <row r="303" spans="1:11" hidden="1" x14ac:dyDescent="0.35">
      <c r="A303" t="s">
        <v>1316</v>
      </c>
      <c r="B303">
        <v>2020</v>
      </c>
      <c r="C303" t="s">
        <v>1317</v>
      </c>
      <c r="D303" t="s">
        <v>1318</v>
      </c>
      <c r="E303" t="b">
        <v>0</v>
      </c>
      <c r="F303" t="s">
        <v>1319</v>
      </c>
      <c r="G303" t="s">
        <v>222</v>
      </c>
      <c r="H303">
        <v>1</v>
      </c>
      <c r="I303" t="s">
        <v>221</v>
      </c>
      <c r="J303" t="s">
        <v>231</v>
      </c>
      <c r="K303" t="b">
        <v>0</v>
      </c>
    </row>
    <row r="304" spans="1:11" ht="409.5" hidden="1" x14ac:dyDescent="0.35">
      <c r="A304" t="s">
        <v>1320</v>
      </c>
      <c r="B304">
        <v>2020</v>
      </c>
      <c r="C304" t="s">
        <v>1321</v>
      </c>
      <c r="D304" s="1" t="s">
        <v>1322</v>
      </c>
      <c r="E304" t="b">
        <v>1</v>
      </c>
      <c r="F304" t="s">
        <v>1323</v>
      </c>
      <c r="G304" t="s">
        <v>223</v>
      </c>
      <c r="H304">
        <v>0.9</v>
      </c>
      <c r="I304" t="s">
        <v>160</v>
      </c>
      <c r="J304" t="s">
        <v>223</v>
      </c>
      <c r="K304" t="b">
        <v>1</v>
      </c>
    </row>
    <row r="305" spans="1:11" hidden="1" x14ac:dyDescent="0.35">
      <c r="A305" t="s">
        <v>1324</v>
      </c>
      <c r="B305">
        <v>2020</v>
      </c>
      <c r="C305" t="s">
        <v>1325</v>
      </c>
      <c r="D305" t="s">
        <v>1326</v>
      </c>
      <c r="E305" t="b">
        <v>1</v>
      </c>
      <c r="F305" t="s">
        <v>250</v>
      </c>
      <c r="G305" t="s">
        <v>238</v>
      </c>
      <c r="H305">
        <v>0.5</v>
      </c>
      <c r="I305" s="5" t="s">
        <v>160</v>
      </c>
      <c r="J305" s="5"/>
      <c r="K305" t="b">
        <v>1</v>
      </c>
    </row>
    <row r="306" spans="1:11" hidden="1" x14ac:dyDescent="0.35">
      <c r="A306" t="s">
        <v>1327</v>
      </c>
      <c r="B306">
        <v>2020</v>
      </c>
      <c r="C306" t="s">
        <v>1328</v>
      </c>
      <c r="D306" t="s">
        <v>1329</v>
      </c>
      <c r="E306" t="b">
        <v>1</v>
      </c>
      <c r="F306" t="s">
        <v>1330</v>
      </c>
      <c r="G306" t="s">
        <v>223</v>
      </c>
      <c r="H306">
        <v>1</v>
      </c>
      <c r="I306" t="s">
        <v>160</v>
      </c>
      <c r="J306" t="s">
        <v>223</v>
      </c>
      <c r="K306" t="b">
        <v>1</v>
      </c>
    </row>
    <row r="307" spans="1:11" ht="409.5" hidden="1" x14ac:dyDescent="0.35">
      <c r="A307" t="s">
        <v>1331</v>
      </c>
      <c r="B307">
        <v>2020</v>
      </c>
      <c r="C307" t="s">
        <v>1332</v>
      </c>
      <c r="D307" s="1" t="s">
        <v>1333</v>
      </c>
      <c r="E307" t="b">
        <v>0</v>
      </c>
      <c r="F307" t="s">
        <v>1233</v>
      </c>
      <c r="G307" t="s">
        <v>222</v>
      </c>
      <c r="H307">
        <v>1</v>
      </c>
      <c r="I307" t="s">
        <v>221</v>
      </c>
      <c r="J307" t="s">
        <v>1642</v>
      </c>
      <c r="K307" t="b">
        <v>0</v>
      </c>
    </row>
    <row r="308" spans="1:11" hidden="1" x14ac:dyDescent="0.35">
      <c r="A308" t="s">
        <v>1334</v>
      </c>
      <c r="B308">
        <v>2020</v>
      </c>
      <c r="C308" t="s">
        <v>1335</v>
      </c>
      <c r="D308" t="s">
        <v>1336</v>
      </c>
      <c r="E308" t="b">
        <v>0</v>
      </c>
      <c r="F308" t="s">
        <v>1337</v>
      </c>
      <c r="G308" t="s">
        <v>222</v>
      </c>
      <c r="H308">
        <v>0.95</v>
      </c>
      <c r="I308" t="s">
        <v>221</v>
      </c>
      <c r="J308" t="s">
        <v>231</v>
      </c>
      <c r="K308" t="b">
        <v>0</v>
      </c>
    </row>
    <row r="309" spans="1:11" hidden="1" x14ac:dyDescent="0.35">
      <c r="A309" t="s">
        <v>1338</v>
      </c>
      <c r="B309">
        <v>2020</v>
      </c>
      <c r="C309" t="s">
        <v>1339</v>
      </c>
      <c r="D309" t="s">
        <v>1340</v>
      </c>
      <c r="E309" t="b">
        <v>0</v>
      </c>
      <c r="F309" t="s">
        <v>1341</v>
      </c>
      <c r="G309" t="s">
        <v>222</v>
      </c>
      <c r="H309">
        <v>1</v>
      </c>
      <c r="I309" t="s">
        <v>221</v>
      </c>
      <c r="J309" t="s">
        <v>738</v>
      </c>
      <c r="K309" t="b">
        <v>0</v>
      </c>
    </row>
    <row r="310" spans="1:11" ht="409.5" hidden="1" x14ac:dyDescent="0.35">
      <c r="A310" t="s">
        <v>1342</v>
      </c>
      <c r="B310">
        <v>2022</v>
      </c>
      <c r="C310" t="s">
        <v>1343</v>
      </c>
      <c r="D310" s="1" t="s">
        <v>1344</v>
      </c>
      <c r="E310" t="b">
        <v>1</v>
      </c>
      <c r="F310" t="s">
        <v>1345</v>
      </c>
      <c r="G310" t="s">
        <v>223</v>
      </c>
      <c r="H310">
        <v>1</v>
      </c>
      <c r="I310" t="s">
        <v>160</v>
      </c>
      <c r="J310" t="s">
        <v>725</v>
      </c>
      <c r="K310" t="b">
        <v>1</v>
      </c>
    </row>
    <row r="311" spans="1:11" hidden="1" x14ac:dyDescent="0.35">
      <c r="A311" t="s">
        <v>1346</v>
      </c>
      <c r="B311">
        <v>2022</v>
      </c>
      <c r="C311" t="s">
        <v>1343</v>
      </c>
      <c r="D311" t="s">
        <v>1326</v>
      </c>
      <c r="E311" t="b">
        <v>1</v>
      </c>
      <c r="F311" t="s">
        <v>250</v>
      </c>
      <c r="G311" t="s">
        <v>238</v>
      </c>
      <c r="H311">
        <v>0.5</v>
      </c>
      <c r="I311" s="5" t="s">
        <v>160</v>
      </c>
      <c r="J311" s="5"/>
      <c r="K311" t="b">
        <v>1</v>
      </c>
    </row>
    <row r="312" spans="1:11" hidden="1" x14ac:dyDescent="0.35">
      <c r="A312" t="s">
        <v>1347</v>
      </c>
      <c r="B312">
        <v>2022</v>
      </c>
      <c r="C312" t="s">
        <v>1348</v>
      </c>
      <c r="D312" t="s">
        <v>1349</v>
      </c>
      <c r="E312" t="b">
        <v>0</v>
      </c>
      <c r="F312" t="s">
        <v>1350</v>
      </c>
      <c r="G312" t="s">
        <v>222</v>
      </c>
      <c r="H312">
        <v>1</v>
      </c>
      <c r="I312" t="s">
        <v>221</v>
      </c>
      <c r="J312" t="s">
        <v>1645</v>
      </c>
      <c r="K312" t="b">
        <v>0</v>
      </c>
    </row>
    <row r="313" spans="1:11" hidden="1" x14ac:dyDescent="0.35">
      <c r="A313" t="s">
        <v>1351</v>
      </c>
      <c r="B313">
        <v>2022</v>
      </c>
      <c r="C313" t="s">
        <v>1352</v>
      </c>
      <c r="D313" t="s">
        <v>1353</v>
      </c>
      <c r="E313" t="b">
        <v>0</v>
      </c>
      <c r="F313" t="s">
        <v>1354</v>
      </c>
      <c r="G313" t="s">
        <v>222</v>
      </c>
      <c r="H313">
        <v>1</v>
      </c>
      <c r="I313" t="s">
        <v>221</v>
      </c>
      <c r="J313" t="s">
        <v>738</v>
      </c>
      <c r="K313" t="b">
        <v>0</v>
      </c>
    </row>
    <row r="314" spans="1:11" ht="409.5" hidden="1" x14ac:dyDescent="0.35">
      <c r="A314" t="s">
        <v>1355</v>
      </c>
      <c r="B314">
        <v>2022</v>
      </c>
      <c r="C314" t="s">
        <v>1356</v>
      </c>
      <c r="D314" s="1" t="s">
        <v>1357</v>
      </c>
      <c r="E314" t="b">
        <v>1</v>
      </c>
      <c r="F314" t="s">
        <v>1358</v>
      </c>
      <c r="G314" t="s">
        <v>223</v>
      </c>
      <c r="H314">
        <v>1</v>
      </c>
      <c r="I314" t="s">
        <v>160</v>
      </c>
      <c r="J314" t="s">
        <v>226</v>
      </c>
      <c r="K314" t="b">
        <v>1</v>
      </c>
    </row>
    <row r="315" spans="1:11" hidden="1" x14ac:dyDescent="0.35">
      <c r="A315" t="s">
        <v>1359</v>
      </c>
      <c r="B315">
        <v>2022</v>
      </c>
      <c r="C315" t="s">
        <v>1360</v>
      </c>
      <c r="D315" t="s">
        <v>1361</v>
      </c>
      <c r="E315" t="b">
        <v>0</v>
      </c>
      <c r="F315" t="s">
        <v>1362</v>
      </c>
      <c r="G315" t="s">
        <v>222</v>
      </c>
      <c r="H315">
        <v>1</v>
      </c>
      <c r="I315" t="s">
        <v>221</v>
      </c>
      <c r="J315" t="s">
        <v>715</v>
      </c>
      <c r="K315" t="b">
        <v>0</v>
      </c>
    </row>
    <row r="316" spans="1:11" hidden="1" x14ac:dyDescent="0.35">
      <c r="A316" t="s">
        <v>1363</v>
      </c>
      <c r="B316">
        <v>2022</v>
      </c>
      <c r="C316" t="s">
        <v>1364</v>
      </c>
      <c r="D316" t="s">
        <v>1365</v>
      </c>
      <c r="E316" t="b">
        <v>0</v>
      </c>
      <c r="F316" t="s">
        <v>1366</v>
      </c>
      <c r="G316" t="s">
        <v>222</v>
      </c>
      <c r="H316">
        <v>0.9</v>
      </c>
      <c r="I316" t="s">
        <v>221</v>
      </c>
      <c r="J316" t="s">
        <v>728</v>
      </c>
      <c r="K316" t="b">
        <v>0</v>
      </c>
    </row>
    <row r="317" spans="1:11" hidden="1" x14ac:dyDescent="0.35">
      <c r="A317" t="s">
        <v>1367</v>
      </c>
      <c r="B317">
        <v>2022</v>
      </c>
      <c r="C317" t="s">
        <v>1368</v>
      </c>
      <c r="D317" t="s">
        <v>549</v>
      </c>
      <c r="E317" t="b">
        <v>1</v>
      </c>
      <c r="F317" t="s">
        <v>250</v>
      </c>
      <c r="G317" t="s">
        <v>238</v>
      </c>
      <c r="H317">
        <v>0.5</v>
      </c>
      <c r="I317" t="s">
        <v>160</v>
      </c>
      <c r="J317" t="s">
        <v>224</v>
      </c>
      <c r="K317" t="b">
        <v>1</v>
      </c>
    </row>
    <row r="318" spans="1:11" hidden="1" x14ac:dyDescent="0.35">
      <c r="A318" t="s">
        <v>1369</v>
      </c>
      <c r="B318">
        <v>2022</v>
      </c>
      <c r="C318" t="s">
        <v>1370</v>
      </c>
      <c r="D318" t="s">
        <v>1371</v>
      </c>
      <c r="E318" t="b">
        <v>0</v>
      </c>
      <c r="F318" t="s">
        <v>931</v>
      </c>
      <c r="G318" t="s">
        <v>222</v>
      </c>
      <c r="H318">
        <v>0.9</v>
      </c>
      <c r="I318" t="s">
        <v>221</v>
      </c>
      <c r="J318" t="s">
        <v>231</v>
      </c>
      <c r="K318" t="b">
        <v>0</v>
      </c>
    </row>
    <row r="319" spans="1:11" hidden="1" x14ac:dyDescent="0.35">
      <c r="A319" t="s">
        <v>1372</v>
      </c>
      <c r="B319">
        <v>2022</v>
      </c>
      <c r="C319" t="s">
        <v>1373</v>
      </c>
      <c r="D319" t="s">
        <v>1374</v>
      </c>
      <c r="E319" t="b">
        <v>0</v>
      </c>
      <c r="F319" t="s">
        <v>1375</v>
      </c>
      <c r="G319" t="s">
        <v>222</v>
      </c>
      <c r="H319">
        <v>1</v>
      </c>
      <c r="I319" t="s">
        <v>221</v>
      </c>
      <c r="J319" t="s">
        <v>1646</v>
      </c>
      <c r="K319" t="b">
        <v>0</v>
      </c>
    </row>
    <row r="320" spans="1:11" hidden="1" x14ac:dyDescent="0.35">
      <c r="A320" t="s">
        <v>1376</v>
      </c>
      <c r="B320">
        <v>2022</v>
      </c>
      <c r="C320" t="s">
        <v>1377</v>
      </c>
      <c r="D320" t="s">
        <v>1378</v>
      </c>
      <c r="E320" t="b">
        <v>1</v>
      </c>
      <c r="F320" t="s">
        <v>250</v>
      </c>
      <c r="G320" t="s">
        <v>238</v>
      </c>
      <c r="H320">
        <v>0.5</v>
      </c>
      <c r="I320" t="s">
        <v>221</v>
      </c>
      <c r="J320" t="s">
        <v>231</v>
      </c>
      <c r="K320" t="b">
        <v>0</v>
      </c>
    </row>
    <row r="321" spans="1:11" hidden="1" x14ac:dyDescent="0.35">
      <c r="A321" t="s">
        <v>1379</v>
      </c>
      <c r="B321">
        <v>2022</v>
      </c>
      <c r="C321" t="s">
        <v>1380</v>
      </c>
      <c r="D321" t="s">
        <v>1381</v>
      </c>
      <c r="E321" t="b">
        <v>1</v>
      </c>
      <c r="F321" t="s">
        <v>1382</v>
      </c>
      <c r="G321" t="s">
        <v>223</v>
      </c>
      <c r="H321">
        <v>1</v>
      </c>
      <c r="I321" t="s">
        <v>160</v>
      </c>
      <c r="J321" t="s">
        <v>223</v>
      </c>
      <c r="K321" t="b">
        <v>1</v>
      </c>
    </row>
    <row r="322" spans="1:11" hidden="1" x14ac:dyDescent="0.35">
      <c r="A322" t="s">
        <v>1383</v>
      </c>
      <c r="B322">
        <v>2022</v>
      </c>
      <c r="C322" t="s">
        <v>1384</v>
      </c>
      <c r="D322" t="s">
        <v>1326</v>
      </c>
      <c r="E322" t="b">
        <v>1</v>
      </c>
      <c r="F322" t="s">
        <v>250</v>
      </c>
      <c r="G322" t="s">
        <v>238</v>
      </c>
      <c r="H322">
        <v>0.5</v>
      </c>
      <c r="I322" t="s">
        <v>160</v>
      </c>
      <c r="J322" t="s">
        <v>223</v>
      </c>
      <c r="K322" t="b">
        <v>1</v>
      </c>
    </row>
    <row r="323" spans="1:11" hidden="1" x14ac:dyDescent="0.35">
      <c r="A323" t="s">
        <v>1385</v>
      </c>
      <c r="B323">
        <v>2022</v>
      </c>
      <c r="C323" t="s">
        <v>1386</v>
      </c>
      <c r="D323" t="s">
        <v>1387</v>
      </c>
      <c r="E323" t="b">
        <v>1</v>
      </c>
      <c r="F323" t="s">
        <v>1388</v>
      </c>
      <c r="G323" t="s">
        <v>223</v>
      </c>
      <c r="H323">
        <v>1</v>
      </c>
      <c r="I323" t="s">
        <v>160</v>
      </c>
      <c r="J323" t="s">
        <v>725</v>
      </c>
      <c r="K323" t="b">
        <v>1</v>
      </c>
    </row>
    <row r="324" spans="1:11" hidden="1" x14ac:dyDescent="0.35">
      <c r="A324" t="s">
        <v>1389</v>
      </c>
      <c r="B324">
        <v>2022</v>
      </c>
      <c r="C324" t="s">
        <v>1390</v>
      </c>
      <c r="D324" t="s">
        <v>1391</v>
      </c>
      <c r="E324" t="b">
        <v>1</v>
      </c>
      <c r="F324" t="s">
        <v>250</v>
      </c>
      <c r="G324" t="s">
        <v>238</v>
      </c>
      <c r="H324">
        <v>0.5</v>
      </c>
      <c r="I324" t="s">
        <v>221</v>
      </c>
      <c r="J324" t="s">
        <v>231</v>
      </c>
      <c r="K324" t="b">
        <v>0</v>
      </c>
    </row>
    <row r="325" spans="1:11" hidden="1" x14ac:dyDescent="0.35">
      <c r="A325" t="s">
        <v>1392</v>
      </c>
      <c r="B325">
        <v>2022</v>
      </c>
      <c r="C325" t="s">
        <v>1393</v>
      </c>
      <c r="D325" t="s">
        <v>1394</v>
      </c>
      <c r="E325" t="b">
        <v>1</v>
      </c>
      <c r="F325" t="s">
        <v>1395</v>
      </c>
      <c r="G325" t="s">
        <v>223</v>
      </c>
      <c r="H325">
        <v>0.9</v>
      </c>
      <c r="I325" t="s">
        <v>160</v>
      </c>
      <c r="J325" t="s">
        <v>725</v>
      </c>
      <c r="K325" t="b">
        <v>1</v>
      </c>
    </row>
    <row r="326" spans="1:11" hidden="1" x14ac:dyDescent="0.35">
      <c r="A326" t="s">
        <v>1396</v>
      </c>
      <c r="B326">
        <v>2022</v>
      </c>
      <c r="C326" t="s">
        <v>1397</v>
      </c>
      <c r="D326" t="s">
        <v>1398</v>
      </c>
      <c r="E326" t="b">
        <v>1</v>
      </c>
      <c r="F326" t="s">
        <v>1399</v>
      </c>
      <c r="G326" t="s">
        <v>223</v>
      </c>
      <c r="H326">
        <v>1</v>
      </c>
      <c r="I326" t="s">
        <v>160</v>
      </c>
      <c r="J326" t="s">
        <v>736</v>
      </c>
      <c r="K326" t="b">
        <v>1</v>
      </c>
    </row>
    <row r="327" spans="1:11" hidden="1" x14ac:dyDescent="0.35">
      <c r="A327" t="s">
        <v>1400</v>
      </c>
      <c r="B327">
        <v>2022</v>
      </c>
      <c r="C327" t="s">
        <v>1401</v>
      </c>
      <c r="D327" t="s">
        <v>1402</v>
      </c>
      <c r="E327" t="b">
        <v>1</v>
      </c>
      <c r="F327" t="s">
        <v>1399</v>
      </c>
      <c r="G327" t="s">
        <v>223</v>
      </c>
      <c r="H327">
        <v>0.9</v>
      </c>
      <c r="I327" t="s">
        <v>160</v>
      </c>
      <c r="J327" t="s">
        <v>736</v>
      </c>
      <c r="K327" t="b">
        <v>1</v>
      </c>
    </row>
    <row r="328" spans="1:11" hidden="1" x14ac:dyDescent="0.35">
      <c r="A328" t="s">
        <v>1403</v>
      </c>
      <c r="B328">
        <v>2022</v>
      </c>
      <c r="C328" t="s">
        <v>1404</v>
      </c>
      <c r="D328" t="s">
        <v>1405</v>
      </c>
      <c r="E328" t="b">
        <v>1</v>
      </c>
      <c r="F328" t="s">
        <v>1406</v>
      </c>
      <c r="G328" t="s">
        <v>223</v>
      </c>
      <c r="H328">
        <v>1</v>
      </c>
      <c r="I328" t="s">
        <v>160</v>
      </c>
      <c r="J328" t="s">
        <v>725</v>
      </c>
      <c r="K328" t="b">
        <v>1</v>
      </c>
    </row>
    <row r="329" spans="1:11" hidden="1" x14ac:dyDescent="0.35">
      <c r="A329" t="s">
        <v>1407</v>
      </c>
      <c r="B329">
        <v>2022</v>
      </c>
      <c r="C329" t="s">
        <v>1408</v>
      </c>
      <c r="D329" t="s">
        <v>1409</v>
      </c>
      <c r="E329" t="b">
        <v>1</v>
      </c>
      <c r="F329" t="s">
        <v>1410</v>
      </c>
      <c r="G329" t="s">
        <v>223</v>
      </c>
      <c r="H329">
        <v>1</v>
      </c>
      <c r="I329" t="s">
        <v>160</v>
      </c>
      <c r="J329" t="s">
        <v>1647</v>
      </c>
      <c r="K329" t="b">
        <v>1</v>
      </c>
    </row>
    <row r="330" spans="1:11" hidden="1" x14ac:dyDescent="0.35">
      <c r="A330" t="s">
        <v>1411</v>
      </c>
      <c r="B330">
        <v>2022</v>
      </c>
      <c r="C330" t="s">
        <v>1412</v>
      </c>
      <c r="D330" t="s">
        <v>1413</v>
      </c>
      <c r="E330" t="b">
        <v>1</v>
      </c>
      <c r="F330" t="s">
        <v>1414</v>
      </c>
      <c r="G330" t="s">
        <v>223</v>
      </c>
      <c r="H330">
        <v>1</v>
      </c>
      <c r="I330" t="s">
        <v>160</v>
      </c>
      <c r="J330" t="s">
        <v>223</v>
      </c>
      <c r="K330" t="b">
        <v>1</v>
      </c>
    </row>
    <row r="331" spans="1:11" hidden="1" x14ac:dyDescent="0.35">
      <c r="A331" t="s">
        <v>1415</v>
      </c>
      <c r="B331">
        <v>2022</v>
      </c>
      <c r="C331" t="s">
        <v>1416</v>
      </c>
      <c r="D331" t="s">
        <v>1417</v>
      </c>
      <c r="E331" t="b">
        <v>1</v>
      </c>
      <c r="F331" t="s">
        <v>1418</v>
      </c>
      <c r="G331" t="s">
        <v>223</v>
      </c>
      <c r="H331">
        <v>1</v>
      </c>
      <c r="I331" t="s">
        <v>160</v>
      </c>
      <c r="J331" t="s">
        <v>721</v>
      </c>
      <c r="K331" t="b">
        <v>1</v>
      </c>
    </row>
    <row r="332" spans="1:11" hidden="1" x14ac:dyDescent="0.35">
      <c r="A332" t="s">
        <v>1419</v>
      </c>
      <c r="B332">
        <v>2022</v>
      </c>
      <c r="C332" t="s">
        <v>1420</v>
      </c>
      <c r="D332" t="s">
        <v>1421</v>
      </c>
      <c r="E332" t="b">
        <v>1</v>
      </c>
      <c r="F332" t="s">
        <v>250</v>
      </c>
      <c r="G332" t="s">
        <v>238</v>
      </c>
      <c r="H332">
        <v>0.5</v>
      </c>
      <c r="I332" t="s">
        <v>221</v>
      </c>
      <c r="J332" t="s">
        <v>728</v>
      </c>
      <c r="K332" t="b">
        <v>0</v>
      </c>
    </row>
    <row r="333" spans="1:11" hidden="1" x14ac:dyDescent="0.35">
      <c r="A333" t="s">
        <v>1422</v>
      </c>
      <c r="B333">
        <v>2022</v>
      </c>
      <c r="C333" t="s">
        <v>1423</v>
      </c>
      <c r="D333" t="s">
        <v>1424</v>
      </c>
      <c r="E333" t="b">
        <v>1</v>
      </c>
      <c r="F333" t="s">
        <v>1425</v>
      </c>
      <c r="G333" t="s">
        <v>223</v>
      </c>
      <c r="H333">
        <v>0.9</v>
      </c>
      <c r="I333" t="s">
        <v>160</v>
      </c>
      <c r="J333" t="s">
        <v>725</v>
      </c>
      <c r="K333" t="b">
        <v>1</v>
      </c>
    </row>
    <row r="334" spans="1:11" ht="409.5" hidden="1" x14ac:dyDescent="0.35">
      <c r="A334" t="s">
        <v>1426</v>
      </c>
      <c r="B334">
        <v>2022</v>
      </c>
      <c r="C334" t="s">
        <v>1427</v>
      </c>
      <c r="D334" s="1" t="s">
        <v>1428</v>
      </c>
      <c r="E334" t="b">
        <v>1</v>
      </c>
      <c r="F334" t="s">
        <v>1429</v>
      </c>
      <c r="G334" t="s">
        <v>223</v>
      </c>
      <c r="H334">
        <v>1</v>
      </c>
      <c r="I334" t="s">
        <v>160</v>
      </c>
      <c r="J334" t="s">
        <v>721</v>
      </c>
      <c r="K334" t="b">
        <v>1</v>
      </c>
    </row>
    <row r="335" spans="1:11" hidden="1" x14ac:dyDescent="0.35">
      <c r="A335" t="s">
        <v>1430</v>
      </c>
      <c r="B335">
        <v>2022</v>
      </c>
      <c r="C335" t="s">
        <v>1427</v>
      </c>
      <c r="D335" t="s">
        <v>549</v>
      </c>
      <c r="E335" t="b">
        <v>1</v>
      </c>
      <c r="F335" t="s">
        <v>250</v>
      </c>
      <c r="G335" t="s">
        <v>238</v>
      </c>
      <c r="H335">
        <v>0.5</v>
      </c>
      <c r="I335" s="5" t="s">
        <v>160</v>
      </c>
      <c r="J335" s="5"/>
      <c r="K335" t="b">
        <v>1</v>
      </c>
    </row>
    <row r="336" spans="1:11" hidden="1" x14ac:dyDescent="0.35">
      <c r="A336" t="s">
        <v>1431</v>
      </c>
      <c r="B336">
        <v>2022</v>
      </c>
      <c r="C336" t="s">
        <v>1432</v>
      </c>
      <c r="D336" t="s">
        <v>1433</v>
      </c>
      <c r="E336" t="b">
        <v>1</v>
      </c>
      <c r="F336" t="s">
        <v>1434</v>
      </c>
      <c r="G336" t="s">
        <v>223</v>
      </c>
      <c r="H336">
        <v>1</v>
      </c>
      <c r="I336" t="s">
        <v>160</v>
      </c>
      <c r="J336" t="s">
        <v>725</v>
      </c>
      <c r="K336" t="b">
        <v>1</v>
      </c>
    </row>
    <row r="337" spans="1:11" ht="409.5" hidden="1" x14ac:dyDescent="0.35">
      <c r="A337" t="s">
        <v>1435</v>
      </c>
      <c r="B337">
        <v>2022</v>
      </c>
      <c r="C337" t="s">
        <v>1436</v>
      </c>
      <c r="D337" s="1" t="s">
        <v>1437</v>
      </c>
      <c r="E337" t="b">
        <v>1</v>
      </c>
      <c r="F337" t="s">
        <v>1438</v>
      </c>
      <c r="G337" t="s">
        <v>223</v>
      </c>
      <c r="H337">
        <v>1</v>
      </c>
      <c r="I337" t="s">
        <v>160</v>
      </c>
      <c r="J337" t="s">
        <v>223</v>
      </c>
      <c r="K337" t="b">
        <v>1</v>
      </c>
    </row>
    <row r="338" spans="1:11" hidden="1" x14ac:dyDescent="0.35">
      <c r="A338" t="s">
        <v>1439</v>
      </c>
      <c r="B338">
        <v>2022</v>
      </c>
      <c r="C338" t="s">
        <v>1440</v>
      </c>
      <c r="D338" t="s">
        <v>1441</v>
      </c>
      <c r="E338" t="b">
        <v>1</v>
      </c>
      <c r="F338" t="s">
        <v>253</v>
      </c>
      <c r="G338" t="s">
        <v>223</v>
      </c>
      <c r="H338">
        <v>1</v>
      </c>
      <c r="I338" t="s">
        <v>160</v>
      </c>
      <c r="J338" t="s">
        <v>223</v>
      </c>
      <c r="K338" t="b">
        <v>1</v>
      </c>
    </row>
    <row r="339" spans="1:11" hidden="1" x14ac:dyDescent="0.35">
      <c r="A339" t="s">
        <v>1442</v>
      </c>
      <c r="B339">
        <v>2022</v>
      </c>
      <c r="C339" t="s">
        <v>1443</v>
      </c>
      <c r="D339" t="s">
        <v>1444</v>
      </c>
      <c r="E339" t="b">
        <v>1</v>
      </c>
      <c r="F339" t="s">
        <v>1445</v>
      </c>
      <c r="G339" t="s">
        <v>223</v>
      </c>
      <c r="H339">
        <v>1</v>
      </c>
      <c r="I339" t="s">
        <v>160</v>
      </c>
      <c r="J339" t="s">
        <v>223</v>
      </c>
      <c r="K339" t="b">
        <v>1</v>
      </c>
    </row>
    <row r="340" spans="1:11" hidden="1" x14ac:dyDescent="0.35">
      <c r="A340" t="s">
        <v>1446</v>
      </c>
      <c r="B340">
        <v>2022</v>
      </c>
      <c r="C340" t="s">
        <v>1447</v>
      </c>
      <c r="D340" t="s">
        <v>1448</v>
      </c>
      <c r="E340" t="b">
        <v>1</v>
      </c>
      <c r="F340" t="s">
        <v>1449</v>
      </c>
      <c r="G340" t="s">
        <v>223</v>
      </c>
      <c r="H340">
        <v>1</v>
      </c>
      <c r="I340" t="s">
        <v>160</v>
      </c>
      <c r="J340" t="s">
        <v>735</v>
      </c>
      <c r="K340" t="b">
        <v>1</v>
      </c>
    </row>
    <row r="341" spans="1:11" hidden="1" x14ac:dyDescent="0.35">
      <c r="A341" t="s">
        <v>1450</v>
      </c>
      <c r="B341">
        <v>2022</v>
      </c>
      <c r="C341" t="s">
        <v>1451</v>
      </c>
      <c r="D341" t="s">
        <v>1452</v>
      </c>
      <c r="E341" t="b">
        <v>1</v>
      </c>
      <c r="F341" t="s">
        <v>1453</v>
      </c>
      <c r="G341" t="s">
        <v>223</v>
      </c>
      <c r="H341">
        <v>1</v>
      </c>
      <c r="I341" t="s">
        <v>160</v>
      </c>
      <c r="J341" t="s">
        <v>223</v>
      </c>
      <c r="K341" t="b">
        <v>1</v>
      </c>
    </row>
    <row r="342" spans="1:11" hidden="1" x14ac:dyDescent="0.35">
      <c r="A342" t="s">
        <v>1454</v>
      </c>
      <c r="B342">
        <v>2022</v>
      </c>
      <c r="C342" t="s">
        <v>1455</v>
      </c>
      <c r="D342" t="s">
        <v>1456</v>
      </c>
      <c r="E342" t="b">
        <v>1</v>
      </c>
      <c r="F342" t="s">
        <v>1457</v>
      </c>
      <c r="G342" t="s">
        <v>223</v>
      </c>
      <c r="H342">
        <v>1</v>
      </c>
      <c r="I342" t="s">
        <v>160</v>
      </c>
      <c r="J342" t="s">
        <v>223</v>
      </c>
      <c r="K342" t="b">
        <v>1</v>
      </c>
    </row>
    <row r="343" spans="1:11" hidden="1" x14ac:dyDescent="0.35">
      <c r="A343" t="s">
        <v>1458</v>
      </c>
      <c r="B343">
        <v>2022</v>
      </c>
      <c r="C343" t="s">
        <v>1459</v>
      </c>
      <c r="D343" t="s">
        <v>1460</v>
      </c>
      <c r="E343" t="b">
        <v>1</v>
      </c>
      <c r="F343" t="s">
        <v>745</v>
      </c>
      <c r="G343" t="s">
        <v>223</v>
      </c>
      <c r="H343">
        <v>1</v>
      </c>
      <c r="I343" t="s">
        <v>160</v>
      </c>
      <c r="J343" t="s">
        <v>223</v>
      </c>
      <c r="K343" t="b">
        <v>1</v>
      </c>
    </row>
    <row r="344" spans="1:11" x14ac:dyDescent="0.35">
      <c r="A344" t="s">
        <v>1461</v>
      </c>
      <c r="B344">
        <v>2022</v>
      </c>
      <c r="C344" t="s">
        <v>1462</v>
      </c>
      <c r="D344" t="s">
        <v>1463</v>
      </c>
      <c r="E344" t="b">
        <v>1</v>
      </c>
      <c r="F344" t="s">
        <v>1464</v>
      </c>
      <c r="G344" t="s">
        <v>223</v>
      </c>
      <c r="H344">
        <v>1</v>
      </c>
      <c r="I344" t="s">
        <v>221</v>
      </c>
      <c r="J344" t="s">
        <v>231</v>
      </c>
      <c r="K344" t="b">
        <v>0</v>
      </c>
    </row>
    <row r="345" spans="1:11" hidden="1" x14ac:dyDescent="0.35">
      <c r="A345" t="s">
        <v>1465</v>
      </c>
      <c r="B345">
        <v>2022</v>
      </c>
      <c r="C345" t="s">
        <v>1466</v>
      </c>
      <c r="D345" t="s">
        <v>1467</v>
      </c>
      <c r="E345" t="b">
        <v>1</v>
      </c>
      <c r="F345" t="s">
        <v>1468</v>
      </c>
      <c r="G345" t="s">
        <v>223</v>
      </c>
      <c r="H345">
        <v>1</v>
      </c>
      <c r="I345" t="s">
        <v>160</v>
      </c>
      <c r="J345" t="s">
        <v>736</v>
      </c>
      <c r="K345" t="b">
        <v>1</v>
      </c>
    </row>
    <row r="346" spans="1:11" hidden="1" x14ac:dyDescent="0.35">
      <c r="A346" t="s">
        <v>1469</v>
      </c>
      <c r="B346">
        <v>2022</v>
      </c>
      <c r="C346" t="s">
        <v>1470</v>
      </c>
      <c r="D346" t="s">
        <v>1471</v>
      </c>
      <c r="E346" t="b">
        <v>0</v>
      </c>
      <c r="F346" t="s">
        <v>1472</v>
      </c>
      <c r="G346" t="s">
        <v>222</v>
      </c>
      <c r="H346">
        <v>1</v>
      </c>
      <c r="I346" t="s">
        <v>221</v>
      </c>
      <c r="J346" t="s">
        <v>1648</v>
      </c>
      <c r="K346" t="b">
        <v>0</v>
      </c>
    </row>
    <row r="347" spans="1:11" hidden="1" x14ac:dyDescent="0.35">
      <c r="A347" t="s">
        <v>1473</v>
      </c>
      <c r="B347">
        <v>2022</v>
      </c>
      <c r="C347" t="s">
        <v>1474</v>
      </c>
      <c r="D347" t="s">
        <v>1475</v>
      </c>
      <c r="E347" t="b">
        <v>1</v>
      </c>
      <c r="F347" t="s">
        <v>250</v>
      </c>
      <c r="G347" t="s">
        <v>238</v>
      </c>
      <c r="H347">
        <v>0.5</v>
      </c>
      <c r="I347" t="s">
        <v>221</v>
      </c>
      <c r="J347" t="s">
        <v>1649</v>
      </c>
      <c r="K347" t="b">
        <v>0</v>
      </c>
    </row>
    <row r="348" spans="1:11" hidden="1" x14ac:dyDescent="0.35">
      <c r="A348" t="s">
        <v>1476</v>
      </c>
      <c r="B348">
        <v>2022</v>
      </c>
      <c r="C348" t="s">
        <v>1477</v>
      </c>
      <c r="D348" t="s">
        <v>549</v>
      </c>
      <c r="E348" t="b">
        <v>1</v>
      </c>
      <c r="F348" t="s">
        <v>250</v>
      </c>
      <c r="G348" t="s">
        <v>238</v>
      </c>
      <c r="H348">
        <v>0.5</v>
      </c>
      <c r="I348" t="s">
        <v>160</v>
      </c>
      <c r="J348" t="s">
        <v>1650</v>
      </c>
      <c r="K348" t="b">
        <v>1</v>
      </c>
    </row>
    <row r="349" spans="1:11" hidden="1" x14ac:dyDescent="0.35">
      <c r="A349" t="s">
        <v>1478</v>
      </c>
      <c r="B349">
        <v>2022</v>
      </c>
      <c r="C349" t="s">
        <v>1479</v>
      </c>
      <c r="D349" t="s">
        <v>1480</v>
      </c>
      <c r="E349" t="b">
        <v>0</v>
      </c>
      <c r="F349" t="s">
        <v>1481</v>
      </c>
      <c r="G349" t="s">
        <v>222</v>
      </c>
      <c r="H349">
        <v>0.9</v>
      </c>
      <c r="I349" t="s">
        <v>221</v>
      </c>
      <c r="J349" t="s">
        <v>231</v>
      </c>
      <c r="K349" t="b">
        <v>0</v>
      </c>
    </row>
    <row r="350" spans="1:11" hidden="1" x14ac:dyDescent="0.35">
      <c r="A350" t="s">
        <v>1482</v>
      </c>
      <c r="B350">
        <v>2022</v>
      </c>
      <c r="C350" t="s">
        <v>1483</v>
      </c>
      <c r="D350" t="s">
        <v>1484</v>
      </c>
      <c r="E350" t="b">
        <v>0</v>
      </c>
      <c r="F350" t="s">
        <v>1485</v>
      </c>
      <c r="G350" t="s">
        <v>222</v>
      </c>
      <c r="H350">
        <v>1</v>
      </c>
      <c r="I350" t="s">
        <v>221</v>
      </c>
      <c r="J350" t="s">
        <v>231</v>
      </c>
      <c r="K350" t="b">
        <v>0</v>
      </c>
    </row>
    <row r="351" spans="1:11" hidden="1" x14ac:dyDescent="0.35">
      <c r="A351" t="s">
        <v>1486</v>
      </c>
      <c r="B351">
        <v>2022</v>
      </c>
      <c r="C351" t="s">
        <v>1487</v>
      </c>
      <c r="D351" t="s">
        <v>1488</v>
      </c>
      <c r="E351" t="b">
        <v>1</v>
      </c>
      <c r="F351" t="s">
        <v>1489</v>
      </c>
      <c r="G351" t="s">
        <v>223</v>
      </c>
      <c r="H351">
        <v>1</v>
      </c>
      <c r="I351" t="s">
        <v>160</v>
      </c>
      <c r="J351" t="s">
        <v>224</v>
      </c>
      <c r="K351" t="b">
        <v>1</v>
      </c>
    </row>
    <row r="352" spans="1:11" hidden="1" x14ac:dyDescent="0.35">
      <c r="A352" t="s">
        <v>1490</v>
      </c>
      <c r="B352">
        <v>2022</v>
      </c>
      <c r="C352" t="s">
        <v>1491</v>
      </c>
      <c r="D352" t="s">
        <v>1492</v>
      </c>
      <c r="E352" t="b">
        <v>1</v>
      </c>
      <c r="F352" t="s">
        <v>242</v>
      </c>
      <c r="G352" t="s">
        <v>223</v>
      </c>
      <c r="H352">
        <v>1</v>
      </c>
      <c r="I352" t="s">
        <v>160</v>
      </c>
      <c r="J352" t="s">
        <v>224</v>
      </c>
      <c r="K352" t="b">
        <v>1</v>
      </c>
    </row>
    <row r="353" spans="1:11" hidden="1" x14ac:dyDescent="0.35">
      <c r="A353" t="s">
        <v>1493</v>
      </c>
      <c r="B353">
        <v>2022</v>
      </c>
      <c r="C353" t="s">
        <v>1494</v>
      </c>
      <c r="D353" t="s">
        <v>1495</v>
      </c>
      <c r="E353" t="b">
        <v>1</v>
      </c>
      <c r="F353" t="s">
        <v>1496</v>
      </c>
      <c r="G353" t="s">
        <v>223</v>
      </c>
      <c r="H353">
        <v>1</v>
      </c>
      <c r="I353" t="s">
        <v>160</v>
      </c>
      <c r="J353" t="s">
        <v>223</v>
      </c>
      <c r="K353" t="b">
        <v>1</v>
      </c>
    </row>
    <row r="354" spans="1:11" hidden="1" x14ac:dyDescent="0.35">
      <c r="A354" t="s">
        <v>1497</v>
      </c>
      <c r="B354">
        <v>2022</v>
      </c>
      <c r="C354" t="s">
        <v>1498</v>
      </c>
      <c r="E354" t="b">
        <v>1</v>
      </c>
      <c r="F354" t="s">
        <v>1499</v>
      </c>
      <c r="G354" t="s">
        <v>223</v>
      </c>
      <c r="H354">
        <v>0.9</v>
      </c>
      <c r="I354" s="5" t="s">
        <v>160</v>
      </c>
      <c r="J354" s="5"/>
      <c r="K354" t="b">
        <v>1</v>
      </c>
    </row>
    <row r="355" spans="1:11" hidden="1" x14ac:dyDescent="0.35">
      <c r="A355" t="s">
        <v>1500</v>
      </c>
      <c r="B355">
        <v>2022</v>
      </c>
      <c r="C355" t="s">
        <v>1501</v>
      </c>
      <c r="D355" t="s">
        <v>1502</v>
      </c>
      <c r="E355" t="b">
        <v>1</v>
      </c>
      <c r="F355" t="s">
        <v>1503</v>
      </c>
      <c r="G355" t="s">
        <v>223</v>
      </c>
      <c r="H355">
        <v>1</v>
      </c>
      <c r="I355" t="s">
        <v>160</v>
      </c>
      <c r="J355" t="s">
        <v>727</v>
      </c>
      <c r="K355" t="b">
        <v>1</v>
      </c>
    </row>
    <row r="356" spans="1:11" hidden="1" x14ac:dyDescent="0.35">
      <c r="A356" t="s">
        <v>1504</v>
      </c>
      <c r="B356">
        <v>2022</v>
      </c>
      <c r="C356" t="s">
        <v>1501</v>
      </c>
      <c r="D356" t="s">
        <v>1502</v>
      </c>
      <c r="E356" t="b">
        <v>1</v>
      </c>
      <c r="F356" t="s">
        <v>1505</v>
      </c>
      <c r="G356" t="s">
        <v>223</v>
      </c>
      <c r="H356">
        <v>1</v>
      </c>
      <c r="I356" s="5" t="s">
        <v>160</v>
      </c>
      <c r="J356" s="5"/>
      <c r="K356" t="b">
        <v>1</v>
      </c>
    </row>
    <row r="357" spans="1:11" hidden="1" x14ac:dyDescent="0.35">
      <c r="A357" t="s">
        <v>1506</v>
      </c>
      <c r="B357">
        <v>2022</v>
      </c>
      <c r="C357" t="s">
        <v>1507</v>
      </c>
      <c r="D357" t="s">
        <v>1508</v>
      </c>
      <c r="E357" t="b">
        <v>1</v>
      </c>
      <c r="F357" t="s">
        <v>1509</v>
      </c>
      <c r="G357" t="s">
        <v>223</v>
      </c>
      <c r="H357">
        <v>1</v>
      </c>
      <c r="I357" t="s">
        <v>160</v>
      </c>
      <c r="J357" t="s">
        <v>223</v>
      </c>
      <c r="K357" t="b">
        <v>1</v>
      </c>
    </row>
    <row r="358" spans="1:11" hidden="1" x14ac:dyDescent="0.35">
      <c r="A358" t="s">
        <v>1510</v>
      </c>
      <c r="B358">
        <v>2022</v>
      </c>
      <c r="C358" t="s">
        <v>1511</v>
      </c>
      <c r="D358" t="s">
        <v>1512</v>
      </c>
      <c r="E358" t="b">
        <v>1</v>
      </c>
      <c r="F358" t="s">
        <v>1513</v>
      </c>
      <c r="G358" t="s">
        <v>223</v>
      </c>
      <c r="H358">
        <v>0.9</v>
      </c>
      <c r="I358" t="s">
        <v>160</v>
      </c>
      <c r="J358" t="s">
        <v>224</v>
      </c>
      <c r="K358" t="b">
        <v>1</v>
      </c>
    </row>
    <row r="359" spans="1:11" hidden="1" x14ac:dyDescent="0.35">
      <c r="A359" t="s">
        <v>1514</v>
      </c>
      <c r="B359">
        <v>2022</v>
      </c>
      <c r="C359" t="s">
        <v>1515</v>
      </c>
      <c r="D359" t="s">
        <v>1516</v>
      </c>
      <c r="E359" t="b">
        <v>0</v>
      </c>
      <c r="F359" t="s">
        <v>1517</v>
      </c>
      <c r="G359" t="s">
        <v>222</v>
      </c>
      <c r="H359">
        <v>1</v>
      </c>
      <c r="I359" t="s">
        <v>221</v>
      </c>
      <c r="J359" t="s">
        <v>231</v>
      </c>
      <c r="K359" t="b">
        <v>0</v>
      </c>
    </row>
  </sheetData>
  <autoFilter ref="A1:K359" xr:uid="{1235A4A9-643F-403F-8F39-91437DA8F632}">
    <filterColumn colId="4">
      <filters>
        <filter val="TRUE"/>
      </filters>
    </filterColumn>
    <filterColumn colId="5">
      <filters>
        <filter val="Mentions National Institute of Health and Care Excellence, UK setting."/>
        <filter val="Mentions Scottish Intercollegiate Guidelines Network, suggesting UK setting."/>
        <filter val="Mentions UK in context of undiagnosed patients."/>
        <filter val="Mentions UK Recovery Trial, suggesting UK relevance"/>
        <filter val="Study conducted in Cardiff, Wales, UK."/>
        <filter val="Study coordinated from London School of Hygiene &amp; Tropical Medicine"/>
      </filters>
    </filterColumn>
    <filterColumn colId="10">
      <filters>
        <filter val="FALSE"/>
      </filters>
    </filterColumn>
  </autoFilter>
  <conditionalFormatting sqref="J122:J177 J179:J180 J182:J194 J196:J200 J202:J265 J267:J275 J277:J304 J306:J310 J312:J334 J336:J353 J355 J357:J359 J49:J80 J82:J120 I1:I1048573">
    <cfRule type="containsText" dxfId="1" priority="2" operator="containsText" text="Include">
      <formula>NOT(ISERROR(SEARCH("Include",I1)))</formula>
    </cfRule>
  </conditionalFormatting>
  <conditionalFormatting sqref="J122:J177 J179:J180 J182:J194 J196:J200 J202:J265 J267:J275 J277:J304 J306:J310 J312:J334 J336:J353 J355 J357:J359 J49:J80 J82:J120 I1:I1048573">
    <cfRule type="containsText" dxfId="0" priority="1" operator="containsText" text="Exclude">
      <formula>NOT(ISERROR(SEARCH("Exclude",I1)))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16"/>
  <sheetViews>
    <sheetView topLeftCell="A7" workbookViewId="0">
      <selection activeCell="A18" sqref="A18"/>
    </sheetView>
  </sheetViews>
  <sheetFormatPr defaultRowHeight="14.5" x14ac:dyDescent="0.35"/>
  <cols>
    <col min="1" max="1" width="14.453125" bestFit="1" customWidth="1"/>
  </cols>
  <sheetData>
    <row r="1" spans="1:3" x14ac:dyDescent="0.35">
      <c r="A1" t="s">
        <v>213</v>
      </c>
    </row>
    <row r="2" spans="1:3" x14ac:dyDescent="0.35">
      <c r="B2" t="s">
        <v>211</v>
      </c>
      <c r="C2" t="s">
        <v>212</v>
      </c>
    </row>
    <row r="3" spans="1:3" x14ac:dyDescent="0.35">
      <c r="A3" t="s">
        <v>209</v>
      </c>
      <c r="B3">
        <f>COUNTIFS('Merged results table'!$E:$E,TRUE,'Merged results table'!$K:$K,TRUE)</f>
        <v>241</v>
      </c>
      <c r="C3">
        <f>COUNTIFS('Merged results table'!$E:$E,TRUE,'Merged results table'!$K:$K,FALSE)</f>
        <v>54</v>
      </c>
    </row>
    <row r="4" spans="1:3" x14ac:dyDescent="0.35">
      <c r="A4" t="s">
        <v>210</v>
      </c>
      <c r="B4">
        <f>COUNTIFS('Merged results table'!$E:$E,FALSE,'Merged results table'!$K:$K,TRUE)</f>
        <v>6</v>
      </c>
      <c r="C4">
        <f>COUNTIFS('Merged results table'!$E:$E,FALSE,'Merged results table'!$K:$K,FALSE)</f>
        <v>57</v>
      </c>
    </row>
    <row r="6" spans="1:3" x14ac:dyDescent="0.35">
      <c r="A6" t="s">
        <v>216</v>
      </c>
      <c r="B6">
        <f>B3</f>
        <v>241</v>
      </c>
    </row>
    <row r="7" spans="1:3" x14ac:dyDescent="0.35">
      <c r="A7" t="s">
        <v>217</v>
      </c>
      <c r="B7">
        <f>C4</f>
        <v>57</v>
      </c>
    </row>
    <row r="8" spans="1:3" x14ac:dyDescent="0.35">
      <c r="A8" t="s">
        <v>218</v>
      </c>
      <c r="B8">
        <f>C3</f>
        <v>54</v>
      </c>
    </row>
    <row r="9" spans="1:3" x14ac:dyDescent="0.35">
      <c r="A9" t="s">
        <v>219</v>
      </c>
      <c r="B9">
        <f>B4</f>
        <v>6</v>
      </c>
    </row>
    <row r="11" spans="1:3" x14ac:dyDescent="0.35">
      <c r="A11" t="s">
        <v>214</v>
      </c>
      <c r="B11">
        <f>(B3+C4)/(B3+B4+C3+C4)</f>
        <v>0.83240223463687146</v>
      </c>
    </row>
    <row r="12" spans="1:3" x14ac:dyDescent="0.35">
      <c r="A12" t="s">
        <v>215</v>
      </c>
      <c r="B12">
        <f>B3/(B3+B4)</f>
        <v>0.97570850202429149</v>
      </c>
    </row>
    <row r="14" spans="1:3" x14ac:dyDescent="0.35">
      <c r="A14" t="s">
        <v>220</v>
      </c>
    </row>
    <row r="15" spans="1:3" x14ac:dyDescent="0.35">
      <c r="A15" t="s">
        <v>1651</v>
      </c>
    </row>
    <row r="16" spans="1:3" x14ac:dyDescent="0.35">
      <c r="A16" t="s">
        <v>1652</v>
      </c>
    </row>
  </sheetData>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Stage_2_API</vt:lpstr>
      <vt:lpstr>ID_Lookup</vt:lpstr>
      <vt:lpstr>Stage_2_FF</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2025-09-10T12:52:33Z</dcterms:modified>
</cp:coreProperties>
</file>