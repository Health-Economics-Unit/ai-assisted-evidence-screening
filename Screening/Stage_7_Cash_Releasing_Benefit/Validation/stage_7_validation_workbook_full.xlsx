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7_Cash_Releasing_Benefit/validation_data/"/>
    </mc:Choice>
  </mc:AlternateContent>
  <xr:revisionPtr revIDLastSave="63" documentId="8_{EF267FAC-E7CE-4906-8934-5AE241006237}" xr6:coauthVersionLast="47" xr6:coauthVersionMax="47" xr10:uidLastSave="{F5DD239D-BC2B-49F7-9BE1-B52A337BACF5}"/>
  <bookViews>
    <workbookView xWindow="-110" yWindow="-110" windowWidth="19420" windowHeight="10300" activeTab="5" xr2:uid="{66513E08-89B8-4D61-A86D-819C01466699}"/>
  </bookViews>
  <sheets>
    <sheet name="Stage_7_API" sheetId="1" r:id="rId1"/>
    <sheet name="ID_Lookup" sheetId="5" r:id="rId2"/>
    <sheet name="Stage_7_AA" sheetId="7" r:id="rId3"/>
    <sheet name="Stage_7_OC" sheetId="6" r:id="rId4"/>
    <sheet name="Merged results table" sheetId="3" r:id="rId5"/>
    <sheet name="Evaluating Results" sheetId="4" r:id="rId6"/>
  </sheets>
  <definedNames>
    <definedName name="_xlnm._FilterDatabase" localSheetId="4" hidden="1">'Merged results table'!$A$1:$N$72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2" i="3" l="1"/>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N2" i="3"/>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K72" i="3"/>
  <c r="K71" i="3"/>
  <c r="K70" i="3"/>
  <c r="K69" i="3"/>
  <c r="K68" i="3"/>
  <c r="K67" i="3"/>
  <c r="K66" i="3"/>
  <c r="K65" i="3"/>
  <c r="K64" i="3"/>
  <c r="K63" i="3"/>
  <c r="K62" i="3"/>
  <c r="K61" i="3"/>
  <c r="K60" i="3"/>
  <c r="K59" i="3"/>
  <c r="K57" i="3"/>
  <c r="K56" i="3"/>
  <c r="K55" i="3"/>
  <c r="K54" i="3"/>
  <c r="K53" i="3"/>
  <c r="K52" i="3"/>
  <c r="K51" i="3"/>
  <c r="K49" i="3"/>
  <c r="K48" i="3"/>
  <c r="K47" i="3"/>
  <c r="K46" i="3"/>
  <c r="K45" i="3"/>
  <c r="K44" i="3"/>
  <c r="K43" i="3"/>
  <c r="K42" i="3"/>
  <c r="K41" i="3"/>
  <c r="K40" i="3"/>
  <c r="K38" i="3"/>
  <c r="K37" i="3"/>
  <c r="K36" i="3"/>
  <c r="K35" i="3"/>
  <c r="K34" i="3"/>
  <c r="K33" i="3"/>
  <c r="K32" i="3"/>
  <c r="K31" i="3"/>
  <c r="K30" i="3"/>
  <c r="K29" i="3"/>
  <c r="K28" i="3"/>
  <c r="K27" i="3"/>
  <c r="K26" i="3"/>
  <c r="K25" i="3"/>
  <c r="K24" i="3"/>
  <c r="K21" i="3"/>
  <c r="K20" i="3"/>
  <c r="K19" i="3"/>
  <c r="K18" i="3"/>
  <c r="K17" i="3"/>
  <c r="K16" i="3"/>
  <c r="K14" i="3"/>
  <c r="K13" i="3"/>
  <c r="K12" i="3"/>
  <c r="K11" i="3"/>
  <c r="K10" i="3"/>
  <c r="K9" i="3"/>
  <c r="K8" i="3"/>
  <c r="K7" i="3"/>
  <c r="K6" i="3"/>
  <c r="K5" i="3"/>
  <c r="K4" i="3"/>
  <c r="K3" i="3"/>
  <c r="K2" i="3"/>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2" i="6"/>
  <c r="K4" i="4" l="1"/>
  <c r="J7" i="4" s="1"/>
  <c r="F3" i="4"/>
  <c r="F6" i="4" s="1"/>
  <c r="G4" i="4"/>
  <c r="F7" i="4" s="1"/>
  <c r="J4" i="4"/>
  <c r="J9" i="4" s="1"/>
  <c r="G3" i="4"/>
  <c r="F8" i="4" s="1"/>
  <c r="C3" i="4"/>
  <c r="B8" i="4" s="1"/>
  <c r="J3" i="4"/>
  <c r="F4" i="4"/>
  <c r="F9" i="4" s="1"/>
  <c r="B3" i="4"/>
  <c r="B4" i="4"/>
  <c r="B9" i="4" s="1"/>
  <c r="K3" i="4"/>
  <c r="J8" i="4" s="1"/>
  <c r="C4" i="4"/>
  <c r="B7" i="4" s="1"/>
  <c r="J12" i="4" l="1"/>
  <c r="F11" i="4"/>
  <c r="F12" i="4"/>
  <c r="J6" i="4"/>
  <c r="J11" i="4"/>
  <c r="B12" i="4"/>
  <c r="B6" i="4"/>
  <c r="B11" i="4"/>
</calcChain>
</file>

<file path=xl/sharedStrings.xml><?xml version="1.0" encoding="utf-8"?>
<sst xmlns="http://schemas.openxmlformats.org/spreadsheetml/2006/main" count="1849" uniqueCount="351">
  <si>
    <t>id</t>
  </si>
  <si>
    <t>Year</t>
  </si>
  <si>
    <t>Title</t>
  </si>
  <si>
    <t>Abstract</t>
  </si>
  <si>
    <t>J503</t>
  </si>
  <si>
    <t>Fluorides for preventing early tooth decay (demineralised lesions) during fixed brace treatment</t>
  </si>
  <si>
    <t>J505</t>
  </si>
  <si>
    <t>Fetal fibronectin testing for reducing the risk of preterm birth</t>
  </si>
  <si>
    <t>J506</t>
  </si>
  <si>
    <t>Cervical assessment by ultrasound for preventing preterm delivery</t>
  </si>
  <si>
    <t>J509</t>
  </si>
  <si>
    <t>Burden of varicella complications in secondary care, England, 2004 to 2017</t>
  </si>
  <si>
    <t>J515</t>
  </si>
  <si>
    <t>What evidence is available to support the development of a regional specialist neurorehabilitation outreach service</t>
  </si>
  <si>
    <t>J523</t>
  </si>
  <si>
    <t>J524</t>
  </si>
  <si>
    <t>J535</t>
  </si>
  <si>
    <t>Interventions for prodromal stage of psychosis</t>
  </si>
  <si>
    <t>J537</t>
  </si>
  <si>
    <t>Screening Women for Abdominal Aortic Aneurysms: Clinical and Economic Effectiveness Results from a Discrete Event Simulation Model</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</si>
  <si>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</si>
  <si>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</si>
  <si>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</si>
  <si>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</si>
  <si>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</si>
  <si>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</si>
  <si>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</si>
  <si>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</si>
  <si>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</si>
  <si>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</si>
  <si>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</si>
  <si>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</si>
  <si>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API_Include</t>
  </si>
  <si>
    <t>API_Exclude</t>
  </si>
  <si>
    <t>Confusion Matrix</t>
  </si>
  <si>
    <t>Accuracy</t>
  </si>
  <si>
    <t>Precision</t>
  </si>
  <si>
    <t>True Positives</t>
  </si>
  <si>
    <t>True Negatives</t>
  </si>
  <si>
    <t>False Positives</t>
  </si>
  <si>
    <t>False Negatives</t>
  </si>
  <si>
    <t>Notes</t>
  </si>
  <si>
    <t>False positive (FF=Exclude, API=Include)</t>
  </si>
  <si>
    <t>J547 – Individualised screening for diabetic retinopathy (ISDR RCT)</t>
  </si>
  <si>
    <r>
      <t>Evidence:</t>
    </r>
    <r>
      <rPr>
        <sz val="11"/>
        <color theme="1"/>
        <rFont val="Aptos Narrow"/>
        <family val="2"/>
        <scheme val="minor"/>
      </rPr>
      <t xml:space="preserve"> “</t>
    </r>
    <r>
      <rPr>
        <i/>
        <sz val="11"/>
        <color theme="1"/>
        <rFont val="Aptos Narrow"/>
        <family val="2"/>
        <scheme val="minor"/>
      </rPr>
      <t>…</t>
    </r>
    <r>
      <rPr>
        <b/>
        <i/>
        <sz val="11"/>
        <color theme="1"/>
        <rFont val="Aptos Narrow"/>
        <family val="2"/>
        <scheme val="minor"/>
      </rPr>
      <t>variable-interval risk-based screening</t>
    </r>
    <r>
      <rPr>
        <i/>
        <sz val="11"/>
        <color theme="1"/>
        <rFont val="Aptos Narrow"/>
        <family val="2"/>
        <scheme val="minor"/>
      </rPr>
      <t xml:space="preserve"> vs </t>
    </r>
    <r>
      <rPr>
        <b/>
        <i/>
        <sz val="11"/>
        <color theme="1"/>
        <rFont val="Aptos Narrow"/>
        <family val="2"/>
        <scheme val="minor"/>
      </rPr>
      <t>annual screening</t>
    </r>
    <r>
      <rPr>
        <i/>
        <sz val="11"/>
        <color theme="1"/>
        <rFont val="Aptos Narrow"/>
        <family val="2"/>
        <scheme val="minor"/>
      </rPr>
      <t xml:space="preserve">… </t>
    </r>
    <r>
      <rPr>
        <b/>
        <i/>
        <sz val="11"/>
        <color theme="1"/>
        <rFont val="Aptos Narrow"/>
        <family val="2"/>
        <scheme val="minor"/>
      </rPr>
      <t>39.3% reduction in appointments</t>
    </r>
    <r>
      <rPr>
        <i/>
        <sz val="11"/>
        <color theme="1"/>
        <rFont val="Aptos Narrow"/>
        <family val="2"/>
        <scheme val="minor"/>
      </rPr>
      <t xml:space="preserve">, </t>
    </r>
    <r>
      <rPr>
        <b/>
        <i/>
        <sz val="11"/>
        <color theme="1"/>
        <rFont val="Aptos Narrow"/>
        <family val="2"/>
        <scheme val="minor"/>
      </rPr>
      <t>incremental cost saving</t>
    </r>
    <r>
      <rPr>
        <i/>
        <sz val="11"/>
        <color theme="1"/>
        <rFont val="Aptos Narrow"/>
        <family val="2"/>
        <scheme val="minor"/>
      </rPr>
      <t>, non-inferior safety.</t>
    </r>
    <r>
      <rPr>
        <sz val="11"/>
        <color theme="1"/>
        <rFont val="Aptos Narrow"/>
        <family val="2"/>
        <scheme val="minor"/>
      </rPr>
      <t>”</t>
    </r>
  </si>
  <si>
    <r>
      <t>What API saw (to include):</t>
    </r>
    <r>
      <rPr>
        <sz val="11"/>
        <color theme="1"/>
        <rFont val="Aptos Narrow"/>
        <family val="2"/>
        <scheme val="minor"/>
      </rPr>
      <t xml:space="preserve"> Clear </t>
    </r>
    <r>
      <rPr>
        <b/>
        <sz val="11"/>
        <color theme="1"/>
        <rFont val="Aptos Narrow"/>
        <family val="2"/>
        <scheme val="minor"/>
      </rPr>
      <t>service redesign</t>
    </r>
    <r>
      <rPr>
        <sz val="11"/>
        <color theme="1"/>
        <rFont val="Aptos Narrow"/>
        <family val="2"/>
        <scheme val="minor"/>
      </rPr>
      <t xml:space="preserve"> (risk-stratified intervals), </t>
    </r>
    <r>
      <rPr>
        <b/>
        <sz val="11"/>
        <color theme="1"/>
        <rFont val="Aptos Narrow"/>
        <family val="2"/>
        <scheme val="minor"/>
      </rPr>
      <t>resource shift</t>
    </r>
    <r>
      <rPr>
        <sz val="11"/>
        <color theme="1"/>
        <rFont val="Aptos Narrow"/>
        <family val="2"/>
        <scheme val="minor"/>
      </rPr>
      <t xml:space="preserve"> (fewer appointments), and </t>
    </r>
    <r>
      <rPr>
        <b/>
        <sz val="11"/>
        <color theme="1"/>
        <rFont val="Aptos Narrow"/>
        <family val="2"/>
        <scheme val="minor"/>
      </rPr>
      <t>NHS cost savings</t>
    </r>
    <r>
      <rPr>
        <sz val="11"/>
        <color theme="1"/>
        <rFont val="Aptos Narrow"/>
        <family val="2"/>
        <scheme val="minor"/>
      </rPr>
      <t xml:space="preserve"> → fits </t>
    </r>
    <r>
      <rPr>
        <b/>
        <sz val="11"/>
        <color theme="1"/>
        <rFont val="Aptos Narrow"/>
        <family val="2"/>
        <scheme val="minor"/>
      </rPr>
      <t>Sickness→Prevention</t>
    </r>
    <r>
      <rPr>
        <sz val="11"/>
        <color theme="1"/>
        <rFont val="Aptos Narrow"/>
        <family val="2"/>
        <scheme val="minor"/>
      </rPr>
      <t xml:space="preserve"> (proactive, risk-based) and arguably </t>
    </r>
    <r>
      <rPr>
        <b/>
        <sz val="11"/>
        <color theme="1"/>
        <rFont val="Aptos Narrow"/>
        <family val="2"/>
        <scheme val="minor"/>
      </rPr>
      <t>Analogue→Digital</t>
    </r>
    <r>
      <rPr>
        <sz val="11"/>
        <color theme="1"/>
        <rFont val="Aptos Narrow"/>
        <family val="2"/>
        <scheme val="minor"/>
      </rPr>
      <t xml:space="preserve"> (risk engine).</t>
    </r>
  </si>
  <si>
    <r>
      <t>Why Freddie excluded:</t>
    </r>
    <r>
      <rPr>
        <sz val="11"/>
        <color theme="1"/>
        <rFont val="Aptos Narrow"/>
        <family val="2"/>
        <scheme val="minor"/>
      </rPr>
      <t xml:space="preserve"> Applying a </t>
    </r>
    <r>
      <rPr>
        <b/>
        <sz val="11"/>
        <color theme="1"/>
        <rFont val="Aptos Narrow"/>
        <family val="2"/>
        <scheme val="minor"/>
      </rPr>
      <t>narrow Stage-6</t>
    </r>
    <r>
      <rPr>
        <sz val="11"/>
        <color theme="1"/>
        <rFont val="Aptos Narrow"/>
        <family val="2"/>
        <scheme val="minor"/>
      </rPr>
      <t xml:space="preserve"> definition (clinical prevention only not enough / or wanting more explicit “Three Shifts” language).</t>
    </r>
  </si>
  <si>
    <r>
      <t>Net:</t>
    </r>
    <r>
      <rPr>
        <sz val="11"/>
        <color theme="1"/>
        <rFont val="Aptos Narrow"/>
        <family val="2"/>
        <scheme val="minor"/>
      </rPr>
      <t xml:space="preserve"> This is </t>
    </r>
    <r>
      <rPr>
        <b/>
        <sz val="11"/>
        <color theme="1"/>
        <rFont val="Aptos Narrow"/>
        <family val="2"/>
        <scheme val="minor"/>
      </rPr>
      <t>borderline</t>
    </r>
    <r>
      <rPr>
        <sz val="11"/>
        <color theme="1"/>
        <rFont val="Aptos Narrow"/>
        <family val="2"/>
        <scheme val="minor"/>
      </rPr>
      <t xml:space="preserve">; if Stage-6 requires </t>
    </r>
    <r>
      <rPr>
        <b/>
        <sz val="11"/>
        <color theme="1"/>
        <rFont val="Aptos Narrow"/>
        <family val="2"/>
        <scheme val="minor"/>
      </rPr>
      <t>service-level prevention</t>
    </r>
    <r>
      <rPr>
        <sz val="11"/>
        <color theme="1"/>
        <rFont val="Aptos Narrow"/>
        <family val="2"/>
        <scheme val="minor"/>
      </rPr>
      <t xml:space="preserve">, J547 actually looks on-scope. If Stage-6 is </t>
    </r>
    <r>
      <rPr>
        <b/>
        <sz val="11"/>
        <color theme="1"/>
        <rFont val="Aptos Narrow"/>
        <family val="2"/>
        <scheme val="minor"/>
      </rPr>
      <t>narrow clinical prevention only</t>
    </r>
    <r>
      <rPr>
        <sz val="11"/>
        <color theme="1"/>
        <rFont val="Aptos Narrow"/>
        <family val="2"/>
        <scheme val="minor"/>
      </rPr>
      <t>, then exclude.</t>
    </r>
  </si>
  <si>
    <t>include_stage7</t>
  </si>
  <si>
    <t>reason_stage7</t>
  </si>
  <si>
    <t>confidence_stage7</t>
  </si>
  <si>
    <t>- Background Fetal fibronectin (FFN) is an extracellular matrix glycoprotein localized at the maternalÃƒÆ’Ã‚Â¢ÃƒÂ¢Ã¢â‚¬Å¡Ã‚Â¬Ãƒâ€šÃ‚Âfetal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ChildbirthÃƒÆ’Ã‚Â¢ÃƒÂ¢Ã¢â‚¬Å¡Ã‚Â¬ÃƒÂ¢Ã¢â‚¬Å¾Ã‚Â¢s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lowÃƒÆ’Ã‚Â¢ÃƒÂ¢Ã¢â‚¬Å¡Ã‚Â¬Ãƒâ€šÃ‚Âquality evidence). However, management based on knowledge of FFN results may make little or no difference to preterm birth before 34 (RR 1.09, 95% CI 0.54 to 2.18; 4 trials; 357 women; lowÃƒÆ’Ã‚Â¢ÃƒÂ¢Ã¢â‚¬Å¡Ã‚Â¬Ãƒâ€šÃ‚Âquality evidence) or maternal hospitalization (RR 1.06, 95% CI 0.79 to 1.43; 5 trials; 441 women; lowÃƒÆ’Ã‚Â¢ÃƒÂ¢Ã¢â‚¬Å¡Ã‚Â¬Ãƒâ€šÃ‚Âquality evidence). The evidence for preterm birth before 32 weeks is uncertain because the quality was found to be very low (average RR 0.79, 95% CI 0.16 to 3.96; 4 trials; 357 women; very lowÃƒÆ’Ã‚Â¢ÃƒÂ¢Ã¢â‚¬Å¡Ã‚Â¬Ãƒâ€šÃ‚Âquality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CostÃƒÆ’Ã‚Â¢ÃƒÂ¢Ã¢â‚¬Å¡Ã‚Â¬Ãƒâ€šÃ‚Âeffectiveness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ÃƒÆ’Ã‚Â¢ÃƒÂ¢Ã¢â‚¬Å¡Ã‚Â¬Ãƒâ€¹Ã…â€œglueÃƒÆ’Ã‚Â¢ÃƒÂ¢Ã¢â‚¬Å¡Ã‚Â¬ÃƒÂ¢Ã¢â‚¬Å¾Ã‚Â¢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womenÃƒÆ’Ã‚Â¢ÃƒÂ¢Ã¢â‚¬Å¡Ã‚Â¬ÃƒÂ¢Ã¢â‚¬Å¾Ã‚Â¢s gestational age at delivery; babies with a birthweight less than 2500 g; newborn deaths; the number of babies with respiratory distress syndrome; giving steroids to mature the unborn babiesÃƒÆ’Ã‚Â¢ÃƒÂ¢Ã¢â‚¬Å¡Ã‚Â¬ÃƒÂ¢Ã¢â‚¬Å¾Ã‚Â¢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</si>
  <si>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studyÃƒÆ’Ã‚Â¢ÃƒÂ¢Ã¢â‚¬Å¡Ã‚Â¬Ãƒâ€šÃ‚Âbased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ÃƒÆ’Ã‚Â¢ÃƒÂ¢Ã¢â‚¬Å¡Ã‚Â¬Ãƒâ€¹Ã…â€œtransition to psychosisÃƒÆ’Ã‚Â¢ÃƒÂ¢Ã¢â‚¬Å¡Ã‚Â¬ÃƒÂ¢Ã¢â‚¬Å¾Ã‚Â¢. For details of other main outcomes please see 'Summary of findings' tables. In Group A (comparisons of absolute effects) we found no clear difference between amino acids and placebo (risk ratio (RR) 0.48 95% confidence interval (CI) 0.08 to 2.98; 2 RCTs, 52 participants; very lowÃƒÆ’Ã‚Â¢ÃƒÂ¢Ã¢â‚¬Å¡Ã‚Â¬Ãƒâ€šÃ‚Âquality evidence). When omegaÃƒÆ’Ã‚Â¢ÃƒÂ¢Ã¢â‚¬Å¡Ã‚Â¬Ãƒâ€šÃ‚Â3 fatty acids were compared to placebo, fewer participants given the omegaÃƒÆ’Ã‚Â¢ÃƒÂ¢Ã¢â‚¬Å¡Ã‚Â¬Ãƒâ€šÃ‚Â3 (10%) transitioned to psychosis compared to the placebo group (33%) during longÃƒÆ’Ã‚Â¢ÃƒÂ¢Ã¢â‚¬Å¡Ã‚Â¬Ãƒâ€šÃ‚Âterm followÃƒÆ’Ã‚Â¢ÃƒÂ¢Ã¢â‚¬Å¡Ã‚Â¬Ãƒâ€šÃ‚Âup of seven years (RR 0.24 95% CI 0.09 to 0.67; 1 RCT, 81 participants; lowÃƒÆ’Ã‚Â¢ÃƒÂ¢Ã¢â‚¬Å¡Ã‚Â¬Ãƒâ€šÃ‚Âquality evidence). In Group B (comparisons where complex interactions are probable) and in the subgroup focusing on antipsychotic drugs added to specific care packages, the amisulpiride + needsÃƒÆ’Ã‚Â¢ÃƒÂ¢Ã¢â‚¬Å¡Ã‚Â¬Ãƒâ€šÃ‚Âfocused intervention (NFI) compared to NFI comparison (no reporting of transition to psychosis; 1 RCT, 102 participants; very lowÃƒÆ’Ã‚Â¢ÃƒÂ¢Ã¢â‚¬Å¡Ã‚Â¬Ãƒâ€šÃ‚Âquality evidence) and the olanzapine + supportive intervention compared to supportive intervention alone comparison (RR 0.58 95% CI 0.28 to 1.18; 1 RCT, 60 participants; very lowÃƒÆ’Ã‚Â¢ÃƒÂ¢Ã¢â‚¬Å¡Ã‚Â¬Ãƒâ€šÃ‚Âquality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followÃƒÆ’Ã‚Â¢ÃƒÂ¢Ã¢â‚¬Å¡Ã‚Â¬Ãƒâ€šÃ‚Âup by 18 months, compared with double that percentage in the supportive therapy alone group (RR 0.45 95% CI 0.23 to 0.89; 2 RCTs, 252 participants; very lowÃƒÆ’Ã‚Â¢ÃƒÂ¢Ã¢â‚¬Å¡Ã‚Â¬Ãƒâ€šÃ‚Âquality evidence). The CBT + risperidone versus CBT + placebo comparison identified no clear difference between treatments (RR 1.02 95% CI 0.39 to 2.67; 1 RCT, 87 participants; very lowÃƒÆ’Ã‚Â¢ÃƒÂ¢Ã¢â‚¬Å¡Ã‚Â¬Ãƒâ€šÃ‚Âquality evidence) and this also applies to the CBT + needsÃƒÆ’Ã‚Â¢ÃƒÂ¢Ã¢â‚¬Å¡Ã‚Â¬Ãƒâ€šÃ‚Âbased intervention (NBI) + risperidone versus NBI comparison (RR 0.75 95% CI 0.39 to 1.46; 1 RCT, 59 participants; very lowÃƒÆ’Ã‚Â¢ÃƒÂ¢Ã¢â‚¬Å¡Ã‚Â¬Ãƒâ€šÃ‚Âquality evidence). Group C (differential effects) also involved six comparisons. The first compared CBT with supportive therapy. No clear difference was found for the ÃƒÆ’Ã‚Â¢ÃƒÂ¢Ã¢â‚¬Å¡Ã‚Â¬Ãƒâ€¹Ã…â€œtransition to psychosisÃƒÆ’Ã‚Â¢ÃƒÂ¢Ã¢â‚¬Å¡Ã‚Â¬ÃƒÂ¢Ã¢â‚¬Å¾Ã‚Â¢ outcome (RR 0.74 95% CI 0.28 to 1.98; 1 RCT, 72 participants; very lowÃƒÆ’Ã‚Â¢ÃƒÂ¢Ã¢â‚¬Å¡Ã‚Â¬Ãƒâ€šÃ‚Âquality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lowÃƒÆ’Ã‚Â¢ÃƒÂ¢Ã¢â‚¬Å¡Ã‚Â¬Ãƒâ€šÃ‚Âquality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lowÃƒÆ’Ã‚Â¢ÃƒÂ¢Ã¢â‚¬Å¡Ã‚Â¬Ãƒâ€šÃ‚Âquality evidence) and integrated treatment compared to standard treatment comparison (RR 0.57 95% CI 0.28 to 1.15; 1 RCT, 79 participants; very lowÃƒÆ’Ã‚Â¢ÃƒÂ¢Ã¢â‚¬Å¡Ã‚Â¬Ãƒâ€šÃ‚Âquality evidence) no effects of any of these approaches was evident. Authors' conclusions There has been considerable research effort in this area and several interventions have been trialled. The evidence available suggests that omegaÃƒÆ’Ã‚Â¢ÃƒÂ¢Ã¢â‚¬Å¡Ã‚Â¬Ãƒâ€šÃ‚Â3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highÃƒÆ’Ã‚Â¢ÃƒÂ¢Ã¢â‚¬Å¡Ã‚Â¬Ãƒâ€šÃ‚Âquality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nonÃƒÆ’Ã‚Â¢ÃƒÂ¢Ã¢â‚¬Å¡Ã‚Â¬Ãƒâ€šÃ‚Âspecific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omegaÃƒÆ’Ã‚Â¢ÃƒÂ¢Ã¢â‚¬Å¡Ã‚Â¬Ãƒâ€šÃ‚Â3 fatty acids in terms of reduced transition to psychosis. Other studies found adding antipsychotic drugs to supportiveÃƒÆ’Ã‚Â¢ÃƒÂ¢Ã¢â‚¬Å¡Ã‚Â¬Ãƒâ€šÃ‚Âcare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followÃƒÆ’Ã‚Â¢ÃƒÂ¢Ã¢â‚¬Å¡Ã‚Â¬Ãƒâ€šÃ‚Âup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lowÃƒÆ’Ã‚Â¢ÃƒÂ¢Ã¢â‚¬Å¡Ã‚Â¬Ãƒâ€šÃ‚Âquality evidence suggesting that omegaÃƒÆ’Ã‚Â¢ÃƒÂ¢Ã¢â‚¬Å¡Ã‚Â¬Ãƒâ€šÃ‚Â3 fatty acids may be effective, but there is no highÃƒÆ’Ã‚Â¢ÃƒÂ¢Ã¢â‚¬Å¡Ã‚Â¬Ãƒâ€šÃ‚Âquality evidence to suggest that any type of treatment is effective, and no firm conclusions can be made.</t>
  </si>
  <si>
    <t>2 False Negatives</t>
  </si>
  <si>
    <t>J552</t>
  </si>
  <si>
    <t>PharmacyÃƒÆ’Ã‚Â¢ÃƒÂ¢Ã¢â‚¬Å¡Ã‚Â¬Ãƒâ€šÃ‚Âbased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</si>
  <si>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pharmacistÃƒÆ’Ã‚Â¢ÃƒÂ¢Ã¢â‚¬Å¡Ã‚Â¬Ãƒâ€šÃ‚Âbased interventions is not yet well understood. The degree to which a pharmacyÃƒÆ’Ã‚Â¢ÃƒÂ¢Ã¢â‚¬Å¡Ã‚Â¬Ãƒâ€šÃ‚Âbased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pharmacyÃƒÆ’Ã‚Â¢ÃƒÂ¢Ã¢â‚¬Å¡Ã‚Â¬Ãƒâ€šÃ‚Âbased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(selfÃƒÆ’Ã‚Â¢ÃƒÂ¢Ã¢â‚¬Å¡Ã‚Â¬Ãƒâ€šÃ‚Â)monitoring of medication adherence offered by a healthcare professional outside the pharmacy team) at improving depression outcomes in adults. Search methods We searched the Cochrane Common Mental Disorders Controlled Trials Register (CCMDÃƒÆ’Ã‚Â¢ÃƒÂ¢Ã¢â‚¬Å¡Ã‚Â¬Ãƒâ€šÃ‚ÂCTR)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clusterÃƒÆ’Ã‚Â¢ÃƒÂ¢Ã¢â‚¬Å¡Ã‚Â¬Ãƒâ€šÃ‚ÂRCTs where a pharmacyÃƒÆ’Ã‚Â¢ÃƒÂ¢Ã¢â‚¬Å¡Ã‚Â¬Ãƒâ€šÃ‚Âbased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nonÃƒÆ’Ã‚Â¢ÃƒÂ¢Ã¢â‚¬Å¡Ã‚Â¬Ãƒâ€šÃ‚Âadherence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metaÃƒÆ’Ã‚Â¢ÃƒÂ¢Ã¢â‚¬Å¡Ã‚Â¬Ãƒâ€šÃ‚Âanalyses, we synthesised results narratively. Main results Twelve studies (2215 participants) met the inclusion criteria and compared pharmacyÃƒÆ’Ã‚Â¢ÃƒÂ¢Ã¢â‚¬Å¡Ã‚Â¬Ãƒâ€šÃ‚Âbased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pharmacyÃƒÆ’Ã‚Â¢ÃƒÂ¢Ã¢â‚¬Å¡Ã‚Â¬Ãƒâ€šÃ‚Âbased management and the other better acceptability of the active control. One study reported that participants in the pharmacyÃƒÆ’Ã‚Â¢ÃƒÂ¢Ã¢â‚¬Å¡Ã‚Â¬Ãƒâ€šÃ‚Âbased management group had better medication adherence than the control participants. One study reported adverse events with no difference between groups. The studies reported no other outcomes. MetaÃƒÆ’Ã‚Â¢ÃƒÂ¢Ã¢â‚¬Å¡Ã‚Â¬Ãƒâ€šÃ‚Âanalyses comparing pharmacyÃƒÆ’Ã‚Â¢ÃƒÂ¢Ã¢â‚¬Å¡Ã‚Â¬Ãƒâ€šÃ‚Âbased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moderateÃƒÆ’Ã‚Â¢ÃƒÂ¢Ã¢â‚¬Å¡Ã‚Â¬Ãƒâ€šÃ‚Âquality evidence; continuous data: standard mean difference (SMD) ÃƒÆ’Ã‚Â¢ÃƒÂ¢Ã¢â‚¬Å¡Ã‚Â¬Ãƒâ€šÃ‚Â0.04, 95%</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</si>
  <si>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</si>
  <si>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</si>
  <si>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</si>
  <si>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</si>
  <si>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</si>
  <si>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</si>
  <si>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</si>
  <si>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</si>
  <si>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ÃƒÆ’Ã¢â‚¬Å¡Ãƒâ€šÃ‚Â©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</si>
  <si>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</si>
  <si>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</si>
  <si>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metaÃƒÆ’Ã‚Â¢ÃƒÂ¢Ã¢â‚¬Å¡Ã‚Â¬Ãƒâ€šÃ‚Âanalysis using a MantelÃƒÆ’Ã‚Â¢ÃƒÂ¢Ã¢â‚¬Å¡Ã‚Â¬Ãƒâ€šÃ‚ÂHaenszel randomÃƒÆ’Ã‚Â¢ÃƒÂ¢Ã¢â‚¬Å¡Ã‚Â¬Ãƒâ€šÃ‚Âeffects model to generate risk ratios (RRs) and 95% confidence intervals (CIs). Main results We identified seven studies including 1774 participants. We judged three studies to be at high risk of bias and four to be at unclear risk. Each study provided faceÃƒÆ’Ã‚Â¢ÃƒÂ¢Ã¢â‚¬Å¡Ã‚Â¬Ãƒâ€šÃ‚ÂtoÃƒÆ’Ã‚Â¢ÃƒÂ¢Ã¢â‚¬Å¡Ã‚Â¬Ãƒâ€šÃ‚Âface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oneÃƒÆ’Ã‚Â¢ÃƒÂ¢Ã¢â‚¬Å¡Ã‚Â¬Ãƒâ€šÃ‚Âoff advice on how to quit. Participants in both intervention and control arms received equivalent smoking cessation pharmacotherapy in all but one study. All studies took place in highÃƒÆ’Ã‚Â¢ÃƒÂ¢Ã¢â‚¬Å¡Ã‚Â¬Ãƒâ€šÃ‚Âincome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followÃƒÆ’Ã‚Â¢ÃƒÂ¢Ã¢â‚¬Å¡Ã‚Â¬Ãƒâ€šÃ‚Âup (RR 2.30, 95% CI 1.33 to 3.97; I 2 = 54%; lowÃƒÆ’Ã‚Â¢ÃƒÂ¢Ã¢â‚¬Å¡Ã‚Â¬Ãƒâ€šÃ‚Âcertainty evidence). Authors' conclusions Community pharmacists can provide effective behavioural support to people trying to stop smoking. However, this conclusion is based on lowÃƒÆ’Ã‚Â¢ÃƒÂ¢Ã¢â‚¬Å¡Ã‚Â¬Ãƒâ€šÃ‚Âcertainty evidence, limited by risk of bias and imprecision. Further research could change this conclusion. Plain language summary Does quitÃƒÆ’Ã‚Â¢ÃƒÂ¢Ã¢â‚¬Å¡Ã‚Â¬Ãƒâ€šÃ‚Âsmoking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faceÃƒÆ’Ã‚Â¢ÃƒÂ¢Ã¢â‚¬Å¡Ã‚Â¬Ãƒâ€šÃ‚ÂtoÃƒÆ’Ã‚Â¢ÃƒÂ¢Ã¢â‚¬Å¡Ã‚Â¬Ãƒâ€šÃ‚Âface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lowÃƒÆ’Ã‚Â¢ÃƒÂ¢Ã¢â‚¬Å¡Ã‚Â¬Ãƒâ€šÃ‚Âquality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</si>
  <si>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J2833</t>
  </si>
  <si>
    <t>Mobile phoneÃƒÆ’Ã‚Â¢ÃƒÂ¢Ã¢â‚¬Å¡Ã‚Â¬Ãƒâ€šÃ‚Âbased interventions for improving adherence to medication prescribed for the primary prevention of cardiovascular disease in adults</t>
  </si>
  <si>
    <t>- Background Cardiovascular disease (CVD) is a major cause of disability and mortality globally. Premature fatal and nonÃƒÆ’Ã‚Â¢ÃƒÂ¢Ã¢â‚¬Å¡Ã‚Â¬Ãƒâ€šÃ‚Âfatal CVD is considered to be largely preventable through the control of risk factors by lifestyle modifications and preventive medication. LipidÃƒÆ’Ã‚Â¢ÃƒÂ¢Ã¢â‚¬Å¡Ã‚Â¬Ãƒâ€šÃ‚Âlowering and antihypertensive drug therapies for primary prevention are costÃƒÆ’Ã‚Â¢ÃƒÂ¢Ã¢â‚¬Å¡Ã‚Â¬Ãƒâ€šÃ‚Âeffective in reducing CVD morbidity and mortality among highÃƒÆ’Ã‚Â¢ÃƒÂ¢Ã¢â‚¬Å¡Ã‚Â¬Ãƒâ€šÃ‚Ârisk people and are recommended by international guidelines. However, adherence to medication prescribed for the prevention of CVD can be poor. Approximately 9% of CVD cases in the EU are attributed to poor adherence to vascular medications. LowÃƒÆ’Ã‚Â¢ÃƒÂ¢Ã¢â‚¬Å¡Ã‚Â¬Ãƒâ€šÃ‚Âcost,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oneÃƒÆ’Ã‚Â¢ÃƒÂ¢Ã¢â‚¬Å¡Ã‚Â¬Ãƒâ€šÃ‚Âyear followÃƒÆ’Ã‚Â¢ÃƒÂ¢Ã¢â‚¬Å¡Ã‚Â¬Ãƒâ€šÃ‚Âup in order that the outcome measures related to longerÃƒÆ’Ã‚Â¢ÃƒÂ¢Ã¢â‚¬Å¡Ã‚Â¬Ãƒâ€šÃ‚Âterm, sustained medication adherence behaviours and outcomes. Eligible comparators were usual care or control groups receiving no mobile phoneÃƒÆ’Ã‚Â¢ÃƒÂ¢Ã¢â‚¬Å¡Ã‚Â¬Ãƒâ€šÃ‚Âdelivered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communityÃƒÆ’Ã‚Â¢ÃƒÂ¢Ã¢â‚¬Å¡Ã‚Â¬Ãƒâ€šÃ‚Âbased primary and tertiary care or outpatient clinics. The interventions varied widely from those delivered solely through short messaging service (SMS) to those involving a combination of modes of delivery, such as SMS in addition to healthcare worker training, faceÃƒÆ’Ã‚Â¢ÃƒÂ¢Ã¢â‚¬Å¡Ã‚Â¬Ãƒâ€šÃ‚ÂtoÃƒÆ’Ã‚Â¢ÃƒÂ¢Ã¢â‚¬Å¡Ã‚Â¬Ãƒâ€šÃ‚Âface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metaÃƒÆ’Ã‚Â¢ÃƒÂ¢Ã¢â‚¬Å¡Ã‚Â¬Ãƒâ€šÃ‚Âanalyses. The body of evidence for the effect of mobile phoneÃƒÆ’Ã‚Â¢ÃƒÂ¢Ã¢â‚¬Å¡Ã‚Â¬Ãƒâ€šÃ‚Âbased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lowÃƒÆ’Ã‚Â¢ÃƒÂ¢Ã¢â‚¬Å¡Ã‚Â¬Ãƒâ€šÃ‚Âdensity lipoprotein cholesterol (LDLÃƒÆ’Ã‚Â¢ÃƒÂ¢Ã¢â‚¬Å¡Ã‚Â¬Ãƒâ€šÃ‚ÂC), two studies found evidence for a small beneficial intervention effect on reducing LDLÃƒÆ’Ã‚Â¢ÃƒÂ¢Ã¢â‚¬Å¡Ã‚Â¬Ãƒâ€šÃ‚ÂC (ÃƒÆ’Ã‚Â¢Ãƒâ€¹Ã¢â‚¬Â ÃƒÂ¢Ã¢â€šÂ¬Ã¢â€žÂ¢5.30 mg/dL, 95% confidence interval (CI) ÃƒÆ’Ã‚Â¢Ãƒâ€¹Ã¢â‚¬Â ÃƒÂ¢Ã¢â€šÂ¬Ã¢â€žÂ¢8.30 to ÃƒÆ’Ã‚Â¢Ãƒâ€¹Ã¢â‚¬Â ÃƒÂ¢Ã¢â€šÂ¬Ã¢â€žÂ¢2.30; and ÃƒÆ’Ã‚Â¢Ãƒâ€¹Ã¢â‚¬Â ÃƒÂ¢Ã¢â€šÂ¬Ã¢â€žÂ¢9.20 mg/dL, 95% CI ÃƒÆ’Ã‚Â¢Ãƒâ€¹Ã¢â‚¬Â ÃƒÂ¢Ã¢â€šÂ¬Ã¢â€žÂ¢17.70 to ÃƒÆ’Ã‚Â¢Ãƒâ€¹Ã¢â‚¬Â ÃƒÂ¢Ã¢â€šÂ¬Ã¢â€žÂ¢0.70). The other three studies found results varying from a small reduction (ÃƒÆ’Ã‚Â¢Ãƒâ€¹Ã¢â‚¬Â ÃƒÂ¢Ã¢â€šÂ¬Ã¢â€žÂ¢7.7 mg/dL) to a small increase in LDLÃƒÆ’Ã‚Â¢ÃƒÂ¢Ã¢â‚¬Å¡Ã‚Â¬Ãƒâ€šÃ‚ÂC (0.77 mg/dL). All of which had wide confidence intervals that included no effect. Across 13 studies (25,166 participants) measuring systolic blood pressure, effect estimates ranged from a large reduction (MD ÃƒÆ’Ã‚Â¢Ãƒâ€¹Ã¢â‚¬Â ÃƒÂ¢Ã¢â€šÂ¬Ã¢â€žÂ¢12.45 mmHg, 95% CI ÃƒÆ’Ã‚Â¢Ãƒâ€¹Ã¢â‚¬Â ÃƒÂ¢Ã¢â€šÂ¬Ã¢â€žÂ¢15.02 to ÃƒÆ’Ã‚Â¢Ãƒâ€¹Ã¢â‚¬Â ÃƒÂ¢Ã¢â€šÂ¬Ã¢â€žÂ¢9.88) to a small increase (MD 2.80 mmHg, 95% CI 0.30 to 5.30). We found a similar range of effect estimates for diastolic BP, ranging from ÃƒÆ’Ã‚Â¢Ãƒâ€¹Ã¢â‚¬Â ÃƒÂ¢Ã¢â€šÂ¬Ã¢â€žÂ¢12.23 mmHg (95% CI ÃƒÆ’Ã‚Â¢Ãƒâ€¹Ã¢â‚¬Â ÃƒÂ¢Ã¢â€šÂ¬Ã¢â€žÂ¢14.03 to ÃƒÆ’Ã‚Â¢Ãƒâ€¹Ã¢â‚¬Â ÃƒÂ¢Ã¢â€šÂ¬Ã¢â€žÂ¢10.43) to 1.64 mmHg (95% CI ÃƒÆ’Ã‚Â¢Ãƒâ€¹Ã¢â‚¬Â ÃƒÂ¢Ã¢â€šÂ¬Ã¢â€žÂ¢0.55 to 3.83) (11 trials, 19,716 participants). Four trials showed intervention benefits for systolic and diastolic BP with confidence intervals excluding no effect, and among these were all three of the trials evaluating selfÃƒÆ’Ã‚Â¢ÃƒÂ¢Ã¢â‚¬Å¡Ã‚Â¬Ãƒâ€šÃ‚Âmonitoring of blood pressure with mobile phoneÃƒÆ’Ã‚Â¢ÃƒÂ¢Ã¢â‚¬Å¡Ã‚Â¬Ãƒâ€šÃ‚Âbased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ÃƒÆ’Ã‚Â¢Ãƒâ€¹Ã¢â‚¬Â ÃƒÂ¢Ã¢â€šÂ¬Ã¢â€žÂ¢1.55 mmHg, 95% CI ÃƒÆ’Ã‚Â¢Ãƒâ€¹Ã¢â‚¬Â ÃƒÂ¢Ã¢â€šÂ¬Ã¢â€žÂ¢3.36 to 0.25; I 2 = 0%) and small increases in controlled BP (OR 1.32, 95% CI 1.06 to 1.65; I 2 = 0%). Based on four studies (12,439 participants), there was very lowÃƒÆ’Ã‚Â¢ÃƒÂ¢Ã¢â‚¬Å¡Ã‚Â¬Ãƒâ€šÃ‚Âcertainty evidence (downgraded twice for imprecision and once for risk of bias) relating to the intervention effect on combined (fatal and nonÃƒÆ’Ã‚Â¢ÃƒÂ¢Ã¢â‚¬Å¡Ã‚Â¬Ãƒâ€šÃ‚Âfatal) CVD events. Two studies (2535 participants) provided lowÃƒÆ’Ã‚Â¢ÃƒÂ¢Ã¢â‚¬Å¡Ã‚Â¬Ãƒâ€šÃ‚Âcertainty evidence for the effect of the intervention on cognitive outcomes, with little or no difference between trial arms for perceived quality of care and satisfaction with treatment. There was moderateÃƒÆ’Ã‚Â¢ÃƒÂ¢Ã¢â‚¬Å¡Ã‚Â¬Ãƒâ€šÃ‚Âcertainty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interventionÃƒÆ’Ã‚Â¢ÃƒÂ¢Ã¢â‚¬Å¡Ã‚Â¬Ãƒâ€šÃ‚Ârelated adverse events. One study stated that potential side effects were similar between groups. One study reported a similar number of deaths in each arm, but did not provide further information relating to potential adverse events. Authors' conclusions There is lowÃƒÆ’Ã‚Â¢ÃƒÂ¢Ã¢â‚¬Å¡Ã‚Â¬Ãƒâ€šÃ‚Âcertainty evidence on the effects of mobile phoneÃƒÆ’Ã‚Â¢ÃƒÂ¢Ã¢â‚¬Å¡Ã‚Â¬Ãƒâ€šÃ‚Âdelivered interventions to increase adherence to medication prescribed for the primary prevention of CVD. Trials of BP selfÃƒÆ’Ã‚Â¢ÃƒÂ¢Ã¢â‚¬Å¡Ã‚Â¬Ãƒâ€šÃ‚Âmonitoring with mobileÃƒÆ’Ã‚Â¢ÃƒÂ¢Ã¢â‚¬Å¡Ã‚Â¬Ãƒâ€šÃ‚Âphone telemedicine support reported modest benefits. One trial at low risk of bias reported modest reductions in LDL cholesterol but no benefits for BP. There is moderateÃƒÆ’Ã‚Â¢ÃƒÂ¢Ã¢â‚¬Å¡Ã‚Â¬Ãƒâ€šÃ‚Âcertainty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lowÃƒÆ’Ã‚Â¢ÃƒÂ¢Ã¢â‚¬Å¡Ã‚Â¬Ãƒâ€šÃ‚Âcost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SelfÃƒÆ’Ã‚Â¢ÃƒÂ¢Ã¢â‚¬Å¡Ã‚Â¬Ãƒâ€šÃ‚Âmonitoring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</si>
  <si>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J2861</t>
  </si>
  <si>
    <t>Integrated disease management interventions for patients with chronic obstructive pulmonary disease</t>
  </si>
  <si>
    <t>- Background People with chronic obstructive pulmonary disease (COPD) show considerable variation in symptoms, limitations, and wellÃƒÆ’Ã‚Â¢ÃƒÂ¢Ã¢â‚¬Å¡Ã‚Â¬Ãƒâ€šÃ‚Âbeing; this often complicates medical care. A multiÃƒÆ’Ã‚Â¢ÃƒÂ¢Ã¢â‚¬Å¡Ã‚Â¬Ãƒâ€šÃ‚Âdisciplinary and multiÃƒÆ’Ã‚Â¢ÃƒÂ¢Ã¢â‚¬Å¡Ã‚Â¬Ãƒâ€šÃ‚Âcomponent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healthÃƒÆ’Ã‚Â¢ÃƒÂ¢Ã¢â‚¬Å¡Ã‚Â¬Ãƒâ€šÃ‚Ârelated quality of life (QoL), exercise tolerance, and exacerbationÃƒÆ’Ã‚Â¢ÃƒÂ¢Ã¢â‚¬Å¡Ã‚Â¬Ãƒâ€šÃ‚Ârelated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multiÃƒÆ’Ã‚Â¢ÃƒÂ¢Ã¢â‚¬Å¡Ã‚Â¬Ãƒâ€šÃ‚Âdisciplinary (two or more healthcare providers) and multiÃƒÆ’Ã‚Â¢ÃƒÂ¢Ã¢â‚¬Å¡Ã‚Â¬Ãƒâ€šÃ‚Âtreatment (two or more components) IDM programmes of at least three months' duration. Data collection and analysis Two review authors independently assessed trial quality and extracted data. If required, we contacted study authors to request additional data. We performed metaÃƒÆ’Ã‚Â¢ÃƒÂ¢Ã¢â‚¬Å¡Ã‚Â¬Ãƒâ€šÃ‚Âanalyses using randomÃƒÆ’Ã‚Â¢ÃƒÂ¢Ã¢â‚¬Å¡Ã‚Â¬Ãƒâ€šÃ‚Âeffects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metaÃƒÆ’Ã‚Â¢ÃƒÂ¢Ã¢â‚¬Å¡Ã‚Â¬Ãƒâ€šÃ‚Âanalysis. FollowÃƒÆ’Ã‚Â¢ÃƒÂ¢Ã¢â‚¬Å¡Ã‚Â¬Ãƒâ€šÃ‚Âup periods ranged between 3 and 48 months and were classified as shortÃƒÆ’Ã‚Â¢ÃƒÂ¢Ã¢â‚¬Å¡Ã‚Â¬Ãƒâ€šÃ‚Âterm (up to 6 months), mediumÃƒÆ’Ã‚Â¢ÃƒÂ¢Ã¢â‚¬Å¡Ã‚Â¬Ãƒâ€šÃ‚Âterm (6 to 15 months), and longÃƒÆ’Ã‚Â¢ÃƒÂ¢Ã¢â‚¬Å¡Ã‚Â¬Ãƒâ€šÃ‚Âterm (longer than 15 months) followÃƒÆ’Ã‚Â¢ÃƒÂ¢Ã¢â‚¬Å¡Ã‚Â¬Ãƒâ€šÃ‚Âup.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healthÃƒÆ’Ã‚Â¢ÃƒÂ¢Ã¢â‚¬Å¡Ã‚Â¬Ãƒâ€šÃ‚Ârelated QoL as measured by St. George's Respiratory Questionnaire (SGRQ) total score at mediumÃƒÆ’Ã‚Â¢ÃƒÂ¢Ã¢â‚¬Å¡Ã‚Â¬Ãƒâ€šÃ‚Âterm followÃƒÆ’Ã‚Â¢ÃƒÂ¢Ã¢â‚¬Å¡Ã‚Â¬Ãƒâ€šÃ‚Âup (mean difference (MD) ÃƒÆ’Ã‚Â¢ÃƒÂ¢Ã¢â‚¬Å¡Ã‚Â¬Ãƒâ€šÃ‚Â3.89, 95% confidence interval (CI) ÃƒÆ’Ã‚Â¢ÃƒÂ¢Ã¢â‚¬Å¡Ã‚Â¬Ãƒâ€šÃ‚Â6.16 to ÃƒÆ’Ã‚Â¢ÃƒÂ¢Ã¢â‚¬Å¡Ã‚Â¬Ãƒâ€šÃ‚Â1.63; 18 RCTs, 4321 participants; moderateÃƒÆ’Ã‚Â¢ÃƒÂ¢Ã¢â‚¬Å¡Ã‚Â¬Ãƒâ€šÃ‚Âcertainty evidence). A comparable effect was observed at shortÃƒÆ’Ã‚Â¢ÃƒÂ¢Ã¢â‚¬Å¡Ã‚Â¬Ãƒâ€šÃ‚Âterm followÃƒÆ’Ã‚Â¢ÃƒÂ¢Ã¢â‚¬Å¡Ã‚Â¬Ãƒâ€šÃ‚Âup (MD ÃƒÆ’Ã‚Â¢ÃƒÂ¢Ã¢â‚¬Å¡Ã‚Â¬Ãƒâ€šÃ‚Â3.78, 95% CI ÃƒÆ’Ã‚Â¢ÃƒÂ¢Ã¢â‚¬Å¡Ã‚Â¬Ãƒâ€šÃ‚Â6.29 to ÃƒÆ’Ã‚Â¢ÃƒÂ¢Ã¢â‚¬Å¡Ã‚Â¬Ãƒâ€šÃ‚Â1.28; 16 RCTs, 1788 participants). However, the common effect did not exceed the minimum clinically important difference (MCID) of 4 points. There was no significant difference between IDM and control for longÃƒÆ’Ã‚Â¢ÃƒÂ¢Ã¢â‚¬Å¡Ã‚Â¬Ãƒâ€šÃ‚Âterm followÃƒÆ’Ã‚Â¢ÃƒÂ¢Ã¢â‚¬Å¡Ã‚Â¬Ãƒâ€šÃ‚Âup and for generic QoL. IDM probably also leads to a large improvement in maximum and functional exercise capacity, as measured by sixÃƒÆ’Ã‚Â¢ÃƒÂ¢Ã¢â‚¬Å¡Ã‚Â¬Ãƒâ€šÃ‚Âminute walking distance (6MWD), at mediumÃƒÆ’Ã‚Â¢ÃƒÂ¢Ã¢â‚¬Å¡Ã‚Â¬Ãƒâ€šÃ‚Âterm followÃƒÆ’Ã‚Â¢ÃƒÂ¢Ã¢â‚¬Å¡Ã‚Â¬Ãƒâ€šÃ‚Âup (MD 44.69, 95% CI 24.01 to 65.37; 13 studies, 2071 participants; moderateÃƒÆ’Ã‚Â¢ÃƒÂ¢Ã¢â‚¬Å¡Ã‚Â¬Ãƒâ€šÃ‚Âcertainty evidence). The effect exceeded the MCID of 35 metres and was even greater at shortÃƒÆ’Ã‚Â¢ÃƒÂ¢Ã¢â‚¬Å¡Ã‚Â¬Ãƒâ€šÃ‚Âterm (MD 52.26, 95% CI 32.39 to 72.74; 17 RCTs, 1390 participants) and longÃƒÆ’Ã‚Â¢ÃƒÂ¢Ã¢â‚¬Å¡Ã‚Â¬Ãƒâ€šÃ‚Âterm (MD 48.83, 95% CI 16.37 to 80.49; 6 RCTs, 7288 participants) followÃƒÆ’Ã‚Â¢ÃƒÂ¢Ã¢â‚¬Å¡Ã‚Â¬Ãƒâ€šÃ‚Âup. The number of participants with respiratoryÃƒÆ’Ã‚Â¢ÃƒÂ¢Ã¢â‚¬Å¡Ã‚Â¬Ãƒâ€šÃ‚Ârelated admissions was reduced from 324 per 1000 participants in the control group to 235 per 1000 participants in the IDM group (odds ratio (OR) 0.64, 95% CI 0.50 to 0.81; 15 RCTs, median followÃƒÆ’Ã‚Â¢ÃƒÂ¢Ã¢â‚¬Å¡Ã‚Â¬Ãƒâ€šÃ‚Âup 12 months, 4207 participants; highÃƒÆ’Ã‚Â¢ÃƒÂ¢Ã¢â‚¬Å¡Ã‚Â¬Ãƒâ€šÃ‚Âcertainty evidence). Likewise, IDM probably results in a reduction in emergency department (ED) visits (OR 0.69, 95%CI 0.50 to 0.93; 9 RCTs, median followÃƒÆ’Ã‚Â¢ÃƒÂ¢Ã¢â‚¬Å¡Ã‚Â¬Ãƒâ€šÃ‚Âup 12 months, 8791 participants; moderateÃƒÆ’Ã‚Â¢ÃƒÂ¢Ã¢â‚¬Å¡Ã‚Â¬Ãƒâ€šÃ‚Âcertainty evidence), a slight reduction in allÃƒÆ’Ã‚Â¢ÃƒÂ¢Ã¢â‚¬Å¡Ã‚Â¬Ãƒâ€šÃ‚Âcause hospital admissions (OR 0.75, 95%CI 0.57 to 0.98; 10 RCT , median followÃƒÆ’Ã‚Â¢ÃƒÂ¢Ã¢â‚¬Å¡Ã‚Â¬Ãƒâ€šÃ‚Âup 12 months, 9030 participants; moderateÃƒÆ’Ã‚Â¢ÃƒÂ¢Ã¢â‚¬Å¡Ã‚Â¬Ãƒâ€šÃ‚Âcertainty evidence), and fewer hospital days per person admitted (MD ÃƒÆ’Ã‚Â¢ÃƒÂ¢Ã¢â‚¬Å¡Ã‚Â¬Ãƒâ€šÃ‚Â2.27, 95% CI ÃƒÆ’Ã‚Â¢ÃƒÂ¢Ã¢â‚¬Å¡Ã‚Â¬Ãƒâ€šÃ‚Â3.98 to ÃƒÆ’Ã‚Â¢ÃƒÂ¢Ã¢â‚¬Å¡Ã‚Â¬Ãƒâ€šÃ‚Â0.56; 14 RCTs, median followÃƒÆ’Ã‚Â¢ÃƒÂ¢Ã¢â‚¬Å¡Ã‚Â¬Ãƒâ€šÃ‚Âup 12 months, 3563 participants; moderateÃƒÆ’Ã‚Â¢ÃƒÂ¢Ã¢â‚¬Å¡Ã‚Â¬Ãƒâ€šÃ‚Âcertainty evidence). Statistically significant improvement was noted on the Medical Research Council (MRC) Dyspnoea Scale at shortÃƒÆ’Ã‚Â¢ÃƒÂ¢Ã¢â‚¬Å¡Ã‚Â¬Ãƒâ€šÃ‚Â and mediumÃƒÆ’Ã‚Â¢ÃƒÂ¢Ã¢â‚¬Å¡Ã‚Â¬Ãƒâ€šÃ‚Âterm followÃƒÆ’Ã‚Â¢ÃƒÂ¢Ã¢â‚¬Å¡Ã‚Â¬Ãƒâ€šÃ‚Âup but not at longÃƒÆ’Ã‚Â¢ÃƒÂ¢Ã¢â‚¬Å¡Ã‚Â¬Ãƒâ€šÃ‚Âterm followÃƒÆ’Ã‚Â¢ÃƒÂ¢Ã¢â‚¬Å¡Ã‚Â¬Ãƒâ€šÃ‚Âup. No differences between groups were reported for mortality, courses of antibiotics/prednisolone, dyspnoea, and depression and anxiety scores. Subgroup analysis of dominant intervention components and regions of study suggested contextÃƒÆ’Ã‚Â¢ÃƒÂ¢Ã¢â‚¬Å¡Ã‚Â¬Ãƒâ€šÃ‚Â and interventionÃƒÆ’Ã‚Â¢ÃƒÂ¢Ã¢â‚¬Å¡Ã‚Â¬Ãƒâ€šÃ‚Âspecific effects. However, some subgroup analyses were marked by considerable heterogeneity or included few studies. These results should therefore be interpreted with caution. Authors' conclusions This review shows that IDM probably results in improvement in diseaseÃƒÆ’Ã‚Â¢ÃƒÂ¢Ã¢â‚¬Å¡Ã‚Â¬Ãƒâ€šÃ‚Âspecific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processÃƒÆ’Ã‚Â¢ÃƒÂ¢Ã¢â‚¬Å¡Ã‚Â¬Ãƒâ€šÃ‚Ârelated outcomes, longÃƒÆ’Ã‚Â¢ÃƒÂ¢Ã¢â‚¬Å¡Ã‚Â¬Ãƒâ€šÃ‚Âterm followÃƒÆ’Ã‚Â¢ÃƒÂ¢Ã¢â‚¬Å¡Ã‚Â¬Ãƒâ€šÃ‚Âup, and costÃƒÆ’Ã‚Â¢ÃƒÂ¢Ã¢â‚¬Å¡Ã‚Â¬Ãƒâ€šÃ‚Âeffectiveness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selfÃƒÆ’Ã‚Â¢ÃƒÂ¢Ã¢â‚¬Å¡Ã‚Â¬Ãƒâ€šÃ‚Âmanagement,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coÃƒÆ’Ã‚Â¢ÃƒÂ¢Ã¢â‚¬Å¡Ã‚Â¬Ãƒâ€šÃ‚Âoperating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upÃƒÆ’Ã‚Â¢ÃƒÂ¢Ã¢â‚¬Å¡Ã‚Â¬Ãƒâ€šÃ‚ÂtoÃƒÆ’Ã‚Â¢ÃƒÂ¢Ã¢â‚¬Å¡Ã‚Â¬Ãƒâ€šÃ‚Âdate as of February 2021.</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</si>
  <si>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</si>
  <si>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</si>
  <si>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ÃƒÆ’Ã¢â‚¬Å¡Ãƒâ€šÃ‚Â© 2021, The Author(s).</t>
  </si>
  <si>
    <t>J2899</t>
  </si>
  <si>
    <t>Primary prevention of variceal bleeding in people with oesophageal varices due to liver cirrhosis: a network metaÃƒÆ’Ã‚Â¢ÃƒÂ¢Ã¢â‚¬Å¡Ã‚Â¬Ãƒâ€šÃ‚Âanalysis</t>
  </si>
  <si>
    <t>- Background Approximately 40% to 95% of people with cirrhosis have oesophageal varices. About 15% to 20% of oesophageal varices bleed in about one to three years. There are several different treatments to prevent bleeding, including: betaÃƒÆ’Ã‚Â¢ÃƒÂ¢Ã¢â‚¬Å¡Ã‚Â¬Ãƒâ€šÃ‚Âblockers,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metaÃƒÆ’Ã‚Â¢ÃƒÂ¢Ã¢â‚¬Å¡Ã‚Â¬Ãƒâ€šÃ‚Âanalysis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metaÃƒÆ’Ã‚Â¢ÃƒÂ¢Ã¢â‚¬Å¡Ã‚Â¬Ãƒâ€šÃ‚Âanalysis with OpenBUGS using Bayesian methods and calculated the differences in treatments using hazard ratios (HR), odds ratios (OR), and rate ratios with 95% credible intervals (CrI) based on an availableÃƒÆ’Ã‚Â¢ÃƒÂ¢Ã¢â‚¬Å¡Ã‚Â¬Ãƒâ€šÃ‚Âcase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followÃƒÆ’Ã‚Â¢ÃƒÂ¢Ã¢â‚¬Å¡Ã‚Â¬Ãƒâ€šÃ‚Âup in the trials that reported outcomes ranged from 6 months to 60 months. All but one of the trials were at high risk of bias. The interventions compared included betaÃƒÆ’Ã‚Â¢ÃƒÂ¢Ã¢â‚¬Å¡Ã‚Â¬Ãƒâ€šÃ‚Âblockers, no active intervention, variceal band ligation, sclerotherapy, betaÃƒÆ’Ã‚Â¢ÃƒÂ¢Ã¢â‚¬Å¡Ã‚Â¬Ãƒâ€šÃ‚Âblockers plus variceal band ligation, betaÃƒÆ’Ã‚Â¢ÃƒÂ¢Ã¢â‚¬Å¡Ã‚Â¬Ãƒâ€šÃ‚Âblockers plus nitrates, nitrates, betaÃƒÆ’Ã‚Â¢ÃƒÂ¢Ã¢â‚¬Å¡Ã‚Â¬Ãƒâ€šÃ‚Âblockers plus sclerotherapy, and portocaval shunt. Overall, 21.2% of participants who received nonÃƒÆ’Ã‚Â¢ÃƒÂ¢Ã¢â‚¬Å¡Ã‚Â¬Ãƒâ€šÃ‚Âselective betaÃƒÆ’Ã‚Â¢ÃƒÂ¢Ã¢â‚¬Å¡Ã‚Â¬Ãƒâ€šÃ‚Âblockers ('betaÃƒÆ’Ã‚Â¢ÃƒÂ¢Ã¢â‚¬Å¡Ã‚Â¬Ãƒâ€šÃ‚Âblockers') ÃƒÆ’Ã‚Â¢Ãƒâ€¹Ã¢â‚¬Â ÃƒÂ¢Ã¢â€šÂ¬Ã¢â€žÂ¢ the reference treatment (chosen because this was the most common treatment compared in the trials) ÃƒÆ’Ã‚Â¢Ãƒâ€¹Ã¢â‚¬Â ÃƒÂ¢Ã¢â€šÂ¬Ã¢â€žÂ¢ died during 8ÃƒÆ’Ã‚Â¢ÃƒÂ¢Ã¢â‚¬Å¡Ã‚Â¬Ãƒâ€šÃ‚Âmonth to 60ÃƒÆ’Ã‚Â¢ÃƒÂ¢Ã¢â‚¬Å¡Ã‚Â¬Ãƒâ€šÃ‚Âmonth followÃƒÆ’Ã‚Â¢ÃƒÂ¢Ã¢â‚¬Å¡Ã‚Â¬Ãƒâ€šÃ‚Âup. Based on lowÃƒÆ’Ã‚Â¢ÃƒÂ¢Ã¢â‚¬Å¡Ã‚Â¬Ãƒâ€šÃ‚Âcertainty evidence, betaÃƒÆ’Ã‚Â¢ÃƒÂ¢Ã¢â‚¬Å¡Ã‚Â¬Ãƒâ€šÃ‚Âblockers, variceal band ligation, sclerotherapy, and betaÃƒÆ’Ã‚Â¢ÃƒÂ¢Ã¢â‚¬Å¡Ã‚Â¬Ãƒâ€šÃ‚Âblockers plus nitrates all had lower mortality versus no active intervention (betaÃƒÆ’Ã‚Â¢ÃƒÂ¢Ã¢â‚¬Å¡Ã‚Â¬Ãƒâ€šÃ‚Âblockers: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betaÃƒÆ’Ã‚Â¢ÃƒÂ¢Ã¢â‚¬Å¡Ã‚Â¬Ãƒâ€šÃ‚Âblockers plus nitrates: HR 0.41, 95% CrI 0.20 to 0.85; no direct comparison). No trials reported healthÃƒÆ’Ã‚Â¢ÃƒÂ¢Ã¢â‚¬Å¡Ã‚Â¬Ãƒâ€šÃ‚Ârelated quality of life. Based on lowÃƒÆ’Ã‚Â¢ÃƒÂ¢Ã¢â‚¬Å¡Ã‚Â¬Ãƒâ€šÃ‚Âcertainty evidence, variceal band ligation had a higher number of serious adverse events (number of events) than betaÃƒÆ’Ã‚Â¢ÃƒÂ¢Ã¢â‚¬Å¡Ã‚Â¬Ãƒâ€šÃ‚Âblockers (rate ratio 10.49, 95% CrI 2.83 to 60.64; 1 trial, 168 participants). Based on lowÃƒÆ’Ã‚Â¢ÃƒÂ¢Ã¢â‚¬Å¡Ã‚Â¬Ãƒâ€šÃ‚Âcertainty evidence, betaÃƒÆ’Ã‚Â¢ÃƒÂ¢Ã¢â‚¬Å¡Ã‚Â¬Ãƒâ€šÃ‚Âblockers plus nitrates had a higher number of 'any adverse events (number of participants)' than betaÃƒÆ’Ã‚Â¢ÃƒÂ¢Ã¢â‚¬Å¡Ã‚Â¬Ãƒâ€šÃ‚Âblockers alone (OR 3.4 , 95% CrI 1.11 to 11.28; 1 trial, 57 participants). Based on lowÃƒÆ’Ã‚Â¢ÃƒÂ¢Ã¢â‚¬Å¡Ã‚Â¬Ãƒâ€šÃ‚Âcertainty evidence, adverse events (number of events) were higher in sclerotherapy than in betaÃƒÆ’Ã‚Â¢ÃƒÂ¢Ã¢â‚¬Å¡Ã‚Â¬Ãƒâ€šÃ‚Âblockers (rate ratio 2.49, 95% CrI 1.53 to 4.22; direct comparison rate ratio 2.47, 95% CrI 1.27 to 5.06; 2 trials, 90 participants), and in betaÃƒÆ’Ã‚Â¢ÃƒÂ¢Ã¢â‚¬Å¡Ã‚Â¬Ãƒâ€šÃ‚Âblockers plus variceal band ligation than in betaÃƒÆ’Ã‚Â¢ÃƒÂ¢Ã¢â‚¬Å¡Ã‚Â¬Ãƒâ€šÃ‚Âblockers (direct comparison rate ratio 1.72, 95% CrI 1.08 to 2.76; 1 trial, 140 participants). Based on lowÃƒÆ’Ã‚Â¢ÃƒÂ¢Ã¢â‚¬Å¡Ã‚Â¬Ãƒâ€šÃ‚Âcertainty evidence, any variceal bleed was lower in betaÃƒÆ’Ã‚Â¢ÃƒÂ¢Ã¢â‚¬Å¡Ã‚Â¬Ãƒâ€šÃ‚Âblockers plus variceal band ligation than in betaÃƒÆ’Ã‚Â¢ÃƒÂ¢Ã¢â‚¬Å¡Ã‚Â¬Ãƒâ€šÃ‚Âblockers (direct comparison HR 0.21, 95% CrI 0.04 to 0.71; 1 trial, 173 participants). Based on lowÃƒÆ’Ã‚Â¢ÃƒÂ¢Ã¢â‚¬Å¡Ã‚Â¬Ãƒâ€šÃ‚Âcertainty evidence, any variceal bleed was higher in nitrates than betaÃƒÆ’Ã‚Â¢ÃƒÂ¢Ã¢â‚¬Å¡Ã‚Â¬Ãƒâ€šÃ‚Âblockers (direct comparison HR 6.40, 95% CrI 1.58 to 47.42; 1 trial, 52 participants). The evidence indicates considerable uncertainty about the effect of the interventions in the remaining comparisons. Authors' conclusions Based on lowÃƒÆ’Ã‚Â¢ÃƒÂ¢Ã¢â‚¬Å¡Ã‚Â¬Ãƒâ€šÃ‚Âcertainty evidence, betaÃƒÆ’Ã‚Â¢ÃƒÂ¢Ã¢â‚¬Å¡Ã‚Â¬Ãƒâ€šÃ‚Âblockers, variceal band ligation, sclerotherapy, and betaÃƒÆ’Ã‚Â¢ÃƒÂ¢Ã¢â‚¬Å¡Ã‚Â¬Ãƒâ€šÃ‚Âblockers plus nitrates may decrease mortality compared to no intervention in people with highÃƒÆ’Ã‚Â¢ÃƒÂ¢Ã¢â‚¬Å¡Ã‚Â¬Ãƒâ€šÃ‚Ârisk oesophageal varices in people with cirrhosis and no previous history of bleeding. Based on lowÃƒÆ’Ã‚Â¢ÃƒÂ¢Ã¢â‚¬Å¡Ã‚Â¬Ãƒâ€šÃ‚Âcertainty evidence, variceal band ligation may result in a higher number of serious adverse events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metaÃƒÆ’Ã‚Â¢ÃƒÂ¢Ã¢â‚¬Å¡Ã‚Â¬Ãƒâ€šÃ‚Âanalysis').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betaÃƒÆ’Ã‚Â¢ÃƒÂ¢Ã¢â‚¬Å¡Ã‚Â¬Ãƒâ€šÃ‚Âblockers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'nonÃƒÆ’Ã‚Â¢ÃƒÂ¢Ã¢â‚¬Å¡Ã‚Â¬Ãƒâ€šÃ‚Âselective betaÃƒÆ’Ã‚Â¢ÃƒÂ¢Ã¢â‚¬Å¡Ã‚Â¬Ãƒâ€šÃ‚Âblockers' or simply 'betaÃƒÆ’Ã‚Â¢ÃƒÂ¢Ã¢â‚¬Å¡Ã‚Â¬Ãƒâ€šÃ‚Âblockers'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followÃƒÆ’Ã‚Â¢ÃƒÂ¢Ã¢â‚¬Å¡Ã‚Â¬Ãƒâ€šÃ‚Âup), quality of life, serious and nonÃƒÆ’Ã‚Â¢ÃƒÂ¢Ã¢â‚¬Å¡Ã‚Â¬Ãƒâ€šÃ‚Âserious side effects, percentage of people who developed bleeding, and development of other complications of advanced liver disease.ÃƒÆ’Ã‚Â¢ÃƒÂ¢Ã¢â‚¬Å¡Ã‚Â¬Ãƒâ€šÃ‚Â¨ÃƒÆ’Ã‚Â¢ÃƒÂ¢Ã¢â‚¬Å¡Ã‚Â¬Ãƒâ€šÃ‚Â¨ What were the main results of the review? The 66 studies included a relatively small number of participants (6653 people). Sixty studies with 6212 participants provided data for analyses. The followÃƒÆ’Ã‚Â¢ÃƒÂ¢Ã¢â‚¬Å¡Ã‚Â¬Ãƒâ€šÃ‚Âup of the trial ranged from six months to five years in studies that reported the outcomes that we were interested in. The review found the following:ÃƒÆ’Ã‚Â¢ÃƒÂ¢Ã¢â‚¬Å¡Ã‚Â¬Ãƒâ€šÃ‚Â¨ÃƒÆ’Ã‚Â¢ÃƒÂ¢Ã¢â‚¬Å¡Ã‚Â¬ÃƒÂ¢Ã¢â€šÂ¬Ã…â€œ Approximately one in five people with cirrhosis and oesophageal varices (without previous bleeding) who receive the betaÃƒÆ’Ã‚Â¢ÃƒÂ¢Ã¢â‚¬Å¡Ã‚Â¬Ãƒâ€šÃ‚Âblockers died within five years.ÃƒÆ’Ã‚Â¢ÃƒÂ¢Ã¢â‚¬Å¡Ã‚Â¬Ãƒâ€šÃ‚Â¨ÃƒÆ’Ã‚Â¢ÃƒÂ¢Ã¢â‚¬Å¡Ã‚Â¬ÃƒÂ¢Ã¢â€šÂ¬Ã…â€œ BetaÃƒÆ’Ã‚Â¢ÃƒÂ¢Ã¢â‚¬Å¡Ã‚Â¬Ãƒâ€šÃ‚Âblockers, variceal band ligation, sclerotherapy, and betaÃƒÆ’Ã‚Â¢ÃƒÂ¢Ã¢â‚¬Å¡Ã‚Â¬Ãƒâ€šÃ‚Âblockers plus nitrates all may result in fewer deaths than no treatment.ÃƒÆ’Ã‚Â¢ÃƒÂ¢Ã¢â‚¬Å¡Ã‚Â¬Ãƒâ€šÃ‚Â¨ÃƒÆ’Ã‚Â¢ÃƒÂ¢Ã¢â‚¬Å¡Ã‚Â¬ÃƒÂ¢Ã¢â€šÂ¬Ã…â€œ Variceal band ligation may result in a higher number of serious side effects than betaÃƒÆ’Ã‚Â¢ÃƒÂ¢Ã¢â‚¬Å¡Ã‚Â¬Ãƒâ€šÃ‚Âblockers.ÃƒÆ’Ã‚Â¢ÃƒÂ¢Ã¢â‚¬Å¡Ã‚Â¬Ãƒâ€šÃ‚Â¨ÃƒÆ’Ã‚Â¢ÃƒÂ¢Ã¢â‚¬Å¡Ã‚Â¬ÃƒÂ¢Ã¢â€šÂ¬Ã…â€œ Sclerotherapy, betaÃƒÆ’Ã‚Â¢ÃƒÂ¢Ã¢â‚¬Å¡Ã‚Â¬Ãƒâ€šÃ‚Âblockers plus nitrates, and betaÃƒÆ’Ã‚Â¢ÃƒÂ¢Ã¢â‚¬Å¡Ã‚Â¬Ãƒâ€šÃ‚Âblockers plus variceal band ligation may result in more side effects (when serious and nonÃƒÆ’Ã‚Â¢ÃƒÂ¢Ã¢â‚¬Å¡Ã‚Â¬Ãƒâ€šÃ‚Âserious adverse events were put together) than betaÃƒÆ’Ã‚Â¢ÃƒÂ¢Ã¢â‚¬Å¡Ã‚Â¬Ãƒâ€šÃ‚Âblockers.ÃƒÆ’Ã‚Â¢ÃƒÂ¢Ã¢â‚¬Å¡Ã‚Â¬Ãƒâ€šÃ‚Â¨ÃƒÆ’Ã‚Â¢ÃƒÂ¢Ã¢â‚¬Å¡Ã‚Â¬ÃƒÂ¢Ã¢â€šÂ¬Ã…â€œ BetaÃƒÆ’Ã‚Â¢ÃƒÂ¢Ã¢â‚¬Å¡Ã‚Â¬Ãƒâ€šÃ‚Âblockers plus variceal band ligation may result in fewer people who develop bleeding than betaÃƒÆ’Ã‚Â¢ÃƒÂ¢Ã¢â‚¬Å¡Ã‚Â¬Ãƒâ€šÃ‚Âblockers alone based on a single small trial.ÃƒÆ’Ã‚Â¢ÃƒÂ¢Ã¢â‚¬Å¡Ã‚Â¬Ãƒâ€šÃ‚Â¨ÃƒÆ’Ã‚Â¢ÃƒÂ¢Ã¢â‚¬Å¡Ã‚Â¬ÃƒÂ¢Ã¢â€šÂ¬Ã…â€œ Nitrates alone may result in more people who develop bleeding than betaÃƒÆ’Ã‚Â¢ÃƒÂ¢Ã¢â‚¬Å¡Ã‚Â¬Ãƒâ€šÃ‚Âblockers alone.ÃƒÆ’Ã‚Â¢ÃƒÂ¢Ã¢â‚¬Å¡Ã‚Â¬Ãƒâ€šÃ‚Â¨ÃƒÆ’Ã‚Â¢ÃƒÂ¢Ã¢â‚¬Å¡Ã‚Â¬ÃƒÂ¢Ã¢â€šÂ¬Ã…â€œ The evidence indicates considerable uncertainty about the effect of the interventions in the remaining comparisons.ÃƒÆ’Ã‚Â¢ÃƒÂ¢Ã¢â‚¬Å¡Ã‚Â¬Ãƒâ€šÃ‚Â¨ÃƒÆ’Ã‚Â¢ÃƒÂ¢Ã¢â‚¬Å¡Ã‚Â¬ÃƒÂ¢Ã¢â€šÂ¬Ã…â€œ None of the trials reported healthÃƒÆ’Ã‚Â¢ÃƒÂ¢Ã¢â‚¬Å¡Ã‚Â¬Ãƒâ€šÃ‚Ârelated quality of life. What are our conclusions? BetaÃƒÆ’Ã‚Â¢ÃƒÂ¢Ã¢â‚¬Å¡Ã‚Â¬Ãƒâ€šÃ‚Âblockers, variceal band ligation, sclerotherapy, and betaÃƒÆ’Ã‚Â¢ÃƒÂ¢Ã¢â‚¬Å¡Ã‚Â¬Ãƒâ€šÃ‚Âblockers plus nitrates may decrease the death rate compared to no treatment in people with highÃƒÆ’Ã‚Â¢ÃƒÂ¢Ã¢â‚¬Å¡Ã‚Â¬Ãƒâ€šÃ‚Ârisk oesophageal varices in people with cirrhosis and no history of bleeding. Variceal band ligation may result in a higher number of serious side effects than betaÃƒÆ’Ã‚Â¢ÃƒÂ¢Ã¢â‚¬Å¡Ã‚Â¬Ãƒâ€šÃ‚Âblockers. The evidence indicates considerable uncertainty about the effect of betaÃƒÆ’Ã‚Â¢ÃƒÂ¢Ã¢â‚¬Å¡Ã‚Â¬Ãƒâ€šÃ‚Âblockers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</si>
  <si>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</si>
  <si>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</si>
  <si>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</si>
  <si>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</si>
  <si>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</si>
  <si>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ÃƒÆ’Ã¢â‚¬Å¡Ãƒâ€šÃ‚Â© 2025</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</si>
  <si>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</si>
  <si>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</si>
  <si>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</si>
  <si>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J554</t>
  </si>
  <si>
    <t>Early supported discharge for patients with febrile neutropenia - experience at a large district hospital in the UK</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</si>
  <si>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</si>
  <si>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</si>
  <si>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</si>
  <si>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J558</t>
  </si>
  <si>
    <t>Conservative interventions for treating functional daytime urinary incontinence in children</t>
  </si>
  <si>
    <t>J561</t>
  </si>
  <si>
    <t>Dietary interventions for adult cancer survivors</t>
  </si>
  <si>
    <t>J598</t>
  </si>
  <si>
    <t>A modelling study of the budget impact of improved glycaemic control in adults with Type 1 diabetes in the UK</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</si>
  <si>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</si>
  <si>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</si>
  <si>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</si>
  <si>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J2855</t>
  </si>
  <si>
    <t>Carbapenemase-producing organism (CPO) colonisation at a district general hospital: universal screening may help reduce transmission</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</si>
  <si>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</si>
  <si>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</si>
  <si>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</si>
  <si>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</si>
  <si>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J2858</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</si>
  <si>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</si>
  <si>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</si>
  <si>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</si>
  <si>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</si>
  <si>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</si>
  <si>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</si>
  <si>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</si>
  <si>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</si>
  <si>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</si>
  <si>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</si>
  <si>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</si>
  <si>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</si>
  <si>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</si>
  <si>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</si>
  <si>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</si>
  <si>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</si>
  <si>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</si>
  <si>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</si>
  <si>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</si>
  <si>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</si>
  <si>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</si>
  <si>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J6209</t>
  </si>
  <si>
    <t>Tranexamic acid for preventing postpartum haemorrhage after vaginal birth</t>
  </si>
  <si>
    <t>J6218</t>
  </si>
  <si>
    <t>Direct factor Xa inhibitors versus low molecular weight heparins or vitamin K antagonists for prevention of venous thromboembolism in elective primary hip or knee replacement or hip fracture repair</t>
  </si>
  <si>
    <t>cash_saving_terms</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</si>
  <si>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ParticipantÃƒÆ’Ã‚Â¢ÃƒÂ¢Ã¢â‚¬Å¡Ã‚Â¬Ãƒâ€šÃ‚Âassessed outcomes, such as perception of DLs, and oral healthÃƒÆ’Ã‚Â¢ÃƒÂ¢Ã¢â‚¬Å¡Ã‚Â¬Ãƒâ€šÃ‚Ârelated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ParallelÃƒÆ’Ã‚Â¢ÃƒÂ¢Ã¢â‚¬Å¡Ã‚Â¬Ãƒâ€šÃ‚Âgroup, randomised controlled trials comparing the use of a fluorideÃƒÆ’Ã‚Â¢ÃƒÂ¢Ã¢â‚¬Å¡Ã‚Â¬Ãƒâ€šÃ‚Âcontaining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(nonÃƒÆ’Ã‚Â¢ÃƒÂ¢Ã¢â‚¬Å¡Ã‚Â¬Ãƒâ€šÃ‚Âfluoride)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lowÃƒÆ’Ã‚Â¢ÃƒÂ¢Ã¢â‚¬Å¡Ã‚Â¬Ãƒâ€šÃ‚Âcertainty evidence). One placebo (nonÃƒÆ’Ã‚Â¢ÃƒÂ¢Ã¢â‚¬Å¡Ã‚Â¬Ãƒâ€šÃ‚Âfluoride)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highÃƒÆ’Ã‚Â¢ÃƒÂ¢Ã¢â‚¬Å¡Ã‚Â¬Ãƒâ€šÃ‚Âconcentration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comparisons:ÃƒÆ’Ã‚Â¢ÃƒÂ¢Ã¢â‚¬Å¡Ã‚Â¬Ãƒâ€šÃ‚Â¨ ÃƒÆ’Ã‚Â¢ÃƒÂ¢Ã¢â‚¬Å¡Ã‚Â¬Ãƒâ€šÃ‚Â an amine fluoride and stannous fluoride toothpaste/mouthrinse combination versus a sodium fluoride toothpaste/mouthrinse,ÃƒÆ’Ã‚Â¢ÃƒÂ¢Ã¢â‚¬Å¡Ã‚Â¬Ãƒâ€šÃ‚Â¨ ÃƒÆ’Ã‚Â¢ÃƒÂ¢Ã¢â‚¬Å¡Ã‚Â¬Ãƒâ€šÃ‚Â an amine fluoride gel versus a nonÃƒÆ’Ã‚Â¢ÃƒÂ¢Ã¢â‚¬Å¡Ã‚Â¬Ãƒâ€šÃ‚Âfluoride placebo applied by participants at home once a week and by professional application every three months,ÃƒÆ’Ã‚Â¢ÃƒÂ¢Ã¢â‚¬Å¡Ã‚Â¬Ãƒâ€šÃ‚Â¨ ÃƒÆ’Ã‚Â¢ÃƒÂ¢Ã¢â‚¬Å¡Ã‚Â¬Ãƒâ€šÃ‚Â resinÃƒÆ’Ã‚Â¢ÃƒÂ¢Ã¢â‚¬Å¡Ã‚Â¬Ãƒâ€šÃ‚Âmodified glass ionomer cement versus lightÃƒÆ’Ã‚Â¢ÃƒÂ¢Ã¢â‚¬Å¡Ã‚Â¬Ãƒâ€šÃ‚Âcured composite resin for bonding orthodontic brackets,ÃƒÆ’Ã‚Â¢ÃƒÂ¢Ã¢â‚¬Å¡Ã‚Â¬Ãƒâ€šÃ‚Â¨ ÃƒÆ’Ã‚Â¢ÃƒÂ¢Ã¢â‚¬Å¡Ã‚Â¬Ãƒâ€šÃ‚Â a 250 ppm F mouthrinse versus 0 ppm F placebo mouthrinse,ÃƒÆ’Ã‚Â¢ÃƒÂ¢Ã¢â‚¬Å¡Ã‚Â¬Ãƒâ€šÃ‚Â¨ ÃƒÆ’Ã‚Â¢ÃƒÂ¢Ã¢â‚¬Å¡Ã‚Â¬Ãƒâ€šÃ‚Â the use of an intraoral fluorideÃƒÆ’Ã‚Â¢ÃƒÂ¢Ã¢â‚¬Å¡Ã‚Â¬Ãƒâ€šÃ‚Âreleasing glass bead device attached to the brace versus a daily fluoride mouthrinse. The last two comparisons involved studies that were assessed at high risk of bias, because a substantial number of participants were lost to followÃƒÆ’Ã‚Â¢ÃƒÂ¢Ã¢â‚¬Å¡Ã‚Â¬Ãƒâ€šÃ‚Âup.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followÃƒÆ’Ã‚Â¢ÃƒÂ¢Ã¢â‚¬Å¡Ã‚Â¬Ãƒâ€šÃ‚Âup studies, in different settings, to confirm external validity. A patientÃƒÆ’Ã‚Â¢ÃƒÂ¢Ã¢â‚¬Å¡Ã‚Â¬Ãƒâ€šÃ‚Âreported outcome, such as concern about the aesthetics of any DLs, was still not included as an outcome in any study. Reports of adverse effects from topical fluoride applications were rare and unlikely to be significant. One study involving fluorideÃƒÆ’Ã‚Â¢ÃƒÂ¢Ã¢â‚¬Å¡Ã‚Â¬Ãƒâ€šÃ‚Âcontaining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ÃƒÆ’Ã‚Â¢ÃƒÂ¢Ã¢â‚¬Å¡Ã‚Â¬Ãƒâ€šÃ‚Â¨ Ugly white or brown marks sometimes appear on the teeth during treatment with braces to straighten teeth. These are due to early tooth decay and usually occur with fixed, gluedÃƒÆ’Ã‚Â¢ÃƒÂ¢Ã¢â‚¬Å¡Ã‚Â¬Ãƒâ€šÃ‚Âon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ÃƒÆ’Ã‚Â¢ÃƒÂ¢Ã¢â‚¬Å¡Ã‚Â¬Ãƒâ€šÃ‚Â¨ Wearing a fixed brace makes it harder for people to keep their teeth clean and may also cause pain. Pain can make it more difficult for people to brush their teeth. This can lead to a buildÃƒÆ’Ã‚Â¢ÃƒÂ¢Ã¢â‚¬Å¡Ã‚Â¬Ãƒâ€šÃ‚Âup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ÃƒÆ’Ã‚Â¢ÃƒÂ¢Ã¢â‚¬Å¡Ã‚Â¬Ãƒâ€šÃ‚Â¨ This review is upÃƒÆ’Ã‚Â¢ÃƒÂ¢Ã¢â‚¬Å¡Ã‚Â¬Ãƒâ€šÃ‚ÂtoÃƒÆ’Ã‚Â¢ÃƒÂ¢Ã¢â‚¬Å¡Ã‚Â¬Ãƒâ€šÃ‚Âdate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treatments:ÃƒÆ’Ã‚Â¢ÃƒÂ¢Ã¢â‚¬Å¡Ã‚Â¬Ãƒâ€šÃ‚Â¨ ÃƒÆ’Ã‚Â¢ÃƒÂ¢Ã¢â‚¬Å¡Ã‚Â¬Ãƒâ€šÃ‚Â dentist or nurseÃƒÆ’Ã‚Â¢ÃƒÂ¢Ã¢â‚¬Å¡Ã‚Â¬Ãƒâ€šÃ‚Âapplied fluoride e.g. varnish, gel or foam,ÃƒÆ’Ã‚Â¢ÃƒÂ¢Ã¢â‚¬Å¡Ã‚Â¬Ãƒâ€šÃ‚Â¨ ÃƒÆ’Ã‚Â¢ÃƒÂ¢Ã¢â‚¬Å¡Ã‚Â¬Ãƒâ€šÃ‚Â patientÃƒÆ’Ã‚Â¢ÃƒÂ¢Ã¢â‚¬Å¡Ã‚Â¬Ãƒâ€šÃ‚Âapplied/used fluoride e.g. toothpaste, mouthwash, gel or foam, andÃƒÆ’Ã‚Â¢ÃƒÂ¢Ã¢â‚¬Å¡Ã‚Â¬Ãƒâ€šÃ‚Â¨ ÃƒÆ’Ã‚Â¢ÃƒÂ¢Ã¢â‚¬Å¡Ã‚Â¬Ãƒâ€šÃ‚Â materials that release fluoride over time e.g. glues, elastic bands. Key results ÃƒÆ’Ã‚Â¢ÃƒÂ¢Ã¢â‚¬Å¡Ã‚Â¬Ãƒâ€šÃ‚Â¨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ÃƒÆ’Ã‚Â¢ÃƒÂ¢Ã¢â‚¬Å¡Ã‚Â¬Ãƒâ€šÃ‚Â¨ The level of belief we have in these findings is low, due to the lack of studies testing the same fluorides and showing the same results. We suggest that more, wellÃƒÆ’Ã‚Â¢ÃƒÂ¢Ã¢â‚¬Å¡Ã‚Â¬Ãƒâ€šÃ‚Âconducted studies should be done in this area.</t>
  </si>
  <si>
    <t>[]</t>
  </si>
  <si>
    <t>The article does not explicitly demonstrate cash-releasing savings or positive ROI.</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</si>
  <si>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ChildbirthÃƒÆ’Ã‚Â¢ÃƒÂ¢Ã¢â‚¬Å¡Ã‚Â¬ÃƒÂ¢Ã¢â‚¬Å¾Ã‚Â¢s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TVUÃƒÆ’Ã‚Â¢ÃƒÂ¢Ã¢â‚¬Å¡Ã‚Â¬Ãƒâ€šÃ‚Âmeasured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TVUÃƒÆ’Ã‚Â¢ÃƒÂ¢Ã¢â‚¬Å¡Ã‚Â¬Ãƒâ€šÃ‚Âmeasured cervical length of singletons with symptoms of PTL versus no knowledge. We are uncertain of the effects because of inconclusive results and very lowÃƒÆ’Ã‚Â¢ÃƒÂ¢Ã¢â‚¬Å¡Ã‚Â¬Ãƒâ€šÃ‚Âquality evidence for: preterm births at less than 37 weeks (average RR 0.59, 95% CI 0.26 to 1.32; 2 studies, 242 participants; IÃƒÆ’Ã¢â‚¬Å¡Ãƒâ€šÃ‚Â² = 66%; TauÃƒÆ’Ã¢â‚¬Å¡Ãƒâ€šÃ‚Â²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IÃƒÆ’Ã¢â‚¬Å¡Ãƒâ€šÃ‚Â²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ultrasoundÃƒÆ’Ã‚Â¢ÃƒÂ¢Ã¢â‚¬Å¡Ã‚Â¬Ãƒâ€šÃ‚Âmeasured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costÃƒÆ’Ã‚Â¢ÃƒÂ¢Ã¢â‚¬Å¡Ã‚Â¬Ãƒâ€šÃ‚Âeffectiveness analyses. Most importantly, future studies should include a clear protocol for management of women based on TVUÃƒÆ’Ã‚Â¢ÃƒÂ¢Ã¢â‚¬Å¡Ã‚Â¬Ãƒâ€šÃ‚Âmeasured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lowÃƒÆ’Ã‚Â¢ÃƒÂ¢Ã¢â‚¬Å¡Ã‚Â¬Ãƒâ€šÃ‚Âquality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costÃƒÆ’Ã‚Â¢ÃƒÂ¢Ã¢â‚¬Å¡Ã‚Â¬Ãƒâ€šÃ‚Âeffectiveness analyses.</t>
  </si>
  <si>
    <t>The article does not mention any explicit cash-releasing savings or positive ROI.</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</si>
  <si>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ÃƒÆ’Ã¢â‚¬Å¡Ãƒâ€šÃ‚Â© 2019 European Centre for Disease Prevention and Control (ECDC). All rights reserved.</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</si>
  <si>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(XpressIveÃƒÆ’Ã¢â‚¬Å¡Ãƒâ€šÃ‚Â©) and Discrete-Even Simulation (Simul8 ÃƒÆ’Ã¢â‚¬Å¡Ãƒâ€šÃ‚Â©).Various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</si>
  <si>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The article explicitly mentions annual cost savings from the outreach service.</t>
  </si>
  <si>
    <t>['net saving', 'expenditure reduction']</t>
  </si>
  <si>
    <t>Perioperative betaÃƒÆ’Ã‚Â¢ÃƒÂ¢Ã¢â‚¬Å¡Ã‚Â¬Ãƒâ€šÃ‚Âblockers for preventing surgeryÃƒÆ’Ã‚Â¢ÃƒÂ¢Ã¢â‚¬Å¡Ã‚Â¬Ãƒâ€šÃ‚Ârelated mortality and morbidity in adults undergoing nonÃƒÆ’Ã‚Â¢ÃƒÂ¢Ã¢â‚¬Å¡Ã‚Â¬Ãƒâ€šÃ‚Âcardiac surgery</t>
  </si>
  <si>
    <t>- Background Randomized controlled trials (RCTs) have yielded conflicting results regarding the ability of betaÃƒÆ’Ã‚Â¢ÃƒÂ¢Ã¢â‚¬Å¡Ã‚Â¬Ãƒâ€šÃ‚Âblockers to influence perioperative cardiovascular morbidity and mortality. Thus routine prescription of these drugs in an unselected population remains a controversial issue. A previous version of this review assessing the effectiveness of perioperative betaÃƒÆ’Ã‚Â¢ÃƒÂ¢Ã¢â‚¬Å¡Ã‚Â¬Ãƒâ€šÃ‚Âblockers in cardiac and nonÃƒÆ’Ã‚Â¢ÃƒÂ¢Ã¢â‚¬Å¡Ã‚Â¬Ãƒâ€šÃ‚Âcardiac surgery was last published in 2018. The previous review has now been split into two reviews according to type of surgery. This is an update, and assesses the evidence in nonÃƒÆ’Ã‚Â¢ÃƒÂ¢Ã¢â‚¬Å¡Ã‚Â¬Ãƒâ€šÃ‚Âcardiac surgery only. Objectives To assess the effectiveness of perioperatively administered betaÃƒÆ’Ã‚Â¢ÃƒÂ¢Ã¢â‚¬Å¡Ã‚Â¬Ãƒâ€šÃ‚Âblockers for the prevention of surgeryÃƒÆ’Ã‚Â¢ÃƒÂ¢Ã¢â‚¬Å¡Ã‚Â¬Ãƒâ€šÃ‚Ârelated mortality and morbidity in adults undergoing nonÃƒÆ’Ã‚Â¢ÃƒÂ¢Ã¢â‚¬Å¡Ã‚Â¬Ãƒâ€šÃ‚Âcardiac surgery. Search methods We searched CENTRAL, MEDLINE, Embase, CINAHL, Biosis Previews and Conference Proceedings Citation IndexÃƒÆ’Ã‚Â¢ÃƒÂ¢Ã¢â‚¬Å¡Ã‚Â¬Ãƒâ€šÃ‚ÂScience on 28 June 2019. We searched clinical trials registers and grey literature, and conducted backwardÃƒÆ’Ã‚Â¢ÃƒÂ¢Ã¢â‚¬Å¡Ã‚Â¬Ãƒâ€šÃ‚Â and forwardÃƒÆ’Ã‚Â¢ÃƒÂ¢Ã¢â‚¬Å¡Ã‚Â¬Ãƒâ€šÃ‚Âcitation searching of relevant articles. Selection criteria We included RCTs and quasiÃƒÆ’Ã‚Â¢ÃƒÂ¢Ã¢â‚¬Å¡Ã‚Â¬Ãƒâ€šÃ‚Ârandomized studies comparing betaÃƒÆ’Ã‚Â¢ÃƒÂ¢Ã¢â‚¬Å¡Ã‚Â¬Ãƒâ€šÃ‚Âblockers with a control (placebo or standard care) administered during the perioperative period to adults undergoing nonÃƒÆ’Ã‚Â¢ÃƒÂ¢Ã¢â‚¬Å¡Ã‚Â¬Ãƒâ€šÃ‚Âcardiac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betaÃƒÆ’Ã‚Â¢ÃƒÂ¢Ã¢â‚¬Å¡Ã‚Â¬Ãƒâ€šÃ‚Âblocker, and studies in which betaÃƒÆ’Ã‚Â¢ÃƒÂ¢Ã¢â‚¬Å¡Ã‚Â¬Ãƒâ€šÃ‚Âblockers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quasiÃƒÆ’Ã‚Â¢ÃƒÂ¢Ã¢â‚¬Å¡Ã‚Â¬Ãƒâ€šÃ‚Ârandomized studies. All participants were undergoing nonÃƒÆ’Ã‚Â¢ÃƒÂ¢Ã¢â‚¬Å¡Ã‚Â¬Ãƒâ€šÃ‚Âcardiac surgery, and types of surgery ranged from low to high risk. Types of betaÃƒÆ’Ã‚Â¢ÃƒÂ¢Ã¢â‚¬Å¡Ã‚Â¬Ãƒâ€šÃ‚Âblockers were: propranolol, metoprolol, esmolol, landiolol, nadolol, atenolol, labetalol, oxprenolol, and pindolol. In nine studies, betaÃƒÆ’Ã‚Â¢ÃƒÂ¢Ã¢â‚¬Å¡Ã‚Â¬Ãƒâ€šÃ‚Âblockers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multiÃƒÆ’Ã‚Â¢ÃƒÂ¢Ã¢â‚¬Å¡Ã‚Â¬Ãƒâ€šÃ‚Âarm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openÃƒÆ’Ã‚Â¢ÃƒÂ¢Ã¢â‚¬Å¡Ã‚Â¬Ãƒâ€šÃ‚Âlabel study design. Only two studies were prospectively registered with clinical trials registers, which limited the assessment of reporting bias. In six studies, participants in the control group were given betaÃƒÆ’Ã‚Â¢ÃƒÂ¢Ã¢â‚¬Å¡Ã‚Â¬Ãƒâ€šÃ‚Âblockers as rescue therapy during the study period. The evidence for allÃƒÆ’Ã‚Â¢ÃƒÂ¢Ã¢â‚¬Å¡Ã‚Â¬Ãƒâ€šÃ‚Âcause mortality at 30 days was uncertain; based on the risk of death in the control group of 25 per 1000, the effect with betaÃƒÆ’Ã‚Â¢ÃƒÂ¢Ã¢â‚¬Å¡Ã‚Â¬Ãƒâ€šÃ‚Âblockers was between two fewer and 13 more per 1000 (risk ratio (RR) 1.17, 95% confidence interval (CI) 0.89 to 1.54; 16 studies, 11,446 participants; lowÃƒÆ’Ã‚Â¢ÃƒÂ¢Ã¢â‚¬Å¡Ã‚Â¬Ãƒâ€šÃ‚Âcertainty evidence). BetaÃƒÆ’Ã‚Â¢ÃƒÂ¢Ã¢â‚¬Å¡Ã‚Â¬Ãƒâ€šÃ‚Âblockers may reduce the incidence of myocardial infarction by 13 fewer incidences per 1000 (RR 0.72, 95% CI 0.60 to 0.87; 12 studies, 10,520 participants; lowÃƒÆ’Ã‚Â¢ÃƒÂ¢Ã¢â‚¬Å¡Ã‚Â¬Ãƒâ€šÃ‚Âcertainty evidence). We found no evidence of a difference in cerebrovascular events (RR 1.65, 95% CI 0.97 to 2.81; 6 studies, 9460 participants; lowÃƒÆ’Ã‚Â¢ÃƒÂ¢Ã¢â‚¬Å¡Ã‚Â¬Ãƒâ€šÃ‚Âcertainty evidence), or in ventricular arrhythmias (RR 0.72, 95% CI 0.35 to 1.47; 5 studies, 47 participants; very lowÃƒÆ’Ã‚Â¢ÃƒÂ¢Ã¢â‚¬Å¡Ã‚Â¬Ãƒâ€šÃ‚Âcertainty evidence). BetaÃƒÆ’Ã‚Â¢ÃƒÂ¢Ã¢â‚¬Å¡Ã‚Â¬Ãƒâ€šÃ‚Âblockers may reduce atrial fibrillation or flutter by 26 fewer incidences per 1000 (RR 0.41, 95% CI 0.21 to 0.79; 9 studies, 9080 participants; lowÃƒÆ’Ã‚Â¢ÃƒÂ¢Ã¢â‚¬Å¡Ã‚Â¬Ãƒâ€šÃ‚Âcertainty evidence). However, betaÃƒÆ’Ã‚Â¢ÃƒÂ¢Ã¢â‚¬Å¡Ã‚Â¬Ãƒâ€šÃ‚Âblockers may increase bradycardia by 55 more incidences per 1000 (RR 2.49, 95% CI 1.74 to 3.56; 49 studies, 12,239 participants; lowÃƒÆ’Ã‚Â¢ÃƒÂ¢Ã¢â‚¬Å¡Ã‚Â¬Ãƒâ€šÃ‚Âcertainty evidence), and hypotension by 44 more per 1000 (RR 1.40, 95% CI 1.29 to 1.51; 49 studies, 12,304 participants; moderateÃƒÆ’Ã‚Â¢ÃƒÂ¢Ã¢â‚¬Å¡Ã‚Â¬Ãƒâ€šÃ‚Âcertainty evidence). We downgraded the certainty of the evidence owing to study limitations; some studies had high risks of bias, and the effects were sometimes altered when we excluded studies with a standard care control group (including only placeboÃƒÆ’Ã‚Â¢ÃƒÂ¢Ã¢â‚¬Å¡Ã‚Â¬Ãƒâ€šÃ‚Âcontrolled trials showed an increase in early mortality and cerebrovascular events with betaÃƒÆ’Ã‚Â¢ÃƒÂ¢Ã¢â‚¬Å¡Ã‚Â¬Ãƒâ€šÃ‚Âblockers). We also downgraded for inconsistency; one large, wellÃƒÆ’Ã‚Â¢ÃƒÂ¢Ã¢â‚¬Å¡Ã‚Â¬Ãƒâ€šÃ‚Âconducted, international study found a reduction in myocardial infarction, and an increase in cerebrovascular events and allÃƒÆ’Ã‚Â¢ÃƒÂ¢Ã¢â‚¬Å¡Ã‚Â¬Ãƒâ€šÃ‚Âcause mortality, when betaÃƒÆ’Ã‚Â¢ÃƒÂ¢Ã¢â‚¬Å¡Ã‚Â¬Ãƒâ€šÃ‚Âblockers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allÃƒÆ’Ã‚Â¢ÃƒÂ¢Ã¢â‚¬Å¡Ã‚Â¬Ãƒâ€šÃ‚Âcause mortality with perioperative betaÃƒÆ’Ã‚Â¢ÃƒÂ¢Ã¢â‚¬Å¡Ã‚Â¬Ãƒâ€šÃ‚Âblockers was uncertain. We found no evidence of a difference in cerebrovascular events or ventricular arrhythmias, and the certainty of the evidence for these outcomes was low and very low. We found lowÃƒÆ’Ã‚Â¢ÃƒÂ¢Ã¢â‚¬Å¡Ã‚Â¬Ãƒâ€šÃ‚Âcertainty evidence that betaÃƒÆ’Ã‚Â¢ÃƒÂ¢Ã¢â‚¬Å¡Ã‚Â¬Ãƒâ€šÃ‚Âblockers may reduce atrial fibrillation and myocardial infarctions. However, betaÃƒÆ’Ã‚Â¢ÃƒÂ¢Ã¢â‚¬Å¡Ã‚Â¬Ãƒâ€šÃ‚Âblockers may increase bradycardia (lowÃƒÆ’Ã‚Â¢ÃƒÂ¢Ã¢â‚¬Å¡Ã‚Â¬Ãƒâ€šÃ‚Âcertainty evidence) and probably increase hypotension (moderateÃƒÆ’Ã‚Â¢ÃƒÂ¢Ã¢â‚¬Å¡Ã‚Â¬Ãƒâ€šÃ‚Âcertainty evidence). Further evidence from large placeboÃƒÆ’Ã‚Â¢ÃƒÂ¢Ã¢â‚¬Å¡Ã‚Â¬Ãƒâ€šÃ‚Âcontrolled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BetaÃƒÆ’Ã‚Â¢ÃƒÂ¢Ã¢â‚¬Å¡Ã‚Â¬Ãƒâ€šÃ‚Âblockers to prevent death or serious events after surgery not involving the heart This review assessed evidence from randomized controlled trials (RCTs) on whether betaÃƒÆ’Ã‚Â¢ÃƒÂ¢Ã¢â‚¬Å¡Ã‚Â¬Ãƒâ€šÃ‚Âblockers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BetaÃƒÆ’Ã‚Â¢ÃƒÂ¢Ã¢â‚¬Å¡Ã‚Â¬Ãƒâ€šÃ‚Âblockers are drugs that block the action of adrenaline and noradrenaline on the heart. BetaÃƒÆ’Ã‚Â¢ÃƒÂ¢Ã¢â‚¬Å¡Ã‚Â¬Ãƒâ€šÃ‚Âblockers can slow down the heart, and reduce blood pressure, and this may reduce the risk of serious events. However, betaÃƒÆ’Ã‚Â¢ÃƒÂ¢Ã¢â‚¬Å¡Ã‚Â¬Ãƒâ€šÃ‚Âblockers may lead to a very low heart rate or very low blood pressure which could increase the risk of death or a stroke. Prevention of early complications after surgery is important, but using betaÃƒÆ’Ã‚Â¢ÃƒÂ¢Ã¢â‚¬Å¡Ã‚Â¬Ãƒâ€šÃ‚Âblockers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betaÃƒÆ’Ã‚Â¢ÃƒÂ¢Ã¢â‚¬Å¡Ã‚Â¬Ãƒâ€šÃ‚Âblockers used in the studies were: propranolol, metoprolol, esmolol, landiolol, nadolol, atenolol, labetalol, oxprenolol, and pindolol. Studies compared these betaÃƒÆ’Ã‚Â¢ÃƒÂ¢Ã¢â‚¬Å¡Ã‚Â¬Ãƒâ€šÃ‚Âblockers with either a placebo (disguised to look like a betaÃƒÆ’Ã‚Â¢ÃƒÂ¢Ã¢â‚¬Å¡Ã‚Â¬Ãƒâ€šÃ‚Âblocker but containing no medicine) or with standard care. Key results BetaÃƒÆ’Ã‚Â¢ÃƒÂ¢Ã¢â‚¬Å¡Ã‚Â¬Ãƒâ€šÃ‚Âblockers may make l ttle or no difference to the number of people who die within 30 days of surgery (16 studies, 11,446 participants; lowÃƒÆ’Ã‚Â¢ÃƒÂ¢Ã¢â‚¬Å¡Ã‚Â¬Ãƒâ€šÃ‚Âcertainty evidence), have a stroke (6 studies, 9460 participants; lowÃƒÆ’Ã‚Â¢ÃƒÂ¢Ã¢â‚¬Å¡Ã‚Â¬Ãƒâ€šÃ‚Âcertainty evidence), or experience ventricular arrhythmias (irregular heartbeat rhythms, starting in the main chambers of the heart, that are potentially lifeÃƒÆ’Ã‚Â¢ÃƒÂ¢Ã¢â‚¬Å¡Ã‚Â¬Ãƒâ€šÃ‚Âthreatening and may need immediate medical treatment; 5 studies, 476 participants; very lowÃƒÆ’Ã‚Â¢ÃƒÂ¢Ã¢â‚¬Å¡Ã‚Â¬Ãƒâ€šÃ‚Âcertainty evidence). We found that betaÃƒÆ’Ã‚Â¢ÃƒÂ¢Ã¢â‚¬Å¡Ã‚Â¬Ãƒâ€šÃ‚Âblockers may reduce atrial fibrillation (an irregular heartbeat, starting in the atrial chambers of the heart, that increases the risk of stroke if untreated; 9 studies, 9080 participants; low certaintyÃƒÆ’Ã‚Â¢ÃƒÂ¢Ã¢â‚¬Å¡Ã‚Â¬Ãƒâ€šÃ‚Âevidence), and the number of people who have a heart attack (12 studies, 10,520 participants; lowÃƒÆ’Ã‚Â¢ÃƒÂ¢Ã¢â‚¬Å¡Ã‚Â¬Ãƒâ€šÃ‚Âcertainty evidence). However, taking betaÃƒÆ’Ã‚Â¢ÃƒÂ¢Ã¢â‚¬Å¡Ã‚Â¬Ãƒâ€šÃ‚Âblockers may increase the number of people who experience a very low heart rate (49 studies, 12,239 participants; lowÃƒÆ’Ã‚Â¢ÃƒÂ¢Ã¢â‚¬Å¡Ã‚Â¬Ãƒâ€šÃ‚Âcertainty evidence), or very low blood pressure (49 studies, 12,304 participants; moderateÃƒÆ’Ã‚Â¢ÃƒÂ¢Ã¢â‚¬Å¡Ã‚Â¬Ãƒâ€šÃ‚Âcertainty evidence), around the time of surgery. In a few studies, we also found little or no difference in the number of people who died after 30 days, who died because of a heart problem, or had heart failure. We found no evidence of whether betaÃƒÆ’Ã‚Â¢ÃƒÂ¢Ã¢â‚¬Å¡Ã‚Â¬Ãƒâ€šÃ‚Âblockers alter the length of time in hospital. No studies assessed whether people who were given betaÃƒÆ’Ã‚Â¢ÃƒÂ¢Ã¢â‚¬Å¡Ã‚Â¬Ãƒâ€šÃ‚Âblockers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placeboÃƒÆ’Ã‚Â¢ÃƒÂ¢Ã¢â‚¬Å¡Ã‚Â¬Ãƒâ€šÃ‚Âcontrolled studies or studies that reported how participants were randomized. We also found one large, wellÃƒÆ’Ã‚Â¢ÃƒÂ¢Ã¢â‚¬Å¡Ã‚Â¬Ãƒâ€šÃ‚Âconducted, international study that had different findings to the smaller studies. It showed a reduction in heart attacks and an increase in stroke and allÃƒÆ’Ã‚Â¢ÃƒÂ¢Ã¢â‚¬Å¡Ã‚Â¬Ãƒâ€šÃ‚Âcause mortality when betaÃƒÆ’Ã‚Â¢ÃƒÂ¢Ã¢â‚¬Å¡Ã‚Â¬Ãƒâ€šÃ‚Âblockers were used, whilst the other studies did not show a clear effect. We were also less certain of the findings for outcomes with few studies, such as for ventricular arrhythmias. Conclusion Although betaÃƒÆ’Ã‚Â¢ÃƒÂ¢Ã¢â‚¬Å¡Ã‚Â¬Ãƒâ€šÃ‚Âblockers may make little or no difference to the number of people who die within 30 days, have a stroke, or have ventricular arrhythmias, they may reduce atrial fibrillation and heart attacks. Taking betaÃƒÆ’Ã‚Â¢ÃƒÂ¢Ã¢â‚¬Å¡Ã‚Â¬Ãƒâ€šÃ‚Âblockers may increase the number of people with a very low heart rate or very low blood pressure around the time of surgery. Further evidence from large, placeboÃƒÆ’Ã‚Â¢ÃƒÂ¢Ã¢â‚¬Å¡Ã‚Â¬Ãƒâ€šÃ‚Âcontrolled trials is likely to increase the certainty of these findings, and we recommend the assessment of impact on quality of life.</t>
  </si>
  <si>
    <t>Perioperative betaÃƒÆ’Ã‚Â¢ÃƒÂ¢Ã¢â‚¬Å¡Ã‚Â¬Ãƒâ€šÃ‚Âblockers for preventing surgeryÃƒÆ’Ã‚Â¢ÃƒÂ¢Ã¢â‚¬Å¡Ã‚Â¬Ãƒâ€šÃ‚Ârelated mortality and morbidity in adults undergoing cardiac surgery</t>
  </si>
  <si>
    <t>- Background Randomized controlled trials (RCTs) have yielded conflicting results regarding the ability of betaÃƒÆ’Ã‚Â¢ÃƒÂ¢Ã¢â‚¬Å¡Ã‚Â¬Ãƒâ€šÃ‚Âblockers to influence perioperative cardiovascular morbidity and mortality. Thus routine prescription of these drugs in unselected patients remains a controversial issue. A previous version of this review assessing the effectiveness of perioperative betaÃƒÆ’Ã‚Â¢ÃƒÂ¢Ã¢â‚¬Å¡Ã‚Â¬Ãƒâ€šÃ‚Âblockers in cardiac and nonÃƒÆ’Ã‚Â¢ÃƒÂ¢Ã¢â‚¬Å¡Ã‚Â¬Ãƒâ€šÃ‚Âcardiac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betaÃƒÆ’Ã‚Â¢ÃƒÂ¢Ã¢â‚¬Å¡Ã‚Â¬Ãƒâ€šÃ‚Âblockers for the prevention of surgeryÃƒÆ’Ã‚Â¢ÃƒÂ¢Ã¢â‚¬Å¡Ã‚Â¬Ãƒâ€šÃ‚Ârelated mortality and morbidity in adults undergoing cardiac surgery. Search methods We searched CENTRAL, MEDLINE, Embase, CINAHL, Biosis Previews and Conference Proceedings Citation IndexÃƒÆ’Ã‚Â¢ÃƒÂ¢Ã¢â‚¬Å¡Ã‚Â¬Ãƒâ€šÃ‚ÂScience on 28 June 2019. We searched clinical trials registers and grey literature, and conducted backwardÃƒÆ’Ã‚Â¢ÃƒÂ¢Ã¢â‚¬Å¡Ã‚Â¬Ãƒâ€šÃ‚Â and forwardÃƒÆ’Ã‚Â¢ÃƒÂ¢Ã¢â‚¬Å¡Ã‚Â¬Ãƒâ€šÃ‚Âcitation searching of relevant articles. Selection criteria We included RCTs and quasiÃƒÆ’Ã‚Â¢ÃƒÂ¢Ã¢â‚¬Å¡Ã‚Â¬Ãƒâ€šÃ‚Ârandomized studies comparing betaÃƒÆ’Ã‚Â¢ÃƒÂ¢Ã¢â‚¬Å¡Ã‚Â¬Ãƒâ€šÃ‚Âblockers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betaÃƒÆ’Ã‚Â¢ÃƒÂ¢Ã¢â‚¬Å¡Ã‚Â¬Ãƒâ€šÃ‚Âblocker, and studies in which betaÃƒÆ’Ã‚Â¢ÃƒÂ¢Ã¢â‚¬Å¡Ã‚Â¬Ãƒâ€šÃ‚Âblockers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quasiÃƒÆ’Ã‚Â¢ÃƒÂ¢Ã¢â‚¬Å¡Ã‚Â¬Ãƒâ€šÃ‚Ârandomized and the remaining were RCTs. All participants were undergoing cardiac surgery, and in most studies, at least some of the participants were previously taking betaÃƒÆ’Ã‚Â¢ÃƒÂ¢Ã¢â‚¬Å¡Ã‚Â¬Ãƒâ€šÃ‚Âblockers. Types of betaÃƒÆ’Ã‚Â¢ÃƒÂ¢Ã¢â‚¬Å¡Ã‚Â¬Ãƒâ€šÃ‚Âblockers were: propranolol, metoprolol, sotalol, esmolol, landiolol, acebutolol, timolol, carvedilol, nadolol, and atenolol. In twelve studies, betaÃƒÆ’Ã‚Â¢ÃƒÂ¢Ã¢â‚¬Å¡Ã‚Â¬Ãƒâ€šÃ‚Âblockers were titrated according to heart rate or blood pressure. Duration of administration varied between studies, as did the time at which drugs were administered; in nine studies this was before surgery, in 20 studies during surgery, and in the remaining studies betaÃƒÆ’Ã‚Â¢ÃƒÂ¢Ã¢â‚¬Å¡Ã‚Â¬Ãƒâ€šÃ‚Âblockers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betaÃƒÆ’Ã‚Â¢ÃƒÂ¢Ã¢â‚¬Å¡Ã‚Â¬Ãƒâ€šÃ‚Âblockers as rescue therapy during the study period, and all studies in which the control was standard care were at high risk of performance bias because of the openÃƒÆ’Ã‚Â¢ÃƒÂ¢Ã¢â‚¬Å¡Ã‚Â¬Ãƒâ€šÃ‚Âlabel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lowÃƒÆ’Ã‚Â¢ÃƒÂ¢Ã¢â‚¬Å¡Ã‚Â¬Ãƒâ€šÃ‚Âcertainty evidence that betaÃƒÆ’Ã‚Â¢ÃƒÂ¢Ã¢â‚¬Å¡Ã‚Â¬Ãƒâ€šÃ‚Âblockers may make little or no difference to allÃƒÆ’Ã‚Â¢ÃƒÂ¢Ã¢â‚¬Å¡Ã‚Â¬Ãƒâ€šÃ‚Âcause mortality at 30 days (risk ratio (RR) 0.95, 95% confidence interval (CI) 0.47 to 1.90; 29 studies, 4099 participants). For myocardial infarctions, we found no evidence of a difference in events (RR 1.05, 95% CI 0.72 to 1.52; 25 studies, 3946 participants; lowÃƒÆ’Ã‚Â¢ÃƒÂ¢Ã¢â‚¬Å¡Ã‚Â¬Ãƒâ€šÃ‚Âcertainty evidence). Few study authors reported cerebrovascular events, and the evidence was uncertain (RR 1.37, 95% CI 0.51 to 3.67; 5 studies, 1471 participants; very lowÃƒÆ’Ã‚Â¢ÃƒÂ¢Ã¢â‚¬Å¡Ã‚Â¬Ãƒâ€šÃ‚Âcertainty evidence). Based on a control risk of 54 per 1000, we found lowÃƒÆ’Ã‚Â¢ÃƒÂ¢Ã¢â‚¬Å¡Ã‚Â¬Ãƒâ€šÃ‚Âcertainty evidence that betaÃƒÆ’Ã‚Â¢ÃƒÂ¢Ã¢â‚¬Å¡Ã‚Â¬Ãƒâ€šÃ‚Âblockers may reduce episodes of ventr cular arrhythmias by 32 episodes per 1000 (RR 0.40, 95% CI 0.25 to 0.63; 12 studies, 2296 participants). For atrial fibrillation or flutter, there may be 163 fewer incidences with betaÃƒÆ’Ã‚Â¢ÃƒÂ¢Ã¢â‚¬Å¡Ã‚Â¬Ãƒâ€šÃ‚Âblockers, based on a control risk of 327 incidences per 1000 (RR 0.50, 95% CI 0.42 to 0.59; 40 studies, 5650 participants; lowÃƒÆ’Ã‚Â¢ÃƒÂ¢Ã¢â‚¬Å¡Ã‚Â¬Ãƒâ€šÃ‚Âcertainty evidence). However, the evidence for bradycardia and hypotension was less certain. We found that betaÃƒÆ’Ã‚Â¢ÃƒÂ¢Ã¢â‚¬Å¡Ã‚Â¬Ãƒâ€šÃ‚Âblockers may make little or no difference to bradycardia (RR 1.63, 95% CI 0.92 to 2.91; 12 studies, 1640 participants; lowÃƒÆ’Ã‚Â¢ÃƒÂ¢Ã¢â‚¬Å¡Ã‚Â¬Ãƒâ€šÃ‚Âcertainty evidence), or hypotension (RR 1.84, 95% CI 0.89 to 3.80; 10 studies, 1538 participants; lowÃƒÆ’Ã‚Â¢ÃƒÂ¢Ã¢â‚¬Å¡Ã‚Â¬Ãƒâ€šÃ‚Âcertainty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allÃƒÆ’Ã‚Â¢ÃƒÂ¢Ã¢â‚¬Å¡Ã‚Â¬Ãƒâ€šÃ‚Âcause mortality, myocardial infarction, cerebrovascular events, hypotension and bradycardia. However, there may be a reduction in atrial fibrillation and ventricular arrhythmias when betaÃƒÆ’Ã‚Â¢ÃƒÂ¢Ã¢â‚¬Å¡Ã‚Â¬Ãƒâ€šÃ‚Âblockers are used. A larger sample size is likely to increase the certainty of this evidence. Four studies awaiting classification may alter the conclusions of this review. Plain language summary BetaÃƒÆ’Ã‚Â¢ÃƒÂ¢Ã¢â‚¬Å¡Ã‚Â¬Ãƒâ€šÃ‚Âblockers to prevent death or serious events after heart surgery This review assessed evidence of whether betaÃƒÆ’Ã‚Â¢ÃƒÂ¢Ã¢â‚¬Å¡Ã‚Â¬Ãƒâ€šÃ‚Âblockers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BetaÃƒÆ’Ã‚Â¢ÃƒÂ¢Ã¢â‚¬Å¡Ã‚Â¬Ãƒâ€šÃ‚Âblockers are drugs that block the action of adrenaline and noradrenaline on the heart. BetaÃƒÆ’Ã‚Â¢ÃƒÂ¢Ã¢â‚¬Å¡Ã‚Â¬Ãƒâ€šÃ‚Âblockers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quasiÃƒÆ’Ã‚Â¢ÃƒÂ¢Ã¢â‚¬Å¡Ã‚Â¬Ãƒâ€šÃ‚Ârandomized (participants were allocated to groups by methods such as using hospital record numbers or dates of birth). The types of betaÃƒÆ’Ã‚Â¢ÃƒÂ¢Ã¢â‚¬Å¡Ã‚Â¬Ãƒâ€šÃ‚Âblockers were: propranolol, metoprolol, sotalol, esmolol, landiolol, acebutolol, timolol, carvedilol, nadolol, and atenolol. These betaÃƒÆ’Ã‚Â¢ÃƒÂ¢Ã¢â‚¬Å¡Ã‚Â¬Ãƒâ€šÃ‚Âblockers were compared with either a placebo (disguised to look like a betaÃƒÆ’Ã‚Â¢ÃƒÂ¢Ã¢â‚¬Å¡Ã‚Â¬Ãƒâ€šÃ‚Âblocker but containing no medicine) or with standard care. BetaÃƒÆ’Ã‚Â¢ÃƒÂ¢Ã¢â‚¬Å¡Ã‚Â¬Ãƒâ€šÃ‚Âblockers were started before surgery, during surgery or at the latest by the end of the first day after surgery. The length of time betaÃƒÆ’Ã‚Â¢ÃƒÂ¢Ã¢â‚¬Å¡Ã‚Â¬Ãƒâ€šÃ‚Âblockers were given varied between studies. In most studies, at least some of the people were already taking betaÃƒÆ’Ã‚Â¢ÃƒÂ¢Ã¢â‚¬Å¡Ã‚Â¬Ãƒâ€šÃ‚Âblockers, which would be expected for people who had conditions that needed heart surgery. Key results BetaÃƒÆ’Ã‚Â¢ÃƒÂ¢Ã¢â‚¬Å¡Ã‚Â¬Ãƒâ€šÃ‚Âblockers probably make little or no difference to the number of people who die (29 studies, 4099 participants) or have a heart attack (25 studies, 3946 participants) within 30 days of surgery. This w s supported by lowÃƒÆ’Ã‚Â¢ÃƒÂ¢Ã¢â‚¬Å¡Ã‚Â¬Ãƒâ€šÃ‚Âcertainty evidence. Few studies reported on people who had a stroke, and we were uncertain whether or not betaÃƒÆ’Ã‚Â¢ÃƒÂ¢Ã¢â‚¬Å¡Ã‚Â¬Ãƒâ€šÃ‚Âblockers reduced strokes because the certainty of the evidence was very low (5 studies, 1471 participants). BetaÃƒÆ’Ã‚Â¢ÃƒÂ¢Ã¢â‚¬Å¡Ã‚Â¬Ãƒâ€šÃ‚Âblockers may reduce atrial fibrillation, which is an irregular heartbeat starting in the atrial chambers of the heart that increases the risk of stroke if untreated (40 studies, 5650 participants; lowÃƒÆ’Ã‚Â¢ÃƒÂ¢Ã¢â‚¬Å¡Ã‚Â¬Ãƒâ€šÃ‚Âcertainty evidence). BetaÃƒÆ’Ã‚Â¢ÃƒÂ¢Ã¢â‚¬Å¡Ã‚Â¬Ãƒâ€šÃ‚Âblockers may also reduce ventricular arrhythmias, which are potentially lifeÃƒÆ’Ã‚Â¢ÃƒÂ¢Ã¢â‚¬Å¡Ã‚Â¬Ãƒâ€šÃ‚Âthreatening irregular heartbeat rhythms originating in the main chambers of the heart, and which may need immediate medical treatment (12 studies, 2296 participants). We found that betaÃƒÆ’Ã‚Â¢ÃƒÂ¢Ã¢â‚¬Å¡Ã‚Â¬Ãƒâ€šÃ‚Âblockers may make little or no difference to whether people experience a very low heart rate or very low blood pressure. We were uncertain whether betaÃƒÆ’Ã‚Â¢ÃƒÂ¢Ã¢â‚¬Å¡Ã‚Â¬Ãƒâ€šÃ‚Âblockers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betaÃƒÆ’Ã‚Â¢ÃƒÂ¢Ã¢â‚¬Å¡Ã‚Â¬Ãƒâ€šÃ‚Âblockers had a shorter hospital stay by about half a day (14 studies, 2450 participants; lowÃƒÆ’Ã‚Â¢ÃƒÂ¢Ã¢â‚¬Å¡Ã‚Â¬Ãƒâ€šÃ‚Âcertainty evidence). No studies assessed whether people on betaÃƒÆ’Ã‚Â¢ÃƒÂ¢Ã¢â‚¬Å¡Ã‚Â¬Ãƒâ€šÃ‚Âblockers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placeboÃƒÆ’Ã‚Â¢ÃƒÂ¢Ã¢â‚¬Å¡Ã‚Â¬Ãƒâ€šÃ‚Âcontrol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BetaÃƒÆ’Ã‚Â¢ÃƒÂ¢Ã¢â‚¬Å¡Ã‚Â¬Ãƒâ€šÃ‚Âblockers may be beneficial for people who are undergoing cardiac surgery because they may reduce the number of people who experience atrial fibrillation and ventricular arrhythmias. BetaÃƒÆ’Ã‚Â¢ÃƒÂ¢Ã¢â‚¬Å¡Ã‚Â¬Ãƒâ€šÃ‚Âblockers may make little or no difference to the other outcomes in this review, including death, heart attacks or stroke.</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</si>
  <si>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ÃƒÆ’Ã¢â‚¬Å¡Ãƒâ€šÃ‚Â© 2019</t>
  </si>
  <si>
    <t>The article reports a clear expenditure reduction of 53,000/100 patients.</t>
  </si>
  <si>
    <t>['expenditure reduction']</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</si>
  <si>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ÃƒÆ’Ã¢â‚¬Å¡Ãƒâ€šÃ‚Â© 2019 Rila Publications Ltd."</t>
  </si>
  <si>
    <t>The article mentions cost-effectiveness but does not explicitly state cash-releasing savings.</t>
  </si>
  <si>
    <t>The article explicitly mentions substantial cost saving through reducing admissions and procedures.</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</si>
  <si>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childÃƒÆ’Ã‚Â¢ÃƒÂ¢Ã¢â‚¬Å¡Ã‚Â¬ÃƒÂ¢Ã¢â‚¬Å¾Ã‚Â¢s wellÃƒÆ’Ã‚Â¢ÃƒÂ¢Ã¢â‚¬Å¡Ã‚Â¬Ãƒâ€šÃ‚Âbeing,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InÃƒÆ’Ã‚Â¢ÃƒÂ¢Ã¢â‚¬Å¡Ã‚Â¬Ãƒâ€šÃ‚ÂProcess,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quasiÃƒÆ’Ã‚Â¢ÃƒÂ¢Ã¢â‚¬Å¡Ã‚Â¬Ãƒâ€šÃ‚Ârandomised, multiÃƒÆ’Ã‚Â¢ÃƒÂ¢Ã¢â‚¬Å¡Ã‚Â¬Ãƒâ€šÃ‚Âarm studies, crossÃƒÆ’Ã‚Â¢ÃƒÂ¢Ã¢â‚¬Å¡Ã‚Â¬Ãƒâ€šÃ‚Âover studies and clusterÃƒÆ’Ã‚Â¢ÃƒÂ¢Ã¢â‚¬Å¡Ã‚Â¬Ãƒâ€šÃ‚Ârandomised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metaÃƒÆ’Ã‚Â¢ÃƒÂ¢Ã¢â‚¬Å¡Ã‚Â¬Ãƒâ€šÃ‚Âanalysis was possible, we applied randomÃƒÆ’Ã‚Â¢ÃƒÂ¢Ã¢â‚¬Å¡Ã‚Â¬Ãƒâ€šÃ‚Âeffects metaÃƒÆ’Ã‚Â¢ÃƒÂ¢Ã¢â‚¬Å¡Ã‚Â¬Ãƒâ€šÃ‚Âanalysis using the MantelÃƒÆ’Ã‚Â¢ÃƒÂ¢Ã¢â‚¬Å¡Ã‚Â¬Ãƒâ€šÃ‚ÂHaenszel method for dichotomous outcomes. Main results The review included 27 RCTs involving 1803 children. Of these, six were multiÃƒÆ’Ã‚Â¢ÃƒÂ¢Ã¢â‚¬Å¡Ã‚Â¬Ãƒâ€šÃ‚Âarm and one was also a crossÃƒÆ’Ã‚Â¢ÃƒÂ¢Ã¢â‚¬Å¡Ã‚Â¬Ãƒâ€šÃ‚Âover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lowÃƒÆ’Ã‚Â¢ÃƒÂ¢Ã¢â‚¬Å¡Ã‚Â¬Ãƒâ€šÃ‚Âcertainty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lowÃƒÆ’Ã‚Â¢ÃƒÂ¢Ã¢â‚¬Å¡Ã‚Â¬Ãƒâ€šÃ‚Âcertainty evidence). Voiding education with uroflowmetry feedback and urotherapy versus urotherapy alone. Slightly more children receiving voiding education with uroflow feedback and urotherapy may achieve continence (RR 1.13, 95% CI 0.87 to 1.45; 3 studies; n = 151; lowÃƒÆ’Ã‚Â¢ÃƒÂ¢Ã¢â‚¬Å¡Ã‚Â¬Ãƒâ€šÃ‚Âcertainty evidence). Urotherapy with timer watch versus urotherapy alone. We are uncertain whether urotherapy plus timer watch increases the number of children achieving continence compared to urotherapy alone (RR 1.42, 95% CI 1.12 to 1.80; 1 study; n = 58; very lowÃƒÆ’Ã‚Â¢ÃƒÂ¢Ã¢â‚¬Å¡Ã‚Â¬Ãƒâ€šÃ‚Âcertainty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lowÃƒÆ’Ã‚Â¢ÃƒÂ¢Ã¢â‚¬Å¡Ã‚Â¬Ãƒâ€šÃ‚Âcertainty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lowÃƒÆ’Ã‚Â¢ÃƒÂ¢Ã¢â‚¬Å¡Ã‚Â¬Ãƒâ€šÃ‚Âcertainty evidence). Individual conservative interventions versus nonÃƒÆ’Ã‚Â¢ÃƒÂ¢Ã¢â‚¬Å¡Ã‚Â¬Ãƒâ€šÃ‚Âconservative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lowÃƒÆ’Ã‚Â¢ÃƒÂ¢Ã¢â‚¬Å¡Ã‚Â¬Ãƒâ€šÃ‚Âcertainty evidence). TENS versus anticholinergics. We are uncertain whether there was any evidence of a difference between treatment groups in the proportions of children achieving continence (RR 0.81, 95% CI 0.05 to 12.50; 2 studies; n = 72; very lowÃƒÆ’Ã‚Â¢ÃƒÂ¢Ã¢â‚¬Å¡Ã‚Â¬Ãƒâ€šÃ‚Âcertainty evidence). Combined conservative interventions versus nonÃƒÆ’Ã‚Â¢ÃƒÂ¢Ã¢â‚¬Å¡Ã‚Â¬Ãƒâ€šÃ‚Âconservative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lowÃƒÆ’Ã‚Â¢ÃƒÂ¢Ã¢â‚¬Å¡Ã‚Â¬Ãƒâ€šÃ‚Âcertainty evidence). Authors' conclusions The review found little reliable evidence that can help affected children, their carers and the clinicians working with them to make evidenceÃƒÆ’Ã‚Â¢ÃƒÂ¢Ã¢â‚¬Å¡Ã‚Â¬Ãƒâ€šÃ‚Âbased treatment decisions. In this scenario, the clinical experience of individual clinicians and the support of carers may be the most valuable resources. More wellÃƒÆ’Ã‚Â¢ÃƒÂ¢Ã¢â‚¬Å¡Ã‚Â¬Ãƒâ€šÃ‚Âdesigned research, with wellÃƒÆ’Ã‚Â¢ÃƒÂ¢Ã¢â‚¬Å¡Ã‚Â¬Ãƒâ€šÃ‚Âdefined interventions and consistent outcome measurement, is needed. Plain language summary Conservative (nonÃƒÆ’Ã‚Â¢ÃƒÂ¢Ã¢â‚¬Å¡Ã‚Â¬Ãƒâ€šÃ‚Âpharmaceutical and nonÃƒÆ’Ã‚Â¢ÃƒÂ¢Ã¢â‚¬Å¡Ã‚Â¬Ãƒâ€šÃ‚Âsurgical)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upÃƒÆ’Ã‚Â¢ÃƒÂ¢Ã¢â‚¬Å¡Ã‚Â¬Ãƒâ€šÃ‚ÂtoÃƒÆ’Ã‚Â¢ÃƒÂ¢Ã¢â‚¬Å¡Ã‚Â¬Ãƒâ€šÃ‚Âdate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ÃƒÆ’Ã‚Â¢ÃƒÂ¢Ã¢â‚¬Å¡Ã‚Â¬Ãƒâ€šÃ‚Â and sometimes carers ÃƒÆ’Ã‚Â¢ÃƒÂ¢Ã¢â‚¬Å¡Ã‚Â¬Ãƒâ€šÃ‚Â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nonÃƒÆ’Ã‚Â¢ÃƒÂ¢Ã¢â‚¬Å¡Ã‚Â¬Ãƒâ€šÃ‚Âserious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goodÃƒÆ’Ã‚Â¢ÃƒÂ¢Ã¢â‚¬Å¡Ã‚Â¬Ãƒâ€šÃ‚Âquality research evidence that can help children, their carers and doctors and nurses to make decisions about treatments. More wellÃƒÆ’Ã‚Â¢ÃƒÂ¢Ã¢â‚¬Å¡Ã‚Â¬Ãƒâ€šÃ‚Âdesigned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</si>
  <si>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healthÃƒÆ’Ã‚Â¢ÃƒÂ¢Ã¢â‚¬Å¡Ã‚Â¬Ãƒâ€šÃ‚Ârelated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webÃƒÆ’Ã‚Â¢ÃƒÂ¢Ã¢â‚¬Å¡Ã‚Â¬Ãƒâ€šÃ‚Âbased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fullÃƒÆ’Ã‚Â¢ÃƒÂ¢Ã¢â‚¬Å¡Ã‚Â¬Ãƒâ€šÃ‚Âtext articles, extracted data, and assessed risk of bias. For analysis, we used a randomÃƒÆ’Ã‚Â¢ÃƒÂ¢Ã¢â‚¬Å¡Ã‚Â¬Ãƒâ€šÃ‚Âeffects statistical model for all metaÃƒÆ’Ã‚Â¢ÃƒÂ¢Ã¢â‚¬Å¡Ã‚Â¬Ãƒâ€šÃ‚Âanalyses,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lowÃƒÆ’Ã‚Â¢ÃƒÂ¢Ã¢â‚¬Å¡Ã‚Â¬Ãƒâ€šÃ‚Âcertainty evidence). For secondary malignancies, dietary interventions versus control trials reported little or no difference (risk ratio (RR) 0.99, 95% CI 0.84 to 1.15; 1 study; 3107 participants; lowÃƒÆ’Ã‚Â¢ÃƒÂ¢Ã¢â‚¬Å¡Ã‚Â¬Ãƒâ€šÃ‚Âcertainty evidence). CoÃƒÆ’Ã‚Â¢ÃƒÂ¢Ã¢â‚¬Å¡Ã‚Â¬Ãƒâ€šÃ‚Âmorbidities were not measured in any included trials. Subsequent outcomes reported after 12 months found that dietary interventions versus control probably make little or no difference in energy intake at 12 months (mean difference (MD) ÃƒÆ’Ã‚Â¢ÃƒÂ¢Ã¢â‚¬Å¡Ã‚Â¬Ãƒâ€šÃ‚Â59.13 kcal, 95% CI ÃƒÆ’Ã‚Â¢ÃƒÂ¢Ã¢â‚¬Å¡Ã‚Â¬Ãƒâ€šÃ‚Â159.05 to 37.79; 5 studies; 3283 participants; moderateÃƒÆ’Ã‚Â¢ÃƒÂ¢Ã¢â‚¬Å¡Ã‚Â¬Ãƒâ€šÃ‚Âcertainty evidence). Dietary interventions versus control probably led to slight increases in fruit and vegetable servings (MD 0.41 servings, 95% CI 0.10 to 0.71; 5 studies; 834 participants; moderateÃƒÆ’Ã‚Â¢ÃƒÂ¢Ã¢â‚¬Å¡Ã‚Â¬Ãƒâ€šÃ‚Âcertainty evidence); mixed results for fibre intake overall (MD 5.12 g, 95% CI 0.66 to 10.9; 2 studies; 3127 participants; very lowÃƒÆ’Ã‚Â¢ÃƒÂ¢Ã¢â‚¬Å¡Ã‚Â¬Ãƒâ€šÃ‚Âcertainty evidence); and likely improvement in Diet Quality Index (MD 3.46, 95% CI 1.54 to 5.38; 747 participants; moderateÃƒÆ’Ã‚Â¢ÃƒÂ¢Ã¢â‚¬Å¡Ã‚Â¬Ãƒâ€šÃ‚Âcertainty evidence). For anthropometry, dietary intervention versus control probably led to a slightly decreased body mass index (BMI) (MD ÃƒÆ’Ã‚Â¢ÃƒÂ¢Ã¢â‚¬Å¡Ã‚Â¬Ãƒâ€šÃ‚Â0.79 kg/mÃƒÆ’Ã¢â‚¬Å¡Ãƒâ€šÃ‚Â², 95% CI ÃƒÆ’Ã‚Â¢ÃƒÂ¢Ã¢â‚¬Å¡Ã‚Â¬Ãƒâ€šÃ‚Â1.50 to ÃƒÆ’Ã‚Â¢ÃƒÂ¢Ã¢â‚¬Å¡Ã‚Â¬Ãƒâ€šÃ‚Â0.07; 4 studies; 777 participants; moderateÃƒÆ’Ã‚Â¢ÃƒÂ¢Ã¢â‚¬Å¡Ã‚Â¬Ãƒâ€šÃ‚Âcertainty evidence). Dietary interventions versus control probably had little or no effect on waistÃƒÆ’Ã‚Â¢ÃƒÂ¢Ã¢â‚¬Å¡Ã‚Â¬Ãƒâ€šÃ‚ÂtoÃƒÆ’Ã‚Â¢ÃƒÂ¢Ã¢â‚¬Å¡Ã‚Â¬Ãƒâ€šÃ‚Âhip ratio (MD ÃƒÆ’Ã‚Â¢ÃƒÂ¢Ã¢â‚¬Å¡Ã‚Â¬Ãƒâ€šÃ‚Â0.01, 95% CI ÃƒÆ’Ã‚Â¢ÃƒÂ¢Ã¢â‚¬Å¡Ã‚Â¬Ãƒâ€šÃ‚Â0.04 to 0.02; 2 studies; 106 participants; lowÃƒÆ’Ã‚Â¢ÃƒÂ¢Ã¢â‚¬Å¡Ã‚Â¬Ãƒâ€šÃ‚Âcertainty evidence). For QoL, there were mixed results; several different quality assessment tools were used and evidence was of low to very lowÃƒÆ’Ã‚Â¢ÃƒÂ¢Ã¢â‚¬Å¡Ã‚Â¬Ãƒâ€šÃ‚Âcertainty.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waistÃƒÆ’Ã‚Â¢ÃƒÂ¢Ã¢â‚¬Å¡Ã‚Â¬Ãƒâ€šÃ‚ÂtoÃƒÆ’Ã‚Â¢ÃƒÂ¢Ã¢â‚¬Å¡Ã‚Â¬Ãƒâ€šÃ‚Âhip ratio. For QoL, results were highly varied. Additional highÃƒÆ’Ã‚Â¢ÃƒÂ¢Ã¢â‚¬Å¡Ã‚Â¬Ãƒâ€šÃ‚Âquality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ÃƒÆ’Ã‚Â¢ÃƒÂ¢Ã¢â‚¬Å¡Ã‚Â¬Ãƒâ€šÃ‚Â¨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ÃƒÆ’Ã‚Â¢ÃƒÂ¢Ã¢â‚¬Å¡Ã‚Â¬Ãƒâ€šÃ‚Â¨ This review evaluates evidence on dietary interventions for people after cancer. Quality of evidence ÃƒÆ’Ã‚Â¢ÃƒÂ¢Ã¢â‚¬Å¡Ã‚Â¬Ãƒâ€šÃ‚Â¨ The quality of evidence is generally low to very low. Most studies did not evaluate dietary interventions for key review outcomes, particularly mortality and morbidity. However, a few study outcomes with moderateÃƒÆ’Ã‚Â¢ÃƒÂ¢Ã¢â‚¬Å¡Ã‚Â¬Ãƒâ€šÃ‚Âcertainty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ÃƒÆ’Ã‚Â¢ÃƒÂ¢Ã¢â‚¬Å¡Ã‚Â¬Ãƒâ€šÃ‚Â¨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(moderateÃƒÆ’Ã‚Â¢ÃƒÂ¢Ã¢â‚¬Å¡Ã‚Â¬Ãƒâ€šÃ‚Âcertainty evidence ) . Evidence on dietary fibre was mixed for different advice on weight reducing or healthy eating. Dietary interventions compared to control probably improved the Diet Quality Index (moderateÃƒÆ’Ã‚Â¢ÃƒÂ¢Ã¢â‚¬Å¡Ã‚Â¬Ãƒâ€šÃ‚Âcertainty evidence ) . For physical measurements, we found a probable reduction in body mass index (BMI) with dietary interventions compared to controls (moderateÃƒÆ’Ã‚Â¢ÃƒÂ¢Ã¢â‚¬Å¡Ã‚Â¬Ãƒâ€šÃ‚Âcertainty evidence) but little evidence showing any change in waistÃƒÆ’Ã‚Â¢ÃƒÂ¢Ã¢â‚¬Å¡Ã‚Â¬Ãƒâ€šÃ‚ÂtoÃƒÆ’Ã‚Â¢ÃƒÂ¢Ã¢â‚¬Å¡Ã‚Â¬Ãƒâ€šÃ‚Âhip ratio (lowÃƒÆ’Ã‚Â¢ÃƒÂ¢Ã¢â‚¬Å¡Ã‚Â¬Ãƒâ€šÃ‚Âcertainty evidence ) . For quality of life (QoL), results were mixed due to the wide variety of tools used. No adverse events were reported. Conclusion ÃƒÆ’Ã‚Â¢ÃƒÂ¢Ã¢â‚¬Å¡Ã‚Â¬Ãƒâ€šÃ‚Â¨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</si>
  <si>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The article does not demonstrate explicit cash-releasing savings or positive ROI.</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</si>
  <si>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ÃƒÆ’Ã¢â‚¬Å¡Ãƒâ€šÃ‚Â© 2019 Diabetes UK</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</si>
  <si>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ÃƒÆ’Ã¢â‚¬Å¡Ãƒâ€šÃ‚Â© 2021 The Authors</t>
  </si>
  <si>
    <t>The article states that surveillance would be cost-saving within the NHS.</t>
  </si>
  <si>
    <t>Antiemetics for adults for prevention of nausea and vomiting caused by moderately or highly emetogenic chemotherapy: a network metaÃƒÆ’Ã‚Â¢ÃƒÂ¢Ã¢â‚¬Å¡Ã‚Â¬Ãƒâ€šÃ‚Âanalysis</t>
  </si>
  <si>
    <t>- Background About 70% to 80% of adults with cancer experience chemotherapyÃƒÆ’Ã‚Â¢ÃƒÂ¢Ã¢â‚¬Å¡Ã‚Â¬Ãƒâ€šÃ‚Âinduced nausea and vomiting (CINV). CINV remains one of the most distressing symptoms associated with cancer therapy and is associated with decreased adherence to chemotherapy. Combining 5ÃƒÆ’Ã‚Â¢ÃƒÂ¢Ã¢â‚¬Å¡Ã‚Â¬Ãƒâ€šÃ‚ÂhydroxytryptamineÃƒÆ’Ã‚Â¢ÃƒÂ¢Ã¢â‚¬Å¡Ã‚Â¬Ãƒâ€šÃ‚Â3 (5ÃƒÆ’Ã‚Â¢ÃƒÂ¢Ã¢â‚¬Å¡Ã‚Â¬Ãƒâ€šÃ‚ÂHTÃƒÆ’Ã‚Â¢ÃƒÂ¢Ã¢â€šÂ¬Ã…Â¡Ãƒâ€ Ã¢â‚¬â„¢) receptor antagonists with corticosteroids or additionally with neurokininÃƒÆ’Ã‚Â¢ÃƒÂ¢Ã¢â‚¬Å¡Ã‚Â¬Ãƒâ€šÃ‚Â1 (NKÃƒÆ’Ã‚Â¢ÃƒÂ¢Ã¢â€šÂ¬Ã…Â¡Ãƒâ€šÃ‚Â) receptor antagonists is effective in preventing CINV among adults receiving highly emetogenic chemotherapy (HEC) or moderately emetogenic chemotherapy (MEC). Various treatment options are available, but direct headÃƒÆ’Ã‚Â¢ÃƒÂ¢Ã¢â‚¬Å¡Ã‚Â¬Ãƒâ€šÃ‚ÂtoÃƒÆ’Ã‚Â¢ÃƒÂ¢Ã¢â‚¬Å¡Ã‚Â¬Ãƒâ€šÃ‚Âhead comparisons do not allow comparison of all treatments versus another. Objectives ÃƒÆ’Ã‚Â¢ÃƒÂ¢Ã¢â‚¬Å¡Ã‚Â¬Ãƒâ€šÃ‚Â¢ In adults with solid cancer or haematological malignancy receiving HEC ÃƒÆ’Ã‚Â¢ÃƒÂ¢Ã¢â‚¬Å¡Ã‚Â¬Ãƒâ€šÃ‚Â To compare the effects of antiemetic treatment combinations including NKÃƒÆ’Ã‚Â¢ÃƒÂ¢Ã¢â€šÂ¬Ã…Â¡Ãƒâ€šÃ‚Â receptor antagonists, 5ÃƒÆ’Ã‚Â¢ÃƒÂ¢Ã¢â‚¬Å¡Ã‚Â¬Ãƒâ€šÃ‚ÂHTÃƒÆ’Ã‚Â¢ÃƒÂ¢Ã¢â€šÂ¬Ã…Â¡Ãƒâ€ Ã¢â‚¬â„¢ receptor antagonists, and corticosteroids on prevention of acute phase (Day 1), delayed phase (Days 2 to 5), and overall (Days 1 to 5) chemotherapyÃƒÆ’Ã‚Â¢ÃƒÂ¢Ã¢â‚¬Å¡Ã‚Â¬Ãƒâ€šÃ‚Âinduced nausea and vomiting in network metaÃƒÆ’Ã‚Â¢ÃƒÂ¢Ã¢â‚¬Å¡Ã‚Â¬Ãƒâ€šÃ‚Âanalysis (NMA) ÃƒÆ’Ã‚Â¢ÃƒÂ¢Ã¢â‚¬Å¡Ã‚Â¬Ãƒâ€šÃ‚Â To generate a clinically meaningful treatment ranking according to treatment safety and efficacy ÃƒÆ’Ã‚Â¢ÃƒÂ¢Ã¢â‚¬Å¡Ã‚Â¬Ãƒâ€šÃ‚Â¢ In adults with solid cancer or haematological malignancy receiving MEC ÃƒÆ’Ã‚Â¢ÃƒÂ¢Ã¢â‚¬Å¡Ã‚Â¬Ãƒâ€šÃ‚Â To compare whether antiemetic treatment combinations including NKÃƒÆ’Ã‚Â¢ÃƒÂ¢Ã¢â€šÂ¬Ã…Â¡Ãƒâ€šÃ‚Â receptor antagonists, 5ÃƒÆ’Ã‚Â¢ÃƒÂ¢Ã¢â‚¬Å¡Ã‚Â¬Ãƒâ€šÃ‚ÂHTÃƒÆ’Ã‚Â¢ÃƒÂ¢Ã¢â€šÂ¬Ã…Â¡Ãƒâ€ Ã¢â‚¬â„¢ receptor antagonists, and corticosteroids are superior for prevention of acute phase (Day 1), delayed phase (Days 2 to 5), and overall (Days 1 to 5) chemotherapyÃƒÆ’Ã‚Â¢ÃƒÂ¢Ã¢â‚¬Å¡Ã‚Â¬Ãƒâ€šÃ‚Âinduced nausea and vomiting to treatment combinations including 5ÃƒÆ’Ã‚Â¢ÃƒÂ¢Ã¢â‚¬Å¡Ã‚Â¬Ãƒâ€šÃ‚ÂHTÃƒÆ’Ã‚Â¢ÃƒÂ¢Ã¢â€šÂ¬Ã…Â¡Ãƒâ€ Ã¢â‚¬â„¢ receptor antagonists and corticosteroids solely, in network metaÃƒÆ’Ã‚Â¢ÃƒÂ¢Ã¢â‚¬Å¡Ã‚Â¬Ãƒâ€šÃ‚Âanalysis ÃƒÆ’Ã‚Â¢ÃƒÂ¢Ã¢â‚¬Å¡Ã‚Â¬Ãƒâ€šÃ‚Â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NKÃƒÆ’Ã‚Â¢ÃƒÂ¢Ã¢â€šÂ¬Ã…Â¡Ãƒâ€šÃ‚Â and 5ÃƒÆ’Ã‚Â¢ÃƒÂ¢Ã¢â‚¬Å¡Ã‚Â¬Ãƒâ€šÃ‚ÂHTÃƒÆ’Ã‚Â¢ÃƒÂ¢Ã¢â€šÂ¬Ã…Â¡Ãƒâ€ Ã¢â‚¬â„¢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onÃƒÆ’Ã‚Â¢ÃƒÂ¢Ã¢â‚¬Å¡Ã‚Â¬Ãƒâ€šÃ‚Âstudy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NKÃƒÆ’Ã‚Â¢ÃƒÂ¢Ã¢â€šÂ¬Ã…Â¡Ãƒâ€šÃ‚Â and 5ÃƒÆ’Ã‚Â¢ÃƒÂ¢Ã¢â‚¬Å¡Ã‚Â¬Ãƒâ€šÃ‚ÂHTÃƒÆ’Ã‚Â¢ÃƒÂ¢Ã¢â€šÂ¬Ã…Â¡Ãƒâ€ Ã¢â‚¬â„¢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NKÃƒÆ’Ã‚Â¢ÃƒÂ¢Ã¢â€šÂ¬Ã…Â¡Ãƒâ€šÃ‚Â and 5ÃƒÆ’Ã‚Â¢ÃƒÂ¢Ã¢â‚¬Å¡Ã‚Â¬Ãƒâ€šÃ‚ÂHTÃƒÆ’Ã‚Â¢ÃƒÂ¢Ã¢â€šÂ¬Ã…Â¡Ãƒâ€ Ã¢â‚¬â„¢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lowÃƒÆ’Ã‚Â¢ÃƒÂ¢Ã¢â‚¬Å¡Ã‚Â¬Ãƒâ€šÃ‚Âcertainty), aprepitant + ramosetron (753 of 1000; RR 1.07, 95% CI 0.95 to 1.21; low certainty), and fosaprepitant + palonosetron (746 of 1000; RR 1.06, 95% CI 0.96 to .19; low certainty). Netupitant + palonosetron (704 of 1000; RR 1.00, 95% CI 0.93 to 1.08; highÃƒÆ’Ã‚Â¢ÃƒÂ¢Ã¢â‚¬Å¡Ã‚Â¬Ãƒâ€šÃ‚Âcertainty) and fosaprepitant + granisetron (697 of 1000; RR 0.99, 95% CI 0.93 to 1.06; highÃƒÆ’Ã‚Â¢ÃƒÂ¢Ã¢â‚¬Å¡Ã‚Â¬Ãƒâ€šÃ‚Âcertainty)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NKÃƒÆ’Ã‚Â¢ÃƒÂ¢Ã¢â€šÂ¬Ã…Â¡Ãƒâ€šÃ‚Â and 5ÃƒÆ’Ã‚Â¢ÃƒÂ¢Ã¢â‚¬Å¡Ã‚Â¬Ãƒâ€šÃ‚ÂHTÃƒÆ’Ã‚Â¢ÃƒÂ¢Ã¢â€šÂ¬Ã…Â¡Ãƒâ€ Ã¢â‚¬â„¢ inhibitors, or 5ÃƒÆ’Ã‚Â¢ÃƒÂ¢Ã¢â‚¬Å¡Ã‚Â¬Ãƒâ€šÃ‚ÂHTÃƒÆ’Ã‚Â¢ÃƒÂ¢Ã¢â€šÂ¬Ã…Â¡Ãƒâ€ Ã¢â‚¬â„¢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pairÃƒÆ’Ã‚Â¢ÃƒÂ¢Ã¢â‚¬Å¡Ã‚Â¬Ãƒâ€šÃ‚Âwise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chemotherapyÃƒÆ’Ã‚Â¢ÃƒÂ¢Ã¢â‚¬Å¡Ã‚Â¬Ãƒâ€šÃ‚Âinduced nausea and vomiting. For people receiving MEC, synthesised evidence does not suggest superiority for treatments including both NKÃƒÆ’Ã‚Â¢ÃƒÂ¢Ã¢â€šÂ¬Ã…Â¡Ãƒâ€šÃ‚Â and 5ÃƒÆ’Ã‚Â¢ÃƒÂ¢Ã¢â‚¬Å¡Ã‚Â¬Ãƒâ€šÃ‚ÂHTÃƒÆ’Ã‚Â¢ÃƒÂ¢Ã¢â€šÂ¬Ã…Â¡Ãƒâ€ Ã¢â‚¬â„¢ inhibitors when compared to treatments including 5ÃƒÆ’Ã‚Â¢ÃƒÂ¢Ã¢â‚¬Å¡Ã‚Â¬Ãƒâ€šÃ‚ÂHTÃƒÆ’Ã‚Â¢ÃƒÂ¢Ã¢â€šÂ¬Ã…Â¡Ãƒâ€ Ã¢â‚¬â„¢ inhibitors only. Rather, the results of our NMA suggest that the choice of 5ÃƒÆ’Ã‚Â¢ÃƒÂ¢Ã¢â‚¬Å¡Ã‚Â¬Ãƒâ€šÃ‚ÂHTÃƒÆ’Ã‚Â¢ÃƒÂ¢Ã¢â€šÂ¬Ã…Â¡Ãƒâ€ Ã¢â‚¬â„¢ inhibitor may have an impact on treatment efficacy in preventing CINV. When interpreting the results of this systematic review, it is important for the reader to understand that NMAs are no substitute for direct headÃƒÆ’Ã‚Â¢ÃƒÂ¢Ã¢â‚¬Å¡Ã‚Â¬Ãƒâ€šÃ‚ÂtoÃƒÆ’Ã‚Â¢ÃƒÂ¢Ã¢â‚¬Å¡Ã‚Â¬Ãƒâ€šÃ‚Âhead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metaÃƒÆ’Ã‚Â¢ÃƒÂ¢Ã¢â‚¬Å¡Ã‚Â¬Ãƒâ€šÃ‚Âanalysis, we aimed to compare the benefits and harms of different drug combinations for prevention of CINV among people receiving HEC or MEC, and to identify treatment ranking. A network metaÃƒÆ’Ã‚Â¢ÃƒÂ¢Ã¢â‚¬Å¡Ã‚Â¬Ãƒâ€šÃ‚Âanalysis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realÃƒÆ’Ã‚Â¢ÃƒÂ¢Ã¢â‚¬Å¡Ã‚Â¬Ãƒâ€šÃ‚Âworld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realÃƒÆ’Ã‚Â¢ÃƒÂ¢Ã¢â‚¬Å¡Ã‚Â¬Ãƒâ€šÃ‚Âworld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multipleÃƒÆ’Ã‚Â¢ÃƒÂ¢Ã¢â‚¬Å¡Ã‚Â¬Ãƒâ€šÃ‚Âcomparison analyses are no substitute for headÃƒÆ’Ã‚Â¢ÃƒÂ¢Ã¢â‚¬Å¡Ã‚Â¬Ãƒâ€šÃ‚ÂtoÃƒÆ’Ã‚Â¢ÃƒÂ¢Ã¢â‚¬Å¡Ã‚Â¬Ãƒâ€šÃ‚Âhead comparisons, and that the results do not necessarily rule out differences that could be clinically relevant for some individuals. How upÃƒÆ’Ã‚Â¢ÃƒÂ¢Ã¢â‚¬Å¡Ã‚Â¬Ãƒâ€šÃ‚ÂtoÃƒÆ’Ã‚Â¢ÃƒÂ¢Ã¢â‚¬Å¡Ã‚Â¬Ãƒâ€šÃ‚Âdate is this evidence? Evidence is upÃƒÆ’Ã‚Â¢ÃƒÂ¢Ã¢â‚¬Å¡Ã‚Â¬Ãƒâ€šÃ‚ÂtoÃƒÆ’Ã‚Â¢ÃƒÂ¢Ã¢â‚¬Å¡Ã‚Â¬Ãƒâ€šÃ‚Âdate to 2 February 2021.</t>
  </si>
  <si>
    <t>Secondary prevention of variceal bleeding in adults with previous oesophageal variceal bleeding due to decompensated liver cirrhosis: a network metaÃƒÆ’Ã‚Â¢ÃƒÂ¢Ã¢â‚¬Å¡Ã‚Â¬Ãƒâ€šÃ‚Âanalysis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</si>
  <si>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betaÃƒÆ’Ã‚Â¢ÃƒÂ¢Ã¢â‚¬Å¡Ã‚Â¬Ãƒâ€šÃ‚Âblockers,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metaÃƒÆ’Ã‚Â¢ÃƒÂ¢Ã¢â‚¬Å¡Ã‚Â¬Ãƒâ€šÃ‚Âanalysis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metaÃƒÆ’Ã‚Â¢ÃƒÂ¢Ã¢â‚¬Å¡Ã‚Â¬Ãƒâ€šÃ‚Âanalysis with OpenBUGS using Bayesian methods and calculated the differences in treatments using hazard ratios (HR), odds ratios (OR) and rate ratios with 95% credible intervals (CrI) based on an availableÃƒÆ’Ã‚Â¢ÃƒÂ¢Ã¢â‚¬Å¡Ã‚Â¬Ãƒâ€šÃ‚Âcase analysis, according to National Institute of Health and Care Excellence Decision Support Unit guidance. Main results We included a total of 48 randomised clinical trials (3526 participants) in the review. FortyÃƒÆ’Ã‚Â¢ÃƒÂ¢Ã¢â‚¬Å¡Ã‚Â¬Ãƒâ€šÃ‚Âsix trials (3442 participants) were included in one or more comparisons. The trials that provided the information included people with cirrhosis due to varied aetiologies. The followÃƒÆ’Ã‚Â¢ÃƒÂ¢Ã¢â‚¬Å¡Ã‚Â¬Ãƒâ€šÃ‚Âup ranged from two months to 61 months. All the trials were at high risk of bias. A total of 12 interventions were compared in these trials (sclerotherapy, betaÃƒÆ’Ã‚Â¢ÃƒÂ¢Ã¢â‚¬Å¡Ã‚Â¬Ãƒâ€šÃ‚Âblockers, variceal band ligation, betaÃƒÆ’Ã‚Â¢ÃƒÂ¢Ã¢â‚¬Å¡Ã‚Â¬Ãƒâ€šÃ‚Âblockers plus sclerotherapy, no active intervention, TIPS (transjugular intrahepatic portosystemic shunt), betaÃƒÆ’Ã‚Â¢ÃƒÂ¢Ã¢â‚¬Å¡Ã‚Â¬Ãƒâ€šÃ‚Âblockers plus nitrates, portocaval shunt, sclerotherapy plus variceal band ligation, betaÃƒÆ’Ã‚Â¢ÃƒÂ¢Ã¢â‚¬Å¡Ã‚Â¬Ãƒâ€šÃ‚Âblockers plus nitrates plus variceal band ligation, betaÃƒÆ’Ã‚Â¢ÃƒÂ¢Ã¢â‚¬Å¡Ã‚Â¬Ãƒâ€šÃ‚Âblockers plus variceal band ligation, sclerotherapy plus nitrates). Overall, 22.5% of the trial participants who received the reference treatment (chosen because this was the commonest treatment compared in the trials) of sclerotherapy died during the followÃƒÆ’Ã‚Â¢ÃƒÂ¢Ã¢â‚¬Å¡Ã‚Â¬Ãƒâ€šÃ‚Âup period ranging from two months to 61 months. There was considerable uncertainty in the effects of interventions on mortality. Accordingly, none of the interventions showed superiority over another. None of the trials reported healthÃƒÆ’Ã‚Â¢ÃƒÂ¢Ã¢â‚¬Å¡Ã‚Â¬Ãƒâ€šÃ‚Ârelated quality of life. Based on lowÃƒÆ’Ã‚Â¢ÃƒÂ¢Ã¢â‚¬Å¡Ã‚Â¬Ãƒâ€šÃ‚Âcertainty evidence, variceal band ligation may result in fewer serious adverse events (number of people) than sclerotherapy (OR 0.19; 95% CrI 0.06 to 0.54; 1 trial; 100 participants). Based on low or very lowÃƒÆ’Ã‚Â¢ÃƒÂ¢Ã¢â‚¬Å¡Ã‚Â¬Ãƒâ€šÃ‚Âcertainty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lowÃƒÆ’Ã‚Â¢ÃƒÂ¢Ã¢â‚¬Å¡Ã‚Â¬Ãƒâ€šÃ‚Âcertainty evidence, TIPS may result in large decrease in symptomatic rebleed than variceal band ligation (HR 0.12; 95% CrI 0.03 to 0.41; 1 trial; 58 participants). Based on moderateÃƒÆ’Ã‚Â¢ÃƒÂ¢Ã¢â‚¬Å¡Ã‚Â¬Ãƒâ€šÃ‚Âcertainty evidence, any variceal rebleed was probably lower in sclerotherapy than in no active intervention (HR 0.62; 95% CrI 0.35 to 0.99, direct comparison HR 0.66; 95% CrI 0.11 to 3.13; 3 trials; 296 participants), betaÃƒÆ’Ã‚Â¢ÃƒÂ¢Ã¢â‚¬Å¡Ã‚Â¬Ãƒâ€šÃ‚Âblockers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lowÃƒÆ’Ã‚Â¢ÃƒÂ¢Ã¢â‚¬Å¡Ã‚Â¬Ãƒâ€šÃ‚Âcertainty evidence, betaÃƒÆ’Ã‚Â¢ÃƒÂ¢Ã¢â‚¬Å¡Ã‚Â¬Ãƒâ€šÃ‚Âblockers alone and TIPS might result in more, other compensation, events than sclerotherapy (rate ratio 2.37; 95% CrI 1.35 to 4.67; 1 trial; 65 participants and rate ratio 2.30; 95% CrI 1.20 to 4.65; 2 trials; 109 participants; lowÃƒÆ’Ã‚Â¢ÃƒÂ¢Ã¢â‚¬Å¡Ã‚Â¬Ãƒâ€šÃ‚Âcertainty evidence). The evidence indicates considerable uncertainty about the effect of the interventions including those related to betaÃƒÆ’Ã‚Â¢ÃƒÂ¢Ã¢â‚¬Å¡Ã‚Â¬Ãƒâ€šÃ‚Âblockers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BetaÃƒÆ’Ã‚Â¢ÃƒÂ¢Ã¢â‚¬Å¡Ã‚Â¬Ãƒâ€šÃ‚Âblockers plus sclerotherapy and TIPS probably result in fewer 'any' variceal rebleeding than sclerotherapy. BetaÃƒÆ’Ã‚Â¢ÃƒÂ¢Ã¢â‚¬Å¡Ã‚Â¬Ãƒâ€šÃ‚Âblockers alone and TIPS might result in more other compensation events than sclerotherapy. The evidence indicates considerable uncertainty about the effect of the interventions in the remaining comparisons. Accordingly, highÃƒÆ’Ã‚Â¢ÃƒÂ¢Ã¢â‚¬Å¡Ã‚Â¬Ãƒâ€šÃ‚Âquality randomised comparative clinical trials are needed. Plain language summary Prevention of rebleeding from enlarged veins in the food pipe (oesophagus) resulting from advanced liver disease What is the aim of this Cochrane Review? ÃƒÆ’Ã‚Â¢ÃƒÂ¢Ã¢â‚¬Å¡Ã‚Â¬Ãƒâ€šÃ‚Â¨To find out the best available preventive treatment for repeated bleeding from oesophageal varices (enlarged veins in the food pipe) in people with advanced liver disease (liver cirrhosis, or lateÃƒÆ’Ã‚Â¢ÃƒÂ¢Ã¢â‚¬Å¡Ã‚Â¬Ãƒâ€šÃ‚Âstage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metaÃƒÆ’Ã‚Â¢ÃƒÂ¢Ã¢â‚¬Å¡Ã‚Â¬Ãƒâ€šÃ‚Âanalysis'). Date of literature search ÃƒÆ’Ã‚Â¢ÃƒÂ¢Ã¢â‚¬Å¡Ã‚Â¬Ãƒâ€šÃ‚Â¨December 2019 Key messages ÃƒÆ’Ã‚Â¢ÃƒÂ¢Ã¢â‚¬Å¡Ã‚Â¬Ãƒâ€šÃ‚Â¨None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ÃƒÆ’Ã‚Â¢ÃƒÂ¢Ã¢â‚¬Å¡Ã‚Â¬Ãƒâ€šÃ‚Â¨This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betaÃƒÆ’Ã‚Â¢ÃƒÂ¢Ã¢â‚¬Å¡Ã‚Â¬Ãƒâ€šÃ‚Âblockers (drugs that slow the heart and decrease the force of heart pumping resulting in decrease pressure in the blood vessels), and TIPS (transjugular intrahepatic portosystemic shunt; an artificial channel that connects the different blood vessels that carry oxygenÃƒÆ’Ã‚Â¢ÃƒÂ¢Ã¢â‚¬Å¡Ã‚Â¬Ãƒâ€šÃ‚Âdepleted blood (venous system)) within the liver to reduce the pressure builtÃƒÆ’Ã‚Â¢ÃƒÂ¢Ã¢â‚¬Å¡Ã‚Â¬Ãƒâ€šÃ‚Âup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nonÃƒÆ’Ã‚Â¢ÃƒÂ¢Ã¢â‚¬Å¡Ã‚Â¬Ãƒâ€šÃ‚Âserious adverse events, recurrence of bleeding, and development of other complications of advanced liver disease.ÃƒÆ’Ã‚Â¢ÃƒÂ¢Ã¢â‚¬Å¡Ã‚Â¬Ãƒâ€šÃ‚Â¨ÃƒÆ’Ã‚Â¢ÃƒÂ¢Ã¢â‚¬Å¡Ã‚Â¬Ãƒâ€šÃ‚Â¨ What were the main results of the review? ÃƒÆ’Ã‚Â¢ÃƒÂ¢Ã¢â‚¬Å¡Ã‚Â¬Ãƒâ€šÃ‚Â¨The 48 studies included a small number of participants (3526 participants). Study data were sparse. FortyÃƒÆ’Ã‚Â¢ÃƒÂ¢Ã¢â‚¬Å¡Ã‚Â¬Ãƒâ€šÃ‚Âsix studies with 3442 participants provided data for analyses. The followÃƒÆ’Ã‚Â¢ÃƒÂ¢Ã¢â‚¬Å¡Ã‚Â¬Ãƒâ€šÃ‚Âup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following.ÃƒÆ’Ã‚Â¢ÃƒÂ¢Ã¢â‚¬Å¡Ã‚Â¬Ãƒâ€šÃ‚Â¨ÃƒÆ’Ã‚Â¢ÃƒÂ¢Ã¢â‚¬Å¡Ã‚Â¬Ãƒâ€šÃ‚Â The evidence indicates considerable uncertainty about the effect of the interventions on the risk of deathÃƒÆ’Ã‚Â¢ÃƒÂ¢Ã¢â‚¬Å¡Ã‚Â¬Ãƒâ€šÃ‚Â¨ÃƒÆ’Ã‚Â¢ÃƒÂ¢Ã¢â‚¬Å¡Ã‚Â¬Ãƒâ€šÃ‚Â Variceal band ligation might result in fewer serious adverse events than sclerotherapyÃƒÆ’Ã‚Â¢ÃƒÂ¢Ã¢â‚¬Å¡Ã‚Â¬Ãƒâ€šÃ‚Â¨ÃƒÆ’Ã‚Â¢ÃƒÂ¢Ã¢â‚¬Å¡Ã‚Â¬Ãƒâ€šÃ‚Â The evidence indicates considerable uncertainty about the effect of the interventions on serious and nonÃƒÆ’Ã‚Â¢ÃƒÂ¢Ã¢â‚¬Å¡Ã‚Â¬Ãƒâ€šÃ‚Âserious adverse eventsÃƒÆ’Ã‚Â¢ÃƒÂ¢Ã¢â‚¬Å¡Ã‚Â¬Ãƒâ€šÃ‚Â¨ÃƒÆ’Ã‚Â¢ÃƒÂ¢Ã¢â‚¬Å¡Ã‚Â¬Ãƒâ€šÃ‚Â Sclerotherapy probably results in decrease in further bleeding than no treatmentÃƒÆ’Ã‚Â¢ÃƒÂ¢Ã¢â‚¬Å¡Ã‚Â¬Ãƒâ€šÃ‚Â¨ÃƒÆ’Ã‚Â¢ÃƒÂ¢Ã¢â‚¬Å¡Ã‚Â¬Ãƒâ€šÃ‚Â BetaÃƒÆ’Ã‚Â¢ÃƒÂ¢Ã¢â‚¬Å¡Ã‚Â¬Ãƒâ€šÃ‚Âblockers plus sclerotherapy and TIPS probably result in a decrease in further bleeding than sclerotherapy aloneÃƒÆ’Ã‚Â¢ÃƒÂ¢Ã¢â‚¬Å¡Ã‚Â¬Ãƒâ€šÃ‚Â¨ÃƒÆ’Ã‚Â¢ÃƒÂ¢Ã¢â‚¬Å¡Ã‚Â¬Ãƒâ€šÃ‚Â Portocaval shunt may result in a decrease in further bleeding than sclerotherapyÃƒÆ’Ã‚Â¢ÃƒÂ¢Ã¢â‚¬Å¡Ã‚Â¬Ãƒâ€šÃ‚Â¨ÃƒÆ’Ã‚Â¢ÃƒÂ¢Ã¢â‚¬Å¡Ã‚Â¬Ãƒâ€šÃ‚Â The evidence indicates considerable uncertainty about the effect of the interventions in the remaining comparisonsÃƒÆ’Ã‚Â¢ÃƒÂ¢Ã¢â‚¬Å¡Ã‚Â¬Ãƒâ€šÃ‚Â¨ÃƒÆ’Ã‚Â¢ÃƒÂ¢Ã¢â‚¬Å¡Ã‚Â¬Ãƒâ€šÃ‚Â None of the trials reported healthÃƒÆ’Ã‚Â¢ÃƒÂ¢Ã¢â‚¬Å¡Ã‚Â¬Ãƒâ€šÃ‚Ârelated quality of lifeÃƒÆ’Ã‚Â¢ÃƒÂ¢Ã¢â‚¬Å¡Ã‚Â¬Ãƒâ€šÃ‚Â¨ÃƒÆ’Ã‚Â¢ÃƒÂ¢Ã¢â‚¬Å¡Ã‚Â¬Ãƒâ€šÃ‚Â Future wellÃƒÆ’Ã‚Â¢ÃƒÂ¢Ã¢â‚¬Å¡Ã‚Â¬Ãƒâ€šÃ‚Âdesigned trials are needed to find out the best treatment for people with cirrhosis and previous bleeding from oesophageal varices.</t>
  </si>
  <si>
    <t>The article focuses on clinical outcomes and does not explicitly mention cash-releasing savings or positive ROI.</t>
  </si>
  <si>
    <t>['net saving']</t>
  </si>
  <si>
    <t>Effect of testing for cancer on cancerÃƒÆ’Ã‚Â¢ÃƒÂ¢Ã¢â‚¬Å¡Ã‚Â¬Ãƒâ€šÃ‚Â or venous thromboembolism (VTE)ÃƒÆ’Ã‚Â¢ÃƒÂ¢Ã¢â‚¬Å¡Ã‚Â¬Ãƒâ€šÃ‚Ârelated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</si>
  <si>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nonÃƒÆ’Ã‚Â¢ÃƒÂ¢Ã¢â‚¬Å¡Ã‚Â¬Ãƒâ€šÃ‚Âcancer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cancerÃƒÆ’Ã‚Â¢ÃƒÂ¢Ã¢â‚¬Å¡Ã‚Â¬Ãƒâ€šÃ‚Ârelated mortality and morbidity. This is the third update of the review first published in 2015. Objectives To determine whether testing for undiagnosed cancer in people with a first episode of unprovoked VTE (DVT of the lower limb or PE) is effective in reducing cancerÃƒÆ’Ã‚Â¢ÃƒÂ¢Ã¢â‚¬Å¡Ã‚Â¬Ãƒâ€šÃ‚Â or VTEÃƒÆ’Ã‚Â¢ÃƒÂ¢Ã¢â‚¬Å¡Ã‚Â¬Ãƒâ€šÃ‚Ârelated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quasiÃƒÆ’Ã‚Â¢ÃƒÂ¢Ã¢â‚¬Å¡Ã‚Â¬Ãƒâ€šÃ‚Ârandomised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allÃƒÆ’Ã‚Â¢ÃƒÂ¢Ã¢â‚¬Å¡Ã‚Â¬Ãƒâ€šÃ‚Âcause mortality, cancerÃƒÆ’Ã‚Â¢ÃƒÂ¢Ã¢â‚¬Å¡Ã‚Â¬Ãƒâ€šÃ‚Ârelated mortality and VTEÃƒÆ’Ã‚Â¢ÃƒÂ¢Ã¢â‚¬Å¡Ã‚Â¬Ãƒâ€šÃ‚Ârelated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cancerÃƒÆ’Ã‚Â¢ÃƒÂ¢Ã¢â‚¬Å¡Ã‚Â¬Ãƒâ€šÃ‚Ârelated mortality (odds ratio (OR) 0.49, 95% confidence interval (CI) 0.15 to 1.67; 396 participants; 2 studies; lowÃƒÆ’Ã‚Â¢ÃƒÂ¢Ã¢â‚¬Å¡Ã‚Â¬Ãƒâ€šÃ‚Âcertainty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lowÃƒÆ’Ã‚Â¢ÃƒÂ¢Ã¢â‚¬Å¡Ã‚Â¬Ãƒâ€šÃ‚Âcertainty evidence). There was no clear difference in detection of advanced stages between extensive tests versus tests at the physician's discretion: one participant in the extensively tested group had stage T3 compared with four participants in the control group</t>
  </si>
  <si>
    <t>The article reports an expenditure reduction from 16 million to 11 million.</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</si>
  <si>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ÃƒÆ’Ã¢â‚¬Å¡Ãƒâ€šÃ‚Â© 2019 European Association of Urology</t>
  </si>
  <si>
    <t>- Rationale Postpartum haemorrhage (PPH) is common and potentially lifeÃƒÆ’Ã‚Â¢ÃƒÂ¢Ã¢â‚¬Å¡Ã‚Â¬Ãƒâ€šÃ‚Âthreatening.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costÃƒÆ’Ã‚Â¢ÃƒÂ¢Ã¢â‚¬Å¡Ã‚Â¬Ãƒâ€šÃ‚Âeffectiveness and safety of prophylactic TXA is required before considering widespread use. This review updates one published in 2015. Objectives To assess the effects of TXA for preventing PPH compared to placebo or no treatment (with or without uterotonic coÃƒÆ’Ã‚Â¢ÃƒÂ¢Ã¢â‚¬Å¡Ã‚Â¬Ãƒâ€šÃ‚Âtreatment)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ÃƒÆ’Ã‚Â¢ÃƒÂ¢Ã¢â€šÂ¬Ã‚Â°Ãƒâ€šÃ‚Â¥ 500 mL and blood loss ÃƒÆ’Ã‚Â¢ÃƒÂ¢Ã¢â€šÂ¬Ã‚Â°Ãƒâ€šÃ‚Â¥ 1000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randomÃƒÆ’Ã‚Â¢ÃƒÂ¢Ã¢â‚¬Å¡Ã‚Â¬Ãƒâ€šÃ‚Âeffects metaÃƒÆ’Ã‚Â¢ÃƒÂ¢Ã¢â‚¬Å¡Ã‚Â¬Ãƒâ€šÃ‚Âanalysis to combine data. We assessed the certainty of the evidence using GRADE. Included studies We included three RCTs with 18,974 participants in total. The trials were conducted in both highÃƒÆ’Ã‚Â¢ÃƒÂ¢Ã¢â‚¬Å¡Ã‚Â¬Ãƒâ€šÃ‚Â and lowÃƒÆ’Ã‚Â¢ÃƒÂ¢Ã¢â‚¬Å¡Ã‚Â¬Ãƒâ€šÃ‚Âresource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ÃƒÆ’Ã‚Â¢ÃƒÂ¢Ã¢â€šÂ¬Ã‚Â°Ãƒâ€šÃ‚Â¥ 500 mL (risk ratio (RR) 0.93, 95% confidence interval (CI) 0.81 to 1.06; 2 studies, 18,897 participants; 5 fewer per 1000, 95% CI 15 fewer to 5 more; highÃƒÆ’Ã‚Â¢ÃƒÂ¢Ã¢â‚¬Å¡Ã‚Â¬Ãƒâ€šÃ‚Âcertainty evidence). TXA likely results in little to no difference in blood loss ÃƒÆ’Ã‚Â¢ÃƒÂ¢Ã¢â€šÂ¬Ã‚Â°Ãƒâ€šÃ‚Â¥ 1000 mL (RR 0.86, 95% CI 0.69 to 1.07; 2 studies, 18,897 participants; 3 fewer per 1000, 95% CI 6 fewer to 1 more; moderateÃƒÆ’Ã‚Â¢ÃƒÂ¢Ã¢â‚¬Å¡Ã‚Â¬Ãƒâ€šÃ‚Âcertainty evidence). TXA likely results in little to no difference in severe morbidity (RR 0.88, 95% CI 0.69 to 1.12; 1 study, 15,066 participants; 2 fewer per 1000, 95% CI 6 fewer to 2 more; moderateÃƒÆ’Ã‚Â¢ÃƒÂ¢Ã¢â‚¬Å¡Ã‚Â¬Ãƒâ€šÃ‚Âcertainty evidence). TXA results in little to no difference in receipt of blood transfusion (RR 1.00, 95% CI 0.95 to 1.06; 3 studies, 18,972 participants; 0 fewer per 1000, 95% CI 10 fewer to 12 more; highÃƒÆ’Ã‚Â¢ÃƒÂ¢Ã¢â‚¬Å¡Ã‚Â¬Ãƒâ€šÃ‚Âcertainty evidence). TXA may result in little to no difference in receipt of additional surgical interventions to control PPH (RR 0.63, 95% CI 0.32 to 1.23; 2 studies, 18,972 participants; 1 fewer per 1000, 95% CI 2 fewer to 1 more; lowÃƒÆ’Ã‚Â¢ÃƒÂ¢Ã¢â‚¬Å¡Ã‚Â¬Ãƒâ€šÃ‚Âcertainty evidence). In women with anaemia, TXA results in little to no difference in receipt of additional uterotonics (RR 1.02, 95% CI 0.94 to 1.10; 1 study, 15,066 participants; 3 more women per 1000, 95% CI 8 fewer to 24 more; highÃƒÆ’Ã‚Â¢ÃƒÂ¢Ã¢â‚¬Å¡Ã‚Â¬Ãƒâ€šÃ‚Âcertainty evidence). In women with no anaemia, TXA results in a slight reduction in receipt of additional uterotonics (RR 0.75, 95% CI 0.61 to 0.92; 1 study, 3891 participants; 24 fewer women per 1000, 95% CI 38 fewer to 8 fewer; highÃƒÆ’Ã‚Â¢ÃƒÂ¢Ã¢â‚¬Å¡Ã‚Â¬Ãƒâ€šÃ‚Âcertainty evidence). TXA likely r sults in little to no difference in maternal satisfaction. The evidence is very uncertain about the effect of TXA on maternal death, thromboembolic events, and hysterectomy (very lowÃƒÆ’Ã‚Â¢ÃƒÂ¢Ã¢â‚¬Å¡Ã‚Â¬Ãƒâ€šÃ‚Âcertainty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ÃƒÆ’Ã‚Â¢ÃƒÂ¢Ã¢â€šÂ¬Ã‚Â°Ãƒâ€šÃ‚Â¥ 500 mL and likely makes little to no difference to blood loss ÃƒÆ’Ã‚Â¢ÃƒÂ¢Ã¢â€šÂ¬Ã‚Â°Ãƒâ€šÃ‚Â¥ 1000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10.1002/14651858.CD007872ÃƒÆ’Ã‚Â¢ÃƒÂ¢Ã¢â‚¬Å¡Ã‚Â¬Ãƒâ€šÃ‚Â¨Original review (2010) DOI: 10.1002/14651858.CD007872.pub2ÃƒÆ’Ã‚Â¢ÃƒÂ¢Ã¢â‚¬Å¡Ã‚Â¬Ãƒâ€šÃ‚Â¨Review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lifeÃƒÆ’Ã‚Â¢ÃƒÂ¢Ã¢â‚¬Å¡Ã‚Â¬Ãƒâ€šÃ‚Âthreatening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highÃƒÆ’Ã‚Â¢ÃƒÂ¢Ã¢â‚¬Å¡Ã‚Â¬Ãƒâ€šÃ‚Â and lowÃƒÆ’Ã‚Â¢ÃƒÂ¢Ã¢â‚¬Å¡Ã‚Â¬Ãƒâ€šÃ‚Âresource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</si>
  <si>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allÃƒÆ’Ã‚Â¢ÃƒÂ¢Ã¢â‚¬Å¡Ã‚Â¬Ãƒâ€šÃ‚Âcause mortality, major venous thromboembolism (VTE), symptomatic VTE, major bleeding, and serious hepatic and nonÃƒÆ’Ã‚Â¢ÃƒÂ¢Ã¢â‚¬Å¡Ã‚Â¬Ãƒâ€šÃ‚Âhepatic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TwentyÃƒÆ’Ã‚Â¢ÃƒÂ¢Ã¢â‚¬Å¡Ã‚Â¬Ãƒâ€šÃ‚Âthree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allÃƒÆ’Ã‚Â¢ÃƒÂ¢Ã¢â‚¬Å¡Ã‚Â¬Ãƒâ€šÃ‚Âcause mortality, but the evidence is very uncertain (RR 0.83, 95% CI 0.52 to 1.31; I 2 = 0%; 28 studies, 29,698 participants; very lowÃƒÆ’Ã‚Â¢ÃƒÂ¢Ã¢â‚¬Å¡Ã‚Â¬Ãƒâ€šÃ‚Âcertainty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lowÃƒÆ’Ã‚Â¢ÃƒÂ¢Ã¢â‚¬Å¡Ã‚Â¬Ãƒâ€šÃ‚Âcertainty evidence). Compared to LMWHs, direct factor Xa inhibitors may reduce symptomatic VTE (RR 0.64, 95% CI 0.50 to 0.83; I 2 = 0%; 33 studies, 31,670 participants; lowÃƒÆ’Ã‚Â¢ÃƒÂ¢Ã¢â‚¬Å¡Ã‚Â¬Ãƒâ€šÃ‚Âcertainty evidence). The absolute benefit of substituting factor Xa inhibitors for LMWHs may be between two and five fewer symptomatic VTE episodes per 1000 patients. In the metaÃƒÆ’Ã‚Â¢ÃƒÂ¢Ã¢â‚¬Å¡Ã‚Â¬Ãƒâ€šÃ‚Âanalysis with all studies pooled, direct factor Xa inhibitors appeared to make little or no difference to major bleeding compared to LMWHs, but the evidence was very uncertain (RR 1.05, 95% CI 0.86 to 1.30; I 2 = 15%; 36 studies, 39,778 participants; very low certaintyÃƒÆ’Ã‚Â¢ÃƒÂ¢Ã¢â‚¬Å¡Ã‚Â¬Ãƒâ€šÃ‚Âevidence). ÃƒÆ’Ã‚Â¢ÃƒÂ¢Ã¢â‚¬Å¡Ã‚Â¬Ãƒâ€šÃ‚Â¨ÃƒÆ’Ã‚Â¢ÃƒÂ¢Ã¢â‚¬Å¡Ã‚Â¬Ãƒâ€šÃ‚Â¢ In a subgroup analysis limited to studies comparing rivaroxaban to LMWHs, people given rivaroxaban may have had more major bleeding events (RR 1.94, 95% CI 1.26 to 2.98; I 2 = 0%; 17 studies, 17,630 participants; lowÃƒÆ’Ã‚Â¢ÃƒÂ¢Ã¢â‚¬Å¡Ã‚Â¬Ãƒâ€šÃ‚Âcertainty evidence). The absolute risk of substituting rivaroxaban for LMWH may be between one and seven more major bleeding events per 1000 patients. ÃƒÆ’Ã‚Â¢ÃƒÂ¢Ã¢â‚¬Å¡Ã‚Â¬Ãƒâ€šÃ‚Â¨ÃƒÆ’Ã‚Â¢ÃƒÂ¢Ã¢â‚¬Å¡Ã‚Â¬Ãƒâ€šÃ‚Â¢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lowÃƒÆ’Ã‚Â¢ÃƒÂ¢Ã¢â‚¬Å¡Ã‚Â¬Ãƒâ€šÃ‚Âcertainty evidence). Direct factor Xa inhibitors may make little to no difference in serious hepatic adverse events compared to LMWHs, but the evidence is very uncertain (RR 3.01, 95% CI 0.12 to 73.93; 2 studies, 3169 participants; very lowÃƒÆ’Ã‚Â¢ÃƒÂ¢Ã¢â‚¬Å¡Ã‚Â¬Ãƒâ€šÃ‚Âcertainty evidence). Only two studies reported this outcome, with one death in the intervention group due to hepatitis reported in one study, and no events reported in the other study. People given direct factor Xa inhibitors may have a lower risk of serious nonÃƒÆ’Ã‚Â¢ÃƒÂ¢Ã¢â‚¬Å¡Ã‚Â¬Ãƒâ€šÃ‚Âhepatic adverse events than those given LMWHs (RR 0.89, 95% CI 0.81 to 0.97; I 2 = 18%; 15 studies, 26,246 participants; lowÃƒÆ’Ã‚Â¢ÃƒÂ¢Ã¢â‚¬Å¡Ã‚Â¬Ãƒâ€šÃ‚Âcertainty evidence). The absolute benefit of substituting factor Xa inhibitors for LMWH may be between three and 14 fewer serious nonÃƒÆ’Ã‚Â¢ÃƒÂ¢Ã¢â‚¬Å¡Ã‚Â¬Ãƒâ€šÃ‚Âhepatic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allÃƒÆ’Ã‚Â¢ÃƒÂ¢Ã¢â‚¬Å¡Ã‚Â¬Ãƒâ€šÃ‚Âcause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nonÃƒÆ’Ã‚Â¢ÃƒÂ¢Ã¢â‚¬Å¡Ã‚Â¬Ãƒâ€šÃ‚Âhepatic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ÃƒÆ’Ã‚Â¢ÃƒÂ¢Ã¢â‚¬Å¡Ã‚Â¬Ãƒâ€šÃ‚Â¢ We do not know if classic anticoagulant medicines (commonly known as 'blood thinners') or newer bloodÃƒÆ’Ã‚Â¢ÃƒÂ¢Ã¢â‚¬Å¡Ã‚Â¬Ãƒâ€šÃ‚Âthinning medicines called 'direct factor Xa inhibitors' (DFXa inhibitors) are better at preventing death or the development of blood clots in the deep veins of the legs or in the lungs of people who have had hip or knee replacement surgery. ÃƒÆ’Ã‚Â¢ÃƒÂ¢Ã¢â‚¬Å¡Ã‚Â¬Ãƒâ€šÃ‚Â¢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followÃƒÆ’Ã‚Â¢ÃƒÂ¢Ã¢â‚¬Å¡Ã‚Â¬Ãƒâ€šÃ‚Âup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highÃƒÆ’Ã‚Â¢ÃƒÂ¢Ã¢â‚¬Å¡Ã‚Â¬Ãƒâ€šÃ‚Âincome regions. Roughly oneÃƒÆ’Ã‚Â¢ÃƒÂ¢Ã¢â‚¬Å¡Ã‚Â¬Ãƒâ€šÃ‚Âthird of participants (31%) were male. Participants' average age was 64 years. Pharmaceutical companies funded half of the studies (27 of 53). Main results Compared to LMWHs, we do not know if DFXa inhibitors reduce the number of people who:ÃƒÆ’Ã‚Â¢ÃƒÂ¢Ã¢â‚¬Å¡Ã‚Â¬Ãƒâ€šÃ‚Â¨ÃƒÆ’Ã‚Â¢ÃƒÂ¢Ã¢â‚¬Å¡Ã‚Â¬Ãƒâ€šÃ‚Â¢ die from any cause after surgery, orÃƒÆ’Ã‚Â¢ÃƒÂ¢Ã¢â‚¬Å¡Ã‚Â¬Ãƒâ€šÃ‚Â¨ÃƒÆ’Ã‚Â¢ÃƒÂ¢Ã¢â‚¬Å¡Ã‚Â¬Ãƒâ€šÃ‚Â¢ develop blood clots in the lungs or deep veins of the leg or pelvisÃƒÆ’Ã‚Â¢ÃƒÂ¢Ã¢â‚¬Å¡Ã‚Â¬Ãƒâ€šÃ‚Â¨because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nonÃƒÆ’Ã‚Â¢ÃƒÂ¢Ã¢â‚¬Å¡Ã‚Â¬Ãƒâ€šÃ‚ÂliverÃƒÆ’Ã‚Â¢ÃƒÂ¢Ã¢â‚¬Å¡Ã‚Â¬Ãƒâ€šÃ‚Ârelated events compared to LMWHs. Between 3 and 14 fewer people out of every 1000 people given DFXa inhibitors would have serious, nonÃƒÆ’Ã‚Â¢ÃƒÂ¢Ã¢â‚¬Å¡Ã‚Â¬Ãƒâ€šÃ‚ÂliverÃƒÆ’Ã‚Â¢ÃƒÂ¢Ã¢â‚¬Å¡Ã‚Â¬Ãƒâ€šÃ‚Ârelated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</si>
  <si>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</si>
  <si>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</si>
  <si>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</si>
  <si>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</si>
  <si>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</si>
  <si>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ÃƒÆ’Ã¢â‚¬Å¡Ãƒâ€šÃ‚Â© 2025</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</si>
  <si>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</si>
  <si>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</si>
  <si>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steppedÃƒÆ’Ã‚Â¢ÃƒÂ¢Ã¢â‚¬Å¡Ã‚Â¬Ãƒâ€šÃ‚Âwedge designs, and nonÃƒÆ’Ã‚Â¢ÃƒÂ¢Ã¢â‚¬Å¡Ã‚Â¬Ãƒâ€šÃ‚Ârandomized studies of interventions (NRSIs), including interrupted time series (ITS) studies, controlled beforeÃƒÆ’Ã‚Â¢ÃƒÂ¢Ã¢â‚¬Å¡Ã‚Â¬Ãƒâ€šÃ‚Âafter (CBA) studies, and followÃƒÆ’Ã‚Â¢ÃƒÂ¢Ã¢â‚¬Å¡Ã‚Â¬Ãƒâ€šÃ‚Âup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WHOÃƒÆ’Ã‚Â¢ÃƒÂ¢Ã¢â‚¬Å¡Ã‚Â¬Ãƒâ€šÃ‚Ârecommended guidelines for PPH prevention, detection, and treatment; PPH ÃƒÆ’Ã‚Â¢ÃƒÂ¢Ã¢â€šÂ¬Ã‚Â°Ãƒâ€šÃ‚Â¥ 500 mL; PPH ÃƒÆ’Ã‚Â¢ÃƒÂ¢Ã¢â€šÂ¬Ã‚Â°Ãƒâ€šÃ‚Â¥ 1000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ROBINSÃƒÆ’Ã‚Â¢ÃƒÂ¢Ã¢â‚¬Å¡Ã‚Â¬Ãƒâ€šÃ‚ÂI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clusterÃƒÆ’Ã‚Â¢ÃƒÂ¢Ã¢â‚¬Å¡Ã‚Â¬Ãƒâ€šÃ‚ÂRCTs and 4 NRSIs) with a total of 1,027,273 births and more than 4373 birth attendants. The included studies were conducted in 17 different countries. Most trials were conducted in resourceÃƒÆ’Ã‚Â¢ÃƒÂ¢Ã¢â‚¬Å¡Ã‚Â¬Ãƒâ€šÃ‚Âlimited settings. None of the included studies reported data on the use of additional uterotonics within 24 hours after birth or adverse effects. Synthesis of results SingleÃƒÆ’Ã‚Â¢ÃƒÂ¢Ã¢â‚¬Å¡Ã‚Â¬Ãƒâ€šÃ‚Âcomponent implementation strategies versus usual care for PPH prevention, detection, and treatment We do not know if singleÃƒÆ’Ã‚Â¢ÃƒÂ¢Ã¢â‚¬Å¡Ã‚Â¬Ãƒâ€šÃ‚Âcomponent implementation strategies have any effect on adherence to WHO PPH prevention recommendations, PPH ÃƒÆ’Ã‚Â¢ÃƒÂ¢Ã¢â€šÂ¬Ã‚Â°Ãƒâ€šÃ‚Â¥ 500 mL, PPH ÃƒÆ’Ã‚Â¢ÃƒÂ¢Ã¢â€šÂ¬Ã‚Â°Ãƒâ€šÃ‚Â¥ 1000 mL, or blood transfusion (very lowÃƒÆ’Ã‚Â¢ÃƒÂ¢Ã¢â‚¬Å¡Ã‚Â¬Ãƒâ€šÃ‚Âcertainty evidence). LowÃƒÆ’Ã‚Â¢ÃƒÂ¢Ã¢â‚¬Å¡Ã‚Â¬Ãƒâ€šÃ‚Âcertainty evidence suggests that singleÃƒÆ’Ã‚Â¢ÃƒÂ¢Ã¢â‚¬Å¡Ã‚Â¬Ãƒâ€šÃ‚Âcomponent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ÃƒÆ’Ã‚Â¢ÃƒÂ¢Ã¢â€šÂ¬Ã‚Â°Ãƒâ€šÃ‚Â¥ 500 mL, blood transfusion, or severe morbidity relating to surgical outcomes (very lowÃƒÆ’Ã‚Â¢ÃƒÂ¢Ã¢â‚¬Å¡Ã‚Â¬Ãƒâ€šÃ‚Âcertainty evidence). Multicomponent implementation strategies may have little to no effect on matern l death (274,008 births, 2 trials; lowÃƒÆ’Ã‚Â¢ÃƒÂ¢Ã¢â‚¬Å¡Ã‚Â¬Ãƒâ€šÃ‚Âcertainty evidence) compared to usual care. No trials in this comparison measured the effect on adherence to WHO PPH prevention recommendations, PPH ÃƒÆ’Ã‚Â¢ÃƒÂ¢Ã¢â€šÂ¬Ã‚Â°Ãƒâ€šÃ‚Â¥ 1000 mL, or severe morbidity (outcomes related to ICU admission). Multicomponent implementation strategies versus enhanced usual care for PPH prevention, detection, and treatment LowÃƒÆ’Ã‚Â¢ÃƒÂ¢Ã¢â‚¬Å¡Ã‚Â¬Ãƒâ€šÃ‚Âcertainty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moderateÃƒÆ’Ã‚Â¢ÃƒÂ¢Ã¢â‚¬Å¡Ã‚Â¬Ãƒâ€šÃ‚Âcertainty evidence), severe morbidity related to ICU admission (224,850 births, 2 trials; moderateÃƒÆ’Ã‚Â¢ÃƒÂ¢Ã¢â‚¬Å¡Ã‚Â¬Ãƒâ€šÃ‚Âcertainty evidence), and surgical morbidity (210,132 births, 1 trial; moderateÃƒÆ’Ã‚Â¢ÃƒÂ¢Ã¢â‚¬Å¡Ã‚Â¬Ãƒâ€šÃ‚Âcertainty evidence) compared to enhanced usual care. We do not know if multicomponent implementation strategies affect PPH ÃƒÆ’Ã‚Â¢ÃƒÂ¢Ã¢â€šÂ¬Ã‚Â°Ãƒâ€šÃ‚Â¥ 500 mL, PPH ÃƒÆ’Ã‚Â¢ÃƒÂ¢Ã¢â€šÂ¬Ã‚Â°Ãƒâ€šÃ‚Â¥ 1000 mL, or blood transfusion (very lowÃƒÆ’Ã‚Â¢ÃƒÂ¢Ã¢â‚¬Å¡Ã‚Â¬Ãƒâ€šÃ‚Âcertainty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effectivenessÃƒÆ’Ã‚Â¢ÃƒÂ¢Ã¢â‚¬Å¡Ã‚Â¬Ãƒâ€šÃ‚Âimplementation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singleÃƒÆ’Ã‚Â¢ÃƒÂ¢Ã¢â‚¬Å¡Ã‚Â¬Ãƒâ€šÃ‚Âcomponent implementation strategies affect adherence to WHO PPH prevention recommendations, blood loss, or blood transfusion. SingleÃƒÆ’Ã‚Â¢ÃƒÂ¢Ã¢â‚¬Å¡Ã‚Â¬Ãƒâ€šÃ‚Âcomponent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evidenceÃƒÆ’Ã‚Â¢ÃƒÂ¢Ã¢â‚¬Å¡Ã‚Â¬Ãƒâ€šÃ‚Âbased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facilityÃƒÆ’Ã‚Â¢ÃƒÂ¢Ã¢â‚¬Å¡Ã‚Â¬Ãƒâ€šÃ‚Âbased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singleÃƒÆ’Ã‚Â¢ÃƒÂ¢Ã¢â‚¬Å¡Ã‚Â¬Ãƒâ€šÃ‚Âcomponent implementation strategies affect adherence to WHO PPH prevention recommendations, blood loss, or blood transfusion. SingleÃƒÆ’Ã‚Â¢ÃƒÂ¢Ã¢â‚¬Å¡Ã‚Â¬Ãƒâ€šÃ‚Âcomponent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PPHÃƒÆ’Ã‚Â¢ÃƒÂ¢Ã¢â‚¬Å¡Ã‚Â¬Ãƒâ€šÃ‚Ârelated illness or death. It remains unknown whether multiple strategies work in a realÃƒÆ’Ã‚Â¢ÃƒÂ¢Ã¢â‚¬Å¡Ã‚Â¬Ãƒâ€šÃ‚Âworld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upÃƒÆ’Ã‚Â¢ÃƒÂ¢Ã¢â‚¬Å¡Ã‚Â¬Ãƒâ€šÃ‚ÂtoÃƒÆ’Ã‚Â¢ÃƒÂ¢Ã¢â‚¬Å¡Ã‚Â¬Ãƒâ€šÃ‚Âdate is this evidence? The evidence is current to 25 April 2024.</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</si>
  <si>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</si>
  <si>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</si>
  <si>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ÃƒÆ’Ã¢â‚¬Å¡Ãƒâ€šÃ‚Â© 2024</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</si>
  <si>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</si>
  <si>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</si>
  <si>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ÃƒÆ’Ã¢â‚¬Å¡Ãƒâ€šÃ‚Â© 2024 The Author(s). Movement Disorders Clinical Practice published by Wiley Periodicals LLC on behalf of International Parkinson and Movement Disorder Society.</t>
  </si>
  <si>
    <t>J6257</t>
  </si>
  <si>
    <t>Interventions to reduce nonÃƒÆ’Ã‚Â¢ÃƒÂ¢Ã¢â‚¬Å¡Ã‚Â¬Ãƒâ€šÃ‚Âprescription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</si>
  <si>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'nonÃƒÆ’Ã‚Â¢ÃƒÂ¢Ã¢â‚¬Å¡Ã‚Â¬Ãƒâ€šÃ‚Âprescription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nonÃƒÆ’Ã‚Â¢ÃƒÂ¢Ã¢â‚¬Å¡Ã‚Â¬Ãƒâ€šÃ‚Âprescription antimicrobial sales in the community setting. Objectives To assess the effects of interventions for reducing nonÃƒÆ’Ã‚Â¢ÃƒÂ¢Ã¢â‚¬Å¡Ã‚Â¬Ãƒâ€šÃ‚Âprescription antimicrobial sales by pharmacists and nonÃƒÆ’Ã‚Â¢ÃƒÂ¢Ã¢â‚¬Å¡Ã‚Â¬Ãƒâ€šÃ‚Âpharmacists in community pharmacies, drugstores, and other medicine outlets. To assess whether the effects of interventions differ according to types of interventions (single or multicomponent), community pharmacy personnel (pharmacists or nonÃƒÆ’Ã‚Â¢ÃƒÂ¢Ã¢â‚¬Å¡Ã‚Â¬Ãƒâ€šÃ‚Âpharmacists), and countries (low to lowerÃƒÆ’Ã‚Â¢ÃƒÂ¢Ã¢â‚¬Å¡Ã‚Â¬Ãƒâ€šÃ‚ÂmiddleÃƒÆ’Ã‚Â¢ÃƒÂ¢Ã¢â‚¬Å¡Ã‚Â¬Ãƒâ€šÃ‚Âincome and upperÃƒÆ’Ã‚Â¢ÃƒÂ¢Ã¢â‚¬Å¡Ã‚Â¬Ãƒâ€šÃ‚Âmiddle to high income). Search methods We searched five databases, including CENTRAL, MEDLINE, and Embase, and two trial registers to 26 September 2022. We also conducted reference checking and citation searches. Selection criteria We included randomized trials, clusterÃƒÆ’Ã‚Â¢ÃƒÂ¢Ã¢â‚¬Å¡Ã‚Â¬Ãƒâ€šÃ‚Ârandomized trials, and quasiÃƒÆ’Ã‚Â¢ÃƒÂ¢Ã¢â‚¬Å¡Ã‚Â¬Ãƒâ€šÃ‚Ârandomized trials evaluating interventions targeted at pharmacists and nonÃƒÆ’Ã‚Â¢ÃƒÂ¢Ã¢â‚¬Å¡Ã‚Â¬Ãƒâ€šÃ‚Âpharmacists in community pharmacies, drugstores, and other medicine outlets. Our primary outcomes were nonÃƒÆ’Ã‚Â¢ÃƒÂ¢Ã¢â‚¬Å¡Ã‚Â¬Ãƒâ€šÃ‚Âprescription antimicrobial sales, symptomatic or asymptomatic infections caused by antimicrobialÃƒÆ’Ã‚Â¢ÃƒÂ¢Ã¢â‚¬Å¡Ã‚Â¬Ãƒâ€šÃ‚Âresistant pathogens among pharmacy clients or community residents, and adverse events associated with nonÃƒÆ’Ã‚Â¢ÃƒÂ¢Ã¢â‚¬Å¡Ã‚Â¬Ãƒâ€šÃ‚Âprescription antimicrobial drug use in pharmacy clients. Our secondary outcomes were history taking and provision of advice to pharmacy clients, and knowledge of pharmacists and nonÃƒÆ’Ã‚Â¢ÃƒÂ¢Ã¢â‚¬Å¡Ã‚Â¬Ãƒâ€šÃ‚Âpharmacists.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nonÃƒÆ’Ã‚Â¢ÃƒÂ¢Ã¢â‚¬Å¡Ã‚Â¬Ãƒâ€šÃ‚Âpharmacists. One study conducted in Scotland was a fourÃƒÆ’Ã‚Â¢ÃƒÂ¢Ã¢â‚¬Å¡Ã‚Â¬Ãƒâ€šÃ‚Âarm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peerÃƒÆ’Ã‚Â¢ÃƒÂ¢Ã¢â‚¬Å¡Ã‚Â¬Ãƒâ€šÃ‚Âmonitoring) with a control of no intervention. Only nonÃƒÆ’Ã‚Â¢ÃƒÂ¢Ã¢â‚¬Å¡Ã‚Â¬Ãƒâ€šÃ‚Âprescription antimicrobial sales, history taking and provision of advice to pharmacy clients, and knowledge of pharmacists and nonÃƒÆ’Ã‚Â¢ÃƒÂ¢Ã¢â‚¬Å¡Ã‚Â¬Ãƒâ€šÃ‚Âpharmacists were assessed in the included studies; no study assessed other outcomes. We judged the overall risk of bias for nonÃƒÆ’Ã‚Â¢ÃƒÂ¢Ã¢â‚¬Å¡Ã‚Â¬Ãƒâ€šÃ‚Âprescription antimicrobial sales to be high risk and for the other two outcomes to be some concerns. One study conducted in Scotland assessed singleÃƒÆ’Ã‚Â¢ÃƒÂ¢Ã¢â‚¬Å¡Ã‚Â¬Ãƒâ€šÃ‚Âcomponent interventions (in two intervention arms) versus a control of written guidelines, and reported one primary outcome and one secondary outcome. NonÃƒÆ’Ã‚Â¢ÃƒÂ¢Ã¢â‚¬Å¡Ã‚Â¬Ãƒâ€šÃ‚Âprescription antimicrobial sales: the study reported the sale or nonÃƒÆ’Ã‚Â¢ÃƒÂ¢Ã¢â‚¬Å¡Ã‚Â¬Ãƒâ€šÃ‚Âsale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nonÃƒÆ’Ã‚Â¢ÃƒÂ¢Ã¢â‚¬Å¡Ã‚Â¬Ãƒâ€šÃ‚Âpharmacists: the study reported knowledge scores at baseline and followÃƒÆ’Ã‚Â¢ÃƒÂ¢Ã¢â‚¬Å¡Ã‚Â¬Ãƒâ€šÃ‚Âup, but did not compare the scores between t o singleÃƒÆ’Ã‚Â¢ÃƒÂ¢Ã¢â‚¬Å¡Ã‚Â¬Ãƒâ€šÃ‚Âcomponent intervention arms and the control arm at both time points. Four studies assessed multicomponent interventions versus a control of written guidelines or no intervention, and reported one primary outcome and two secondary outcomes. NonÃƒÆ’Ã‚Â¢ÃƒÂ¢Ã¢â‚¬Å¡Ã‚Â¬Ãƒâ€šÃ‚Âprescription antimicrobial sales: two studies conducted in Uganda, Thailand, and Vietnam involving 337 randomized community pharmacies and drugstores reported the proportion of nonÃƒÆ’Ã‚Â¢ÃƒÂ¢Ã¢â‚¬Å¡Ã‚Â¬Ãƒâ€šÃ‚Âprescription antimicrobial sales to the total number of requests using a simulated client method. Based on vote counting, both studies favored the intervention, that is multicomponent interventions reduced the sales of nonÃƒÆ’Ã‚Â¢ÃƒÂ¢Ã¢â‚¬Å¡Ã‚Â¬Ãƒâ€šÃ‚Âprescription antimicrobial drugs by pharmacists and nonÃƒÆ’Ã‚Â¢ÃƒÂ¢Ã¢â‚¬Å¡Ã‚Â¬Ãƒâ€šÃ‚Âpharmacists. The information in the other two studies was inadequate to address this primary outcome. One study in Portugal reported that total antibiotic consumption at the municipal level (comprising both prescribed and nonÃƒÆ’Ã‚Â¢ÃƒÂ¢Ã¢â‚¬Å¡Ã‚Â¬Ãƒâ€šÃ‚Âprescribed antibiotic sales) was reduced after a multicomponent intervention. The study conducted in Scotland assessed a multicomponent intervention (in one intervention arm) and reported the sale or nonÃƒÆ’Ã‚Â¢ÃƒÂ¢Ã¢â‚¬Å¡Ã‚Â¬Ãƒâ€šÃ‚Âsale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nonÃƒÆ’Ã‚Â¢ÃƒÂ¢Ã¢â‚¬Å¡Ã‚Â¬Ãƒâ€šÃ‚Âpharmacists in the intervention groups, while Uganda reported a paradoxical decline. Knowledge of pharmacists and nonÃƒÆ’Ã‚Â¢ÃƒÂ¢Ã¢â‚¬Å¡Ã‚Â¬Ãƒâ€šÃ‚Âpharmacists: the study conducted in Scotland reported knowledge scores at baseline and followÃƒÆ’Ã‚Â¢ÃƒÂ¢Ã¢â‚¬Å¡Ã‚Â¬Ãƒâ€šÃ‚Âup, but did not compare the scores between the multicomponent intervention arm and control arm at both time points. Authors' conclusions No firm conclusions can be drawn about the effects of singleÃƒÆ’Ã‚Â¢ÃƒÂ¢Ã¢â‚¬Å¡Ã‚Â¬Ãƒâ€šÃ‚Âcomponent interventions due to limited evidence. Multicomponent interventions may not reduce the sales of nonÃƒÆ’Ã‚Â¢ÃƒÂ¢Ã¢â‚¬Å¡Ã‚Â¬Ãƒâ€šÃ‚Âprescription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ÃƒÆ’Ã‚Â¢ÃƒÂ¢Ã¢â‚¬Å¡Ã‚Â¬Ãƒâ€šÃ‚Â¢ There is no clear evidence that the singleÃƒÆ’Ã‚Â¢ÃƒÂ¢Ã¢â‚¬Å¡Ã‚Â¬Ãƒâ€šÃ‚Âcomponent interventions targeted at pharmacists and nonÃƒÆ’Ã‚Â¢ÃƒÂ¢Ã¢â‚¬Å¡Ã‚Â¬Ãƒâ€šÃ‚Âpharmacists in community pharmacies and drugstores are effective. ÃƒÆ’Ã‚Â¢ÃƒÂ¢Ã¢â‚¬Å¡Ã‚Â¬Ãƒâ€šÃ‚Â¢ When multicomponent interventions are used, the sale of antimicrobial drugs without a prescription may not be reduced, but we are very uncertain about the results. ÃƒÆ’Ã‚Â¢ÃƒÂ¢Ã¢â‚¬Å¡Ã‚Â¬Ãƒâ€šÃ‚Â¢ BetterÃƒÆ’Ã‚Â¢ÃƒÂ¢Ã¢â‚¬Å¡Ã‚Â¬Ãƒâ€šÃ‚Âquality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doctorÃƒÆ’Ã‚Â¢ÃƒÂ¢Ã¢â‚¬Å¡Ã‚Â¬ÃƒÂ¢Ã¢â‚¬Å¾Ã‚Â¢s prescription, but some pharmacists and nonÃƒÆ’Ã‚Â¢ÃƒÂ¢Ã¢â‚¬Å¡Ã‚Â¬Ãƒâ€šÃ‚Âpharmacists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nonÃƒÆ’Ã‚Â¢ÃƒÂ¢Ã¢â‚¬Å¡Ã‚Â¬Ãƒâ€šÃ‚Âp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nonÃƒÆ’Ã‚Â¢ÃƒÂ¢Ã¢â‚¬Å¡Ã‚Â¬Ãƒâ€šÃ‚Âpharmacists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peerÃƒÆ’Ã‚Â¢ÃƒÂ¢Ã¢â‚¬Å¡Ã‚Â¬Ãƒâ€šÃ‚Âmonitoring for reducing the sales of antimicrobial drugs without a prescription by pharmacists and nonÃƒÆ’Ã‚Â¢ÃƒÂ¢Ã¢â‚¬Å¡Ã‚Â¬Ãƒâ€šÃ‚Âpharmacists.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nonÃƒÆ’Ã‚Â¢ÃƒÂ¢Ã¢â‚¬Å¡Ã‚Â¬Ãƒâ€šÃ‚Âpharmacists, and peerÃƒÆ’Ã‚Â¢ÃƒÂ¢Ã¢â‚¬Å¡Ã‚Â¬Ãƒâ€šÃ‚Âmonitoring on antimicrobial drug sales. When pharmacists and nonÃƒÆ’Ã‚Â¢ÃƒÂ¢Ã¢â‚¬Å¡Ã‚Â¬Ãƒâ€šÃ‚Âpharmacists in community pharmacies and drugstores received more than one intervention component, the number of sales of antimicrobial drugs without a prescription may not be reduced, but we are very uncertain about the results. No studies measured drugÃƒÆ’Ã‚Â¢ÃƒÂ¢Ã¢â‚¬Å¡Ã‚Â¬Ãƒâ€šÃ‚Âresistant infections or unwanted effects of antimicrobial drugs in pharmacy users. Further studies on this topic are needed, particularly looking at the effects of singleÃƒÆ’Ã‚Â¢ÃƒÂ¢Ã¢â‚¬Å¡Ã‚Â¬Ãƒâ€šÃ‚Âcomponent interventions. How upÃƒÆ’Ã‚Â¢ÃƒÂ¢Ã¢â‚¬Å¡Ã‚Â¬Ãƒâ€šÃ‚ÂtoÃƒÆ’Ã‚Â¢ÃƒÂ¢Ã¢â‚¬Å¡Ã‚Â¬Ãƒâ€šÃ‚Âdate is this review? The evidence is current to September 2022.</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</si>
  <si>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</si>
  <si>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</si>
  <si>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ÃƒÆ’Ã¢â‚¬Å¡Ãƒâ€šÃ‚Â© Author(s) (or their employer(s)) 2025. Re-use permitted under CC BY. Published by BMJ Group.</t>
  </si>
  <si>
    <t>The article mentions a reduction in cost and number of clinic appointments.</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</si>
  <si>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</si>
  <si>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</si>
  <si>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ÃƒÆ’Ã¢â‚¬Å¡Ãƒâ€šÃ‚Â© 2024"</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</si>
  <si>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</si>
  <si>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</si>
  <si>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</si>
  <si>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</si>
  <si>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</si>
  <si>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</si>
  <si>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</si>
  <si>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</si>
  <si>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ÃƒÆ’Ã¢â‚¬Å¡Ãƒâ€šÃ‚Â© 2024 The Author(s)</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</si>
  <si>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</si>
  <si>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</si>
  <si>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ÃƒÆ’Ã¢â‚¬Å¡Ãƒâ€šÃ‚Â© 2024 The Authors</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</si>
  <si>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</si>
  <si>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</si>
  <si>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ÃƒÆ’Ã¢â‚¬Å¡Ãƒâ€šÃ‚Â© Author(s) (or their employer(s)) 2025. Re-use permitted under CC BY. Published by BMJ Group.</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</si>
  <si>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</si>
  <si>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</si>
  <si>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ÃƒÆ’Ã¢â‚¬Å¡Ãƒâ€šÃ‚Â© 2025 Fundacion Clinica Medica Sur, A.C.</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</si>
  <si>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</si>
  <si>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</si>
  <si>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ÃƒÆ’Ã¢â‚¬Å¡Ãƒâ€šÃ‚Â© 2020, The Author(s).</t>
  </si>
  <si>
    <t>J1793</t>
  </si>
  <si>
    <t>Antibiotic prophylaxis to prevent spontaneous bacterial peritonitis in people with liver cirrhosis: a network metaÃƒÆ’Ã‚Â¢ÃƒÂ¢Ã¢â‚¬Å¡Ã‚Â¬Ãƒâ€šÃ‚Âanalysis</t>
  </si>
  <si>
    <t>- Background Approximately 2.5% of all hospitalisations in people with liver cirrhosis are for spontaneous bacterial peritonitis. Spontaneous bacterial peritonitis is associated with significant shortÃƒÆ’Ã‚Â¢ÃƒÂ¢Ã¢â‚¬Å¡Ã‚Â¬Ãƒâ€šÃ‚Âterm mortality; therefore, it is important to prevent spontaneous bacterial peritonitis in people at high risk of developing it. Antibiotic prophylaxis forms the mainstay preventive method, but this has to be balanced against the development of drugÃƒÆ’Ã‚Â¢ÃƒÂ¢Ã¢â‚¬Å¡Ã‚Â¬Ãƒâ€šÃ‚Âresistant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metaÃƒÆ’Ã‚Â¢ÃƒÂ¢Ã¢â‚¬Å¡Ã‚Â¬Ãƒâ€šÃ‚Âanalysis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metaÃƒÆ’Ã‚Â¢ÃƒÂ¢Ã¢â‚¬Å¡Ã‚Â¬Ãƒâ€šÃ‚Âanalysis with OpenBUGS using Bayesian methods and calculated the odds ratio, rate ratio, and hazard ratio (HR) with 95% credible intervals (CrI) based on an availableÃƒÆ’Ã‚Â¢ÃƒÂ¢Ã¢â‚¬Å¡Ã‚Â¬Ãƒâ€šÃ‚Âcase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TwentyÃƒÆ’Ã‚Â¢ÃƒÂ¢Ã¢â‚¬Å¡Ã‚Â¬Ãƒâ€šÃ‚Âthree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followÃƒÆ’Ã‚Â¢ÃƒÂ¢Ã¢â‚¬Å¡Ã‚Â¬Ãƒâ€šÃ‚Âup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healthÃƒÆ’Ã‚Â¢ÃƒÂ¢Ã¢â‚¬Å¡Ã‚Â¬Ãƒâ€šÃ‚Ârelated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healthÃƒÆ’Ã‚Â¢ÃƒÂ¢Ã¢â‚¬Å¡Ã‚Â¬Ãƒâ€šÃ‚Ârelated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lowÃƒÆ’Ã‚Â¢ÃƒÂ¢Ã¢â‚¬Å¡Ã‚Â¬Ãƒâ€šÃ‚Âcertainty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intentionÃƒÆ’Ã‚Â¢ÃƒÂ¢Ã¢â‚¬Å¡Ã‚Â¬Ãƒâ€šÃ‚ÂtoÃƒÆ’Ã‚Â¢ÃƒÂ¢Ã¢â‚¬Å¡Ã‚Â¬Ãƒâ€šÃ‚Âtreat analysis), and use clinically important outcomes such as mortality, healthÃƒÆ’Ã‚Â¢ÃƒÂ¢Ã¢â‚¬Å¡Ã‚Â¬Ãƒâ€šÃ‚Ârelated quality of life, and decompensation events. Plain language summary Use of antibiotics to prevent spontaneous bacterial peritonitis in people with advanced liver disease What was the aim of this Cochrane Review? People with advanced liver disease (liver cirrhosis, or lateÃƒÆ’Ã‚Â¢ÃƒÂ¢Ã¢â‚¬Å¡Ã‚Â¬Ãƒâ€šÃ‚Âstage scarring of the liver with complications) are at risk of developing an abnormal buildÃƒÆ’Ã‚Â¢ÃƒÂ¢Ã¢â‚¬Å¡Ã‚Â¬Ãƒâ€šÃ‚Âup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metaÃƒÆ’Ã‚Â¢ÃƒÂ¢Ã¢â‚¬Å¡Ã‚Â¬Ãƒâ€šÃ‚Âanalysis').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nonÃƒÆ’Ã‚Â¢ÃƒÂ¢Ã¢â‚¬Å¡Ã‚Â¬Ãƒâ€šÃ‚Âserious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TwentyÃƒÆ’Ã‚Â¢ÃƒÂ¢Ã¢â‚¬Å¡Ã‚Â¬Ãƒâ€šÃ‚Âthree studies with 2587 participants provided data for analyses. The followÃƒÆ’Ã‚Â¢ÃƒÂ¢Ã¢â‚¬Å¡Ã‚Â¬Ãƒâ€šÃ‚Âup in the trials ranged from 1 to 12 months. The review shows that: ÃƒÆ’Ã‚Â¢ÃƒÂ¢Ã¢â‚¬Å¡Ã‚Â¬Ãƒâ€šÃ‚Â of the 10 different antibiotics compared in the trials, norfloxacin and rifaximin were most commonly used;ÃƒÆ’Ã‚Â¢ÃƒÂ¢Ã¢â‚¬Å¡Ã‚Â¬Ãƒâ€šÃ‚Â¨ ÃƒÆ’Ã‚Â¢ÃƒÂ¢Ã¢â‚¬Å¡Ã‚Â¬Ãƒâ€šÃ‚Â 15 of every 100 people died within 12 months, and 10 of every 100 people developed spontaneous bacterial peritonitis;ÃƒÆ’Ã‚Â¢ÃƒÂ¢Ã¢â‚¬Å¡Ã‚Â¬Ãƒâ€šÃ‚Â¨ ÃƒÆ’Ã‚Â¢ÃƒÂ¢Ã¢â‚¬Å¡Ã‚Â¬Ãƒâ€šÃ‚Â giving preventive antibiotics may make no difference to the percentage of deaths or people with serious complications; however, potentially important differences cannot be ruled out;ÃƒÆ’Ã‚Â¢ÃƒÂ¢Ã¢â‚¬Å¡Ã‚Â¬Ãƒâ€šÃ‚Â¨ ÃƒÆ’Ã‚Â¢ÃƒÂ¢Ã¢â‚¬Å¡Ã‚Â¬Ãƒâ€šÃ‚Â none of the trials reported quality of life or symptomatic development of spontaneous bacterial peritonitis;ÃƒÆ’Ã‚Â¢ÃƒÂ¢Ã¢â‚¬Å¡Ã‚Â¬Ãƒâ€šÃ‚Â¨ ÃƒÆ’Ã‚Â¢ÃƒÂ¢Ã¢â‚¬Å¡Ã‚Â¬Ãƒâ€šÃ‚Â there was evidence showing that the percentage of people who developed spontaneous bacterial peritonitis as per laboratory criteria may be reduced with sulfonamides compared with no use of antibiotics (difficult to estimate how much reduction);ÃƒÆ’Ã‚Â¢ÃƒÂ¢Ã¢â‚¬Å¡Ã‚Â¬Ãƒâ€šÃ‚Â¨ ÃƒÆ’Ã‚Â¢ÃƒÂ¢Ã¢â‚¬Å¡Ã‚Â¬Ãƒâ€šÃ‚Â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are;ÃƒÆ’Ã‚Â¢ÃƒÂ¢Ã¢â‚¬Å¡Ã‚Â¬Ãƒâ€šÃ‚Â¨ ÃƒÆ’Ã‚Â¢ÃƒÂ¢Ã¢â‚¬Å¡Ã‚Â¬Ãƒâ€šÃ‚Â future wellÃƒÆ’Ã‚Â¢ÃƒÂ¢Ã¢â‚¬Å¡Ã‚Â¬Ãƒâ€šÃ‚Âdesigned trials are needed. Quality of the evidence We cannot draw any conclusions from these trials due to the sparse data.</t>
  </si>
  <si>
    <t>J1800</t>
  </si>
  <si>
    <t>Interventions to reduce contaminated aerosols produced during dental procedures for preventing infectious diseases</t>
  </si>
  <si>
    <t>- Background Many dental procedures produce aerosols (droplets, droplet nuclei and splatter) that harbour various pathogenic microÃƒÆ’Ã†â€™Ãƒâ€šÃ‚Â¢ÃƒÆ’Ã‚Â¢ÃƒÂ¢Ã¢â€šÂ¬Ã…Â¡Ãƒâ€šÃ‚Â¬ÃƒÆ’Ã¢â‚¬Å¡Ãƒâ€šÃ‚Âorganisms and may pose a risk for the spread of infections between dentist and patient. The COVIDÃƒÆ’Ã†â€™Ãƒâ€šÃ‚Â¢ÃƒÆ’Ã‚Â¢ÃƒÂ¢Ã¢â€šÂ¬Ã…Â¡Ãƒâ€šÃ‚Â¬ÃƒÆ’Ã¢â‚¬Å¡Ãƒâ€šÃ‚Â19 pandemic has led to greater concern about this risk. Objectives To assess the effectiveness of methods used during dental treatment procedures to minimize aerosol production and reduce or neutralize contamination in aerosols. Search methods Cochrane Oral HealthÃƒÆ’Ã†â€™Ãƒâ€šÃ‚Â¢ÃƒÆ’Ã‚Â¢ÃƒÂ¢Ã¢â€šÂ¬Ã…Â¡Ãƒâ€šÃ‚Â¬ÃƒÆ’Ã‚Â¢ÃƒÂ¢Ã¢â€šÂ¬Ã…Â¾Ãƒâ€šÃ‚Â¢s Information Specialist searched the following databases on 17 September 2020: Cochrane Oral HealthÃƒÆ’Ã†â€™Ãƒâ€šÃ‚Â¢ÃƒÆ’Ã‚Â¢ÃƒÂ¢Ã¢â€šÂ¬Ã…Â¡Ãƒâ€šÃ‚Â¬ÃƒÆ’Ã‚Â¢ÃƒÂ¢Ã¢â€šÂ¬Ã…Â¾Ãƒâ€šÃ‚Â¢s Trials Register, the Cochrane Central Register of Controlled Trials (CENTRAL) (in the Cochrane Library, 2020, Issue 8), MEDLINE Ovid (from 1946); Embase Ovid (from 1980); the WHO COVIDÃƒÆ’Ã†â€™Ãƒâ€šÃ‚Â¢ÃƒÆ’Ã‚Â¢ÃƒÂ¢Ã¢â€šÂ¬Ã…Â¡Ãƒâ€šÃ‚Â¬ÃƒÆ’Ã¢â‚¬Å¡Ãƒâ€šÃ‚Â19 Global literature on coronavirus disease; the US National Institutes of Health Trials Registry (ClinicalTrials.gov); and the Cochrane COVIDÃƒÆ’Ã†â€™Ãƒâ€šÃ‚Â¢ÃƒÆ’Ã‚Â¢ÃƒÂ¢Ã¢â€šÂ¬Ã…Â¡Ãƒâ€šÃ‚Â¬ÃƒÆ’Ã¢â‚¬Å¡Ãƒâ€šÃ‚Â19 Study Register. We placed no restrictions on the language or date of publication. Selection criteria We included randomized controlled trials (RCTs) and controlled clinical trials (CCTs) on aerosolÃƒÆ’Ã†â€™Ãƒâ€šÃ‚Â¢ÃƒÆ’Ã‚Â¢ÃƒÂ¢Ã¢â€šÂ¬Ã…Â¡Ãƒâ€šÃ‚Â¬ÃƒÆ’Ã¢â‚¬Å¡Ãƒâ€šÃ‚Âgenerating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randomÃƒÆ’Ã†â€™Ãƒâ€šÃ‚Â¢ÃƒÆ’Ã‚Â¢ÃƒÂ¢Ã¢â€šÂ¬Ã…Â¡Ãƒâ€šÃ‚Â¬ÃƒÆ’Ã¢â‚¬Å¡Ãƒâ€šÃ‚Âeffects metaÃƒÆ’Ã†â€™Ãƒâ€šÃ‚Â¢ÃƒÆ’Ã‚Â¢ÃƒÂ¢Ã¢â€šÂ¬Ã…Â¡Ãƒâ€šÃ‚Â¬ÃƒÆ’Ã¢â‚¬Å¡Ãƒâ€šÃ‚Âanalysis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colonyÃƒÆ’Ã†â€™Ãƒâ€šÃ‚Â¢ÃƒÆ’Ã‚Â¢ÃƒÂ¢Ã¢â€šÂ¬Ã…Â¡Ãƒâ€šÃ‚Â¬ÃƒÆ’Ã¢â‚¬Å¡Ãƒâ€šÃ‚Âforming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HighÃƒÆ’Ã†â€™Ãƒâ€šÃ‚Â¢ÃƒÆ’Ã‚Â¢ÃƒÂ¢Ã¢â€šÂ¬Ã…Â¡Ãƒâ€šÃ‚Â¬ÃƒÆ’Ã¢â‚¬Å¡Ãƒâ€šÃ‚Âvolume evacuator Use of a highÃƒÆ’Ã†â€™Ãƒâ€šÃ‚Â¢ÃƒÆ’Ã‚Â¢ÃƒÂ¢Ã¢â€šÂ¬Ã…Â¡Ãƒâ€šÃ‚Â¬ÃƒÆ’Ã¢â‚¬Å¡Ãƒâ€šÃ‚Âvolume evacuator (HVE) may reduce bacterial contamination in aerosols less than one foot (~ 30 cm) from a patient's mouth (MD ÃƒÆ’Ã†â€™Ãƒâ€šÃ‚Â¢ÃƒÆ’Ã¢â‚¬Â¹ÃƒÂ¢Ã¢â€šÂ¬Ã‚Â ÃƒÆ’Ã‚Â¢ÃƒÂ¢Ã¢â‚¬Å¡Ã‚Â¬ÃƒÂ¢Ã¢â‚¬Å¾Ã‚Â¢47.41, 95% CI ÃƒÆ’Ã†â€™Ãƒâ€šÃ‚Â¢ÃƒÆ’Ã¢â‚¬Â¹ÃƒÂ¢Ã¢â€šÂ¬Ã‚Â ÃƒÆ’Ã‚Â¢ÃƒÂ¢Ã¢â‚¬Å¡Ã‚Â¬ÃƒÂ¢Ã¢â‚¬Å¾Ã‚Â¢92.76 to ÃƒÆ’Ã†â€™Ãƒâ€šÃ‚Â¢ÃƒÆ’Ã¢â‚¬Â¹ÃƒÂ¢Ã¢â€šÂ¬Ã‚Â ÃƒÆ’Ã‚Â¢ÃƒÂ¢Ã¢â‚¬Å¡Ã‚Â¬ÃƒÂ¢Ã¢â‚¬Å¾Ã‚Â¢2.06; 3 splitÃƒÆ’Ã†â€™Ãƒâ€šÃ‚Â¢ÃƒÆ’Ã‚Â¢ÃƒÂ¢Ã¢â€šÂ¬Ã…Â¡Ãƒâ€šÃ‚Â¬ÃƒÆ’Ã¢â‚¬Å¡Ãƒâ€šÃ‚Âmouth RCTs, 122 participants; very high heterogeneity IÃƒÆ’Ã†â€™ÃƒÂ¢Ã¢â€šÂ¬Ã…Â¡ÃƒÆ’Ã¢â‚¬Å¡Ãƒâ€šÃ‚Â² = 95%), but not at longer distances (MD ÃƒÆ’Ã†â€™Ãƒâ€šÃ‚Â¢ÃƒÆ’Ã¢â‚¬Â¹ÃƒÂ¢Ã¢â€šÂ¬Ã‚Â ÃƒÆ’Ã‚Â¢ÃƒÂ¢Ã¢â‚¬Å¡Ã‚Â¬ÃƒÂ¢Ã¢â‚¬Å¾Ã‚Â¢1.00, ÃƒÆ’Ã†â€™Ãƒâ€šÃ‚Â¢ÃƒÆ’Ã¢â‚¬Â¹ÃƒÂ¢Ã¢â€šÂ¬Ã‚Â ÃƒÆ’Ã‚Â¢ÃƒÂ¢Ã¢â‚¬Å¡Ã‚Â¬ÃƒÂ¢Ã¢â‚¬Å¾Ã‚Â¢2.56 to 0.56; 1 RCT, 80 participants). One splitÃƒÆ’Ã†â€™Ãƒâ€šÃ‚Â¢ÃƒÆ’Ã‚Â¢ÃƒÂ¢Ã¢â€šÂ¬Ã…Â¡Ãƒâ€šÃ‚Â¬ÃƒÆ’Ã¢â‚¬Å¡Ãƒâ€šÃ‚Âmouth RCT (six participants) found that HVE may not be more effective than conventional dental suction (saliva ejector or lowÃƒÆ’Ã†â€™Ãƒâ€šÃ‚Â¢ÃƒÆ’Ã‚Â¢ÃƒÂ¢Ã¢â€šÂ¬Ã…Â¡Ãƒâ€šÃ‚Â¬ÃƒÆ’Ã¢â‚¬Å¡Ãƒâ€šÃ‚Âvolume evacuator) at 40 cm (MD CFU ÃƒÆ’Ã†â€™Ãƒâ€šÃ‚Â¢ÃƒÆ’Ã¢â‚¬Â¹ÃƒÂ¢Ã¢â€šÂ¬Ã‚Â ÃƒÆ’Ã‚Â¢ÃƒÂ¢Ã¢â‚¬Å¡Ã‚Â¬ÃƒÂ¢Ã¢â‚¬Å¾Ã‚Â¢2.30, 95% CI ÃƒÆ’Ã†â€™Ãƒâ€šÃ‚Â¢ÃƒÆ’Ã¢â‚¬Â¹ÃƒÂ¢Ã¢â€šÂ¬Ã‚Â ÃƒÆ’Ã‚Â¢ÃƒÂ¢Ã¢â‚¬Å¡Ã‚Â¬ÃƒÂ¢Ã¢â‚¬Å¾Ã‚Â¢5.32 to 0.72) or 150 cm (MD ÃƒÆ’Ã†â€™Ãƒâ€šÃ‚Â¢ÃƒÆ’Ã¢â‚¬Â¹ÃƒÂ¢Ã¢â€šÂ¬Ã‚Â ÃƒÆ’Ã‚Â¢ÃƒÂ¢Ã¢â‚¬Å¡Ã‚Â¬ÃƒÂ¢Ã¢â‚¬Å¾Ã‚Â¢2.20, 95% CI ÃƒÆ’Ã†â€™Ãƒâ€šÃ‚Â¢ÃƒÆ’Ã¢â‚¬Â¹ÃƒÂ¢Ã¢â€šÂ¬Ã‚Â ÃƒÆ’Ã‚Â¢ÃƒÂ¢Ã¢â‚¬Å¡Ã‚Â¬ÃƒÂ¢Ã¢â‚¬Å¾Ã‚Â¢14.01 to 9.61). Dental isolation combination system One RCT (50 participants) found that there may be no difference in CFU between a combination system (Isolite) and a saliva ejector (lowÃƒÆ’Ã†â€™Ãƒâ€šÃ‚Â¢ÃƒÆ’Ã‚Â¢ÃƒÂ¢Ã¢â€šÂ¬Ã…Â¡Ãƒâ€šÃ‚Â¬ÃƒÆ’Ã¢â‚¬Å¡Ãƒâ€šÃ‚Âvolume evacuator) during AGPs (MD ÃƒÆ’Ã†â€™Ãƒâ€šÃ‚Â¢ÃƒÆ’Ã¢â‚¬Â¹ÃƒÂ¢Ã¢â€šÂ¬Ã‚Â ÃƒÆ’Ã‚Â¢ÃƒÂ¢Ã¢â‚¬Å¡Ã‚Â¬ÃƒÂ¢Ã¢â‚¬Å¾Ã‚Â¢0.31, 95% CI ÃƒÆ’Ã†â€™Ãƒâ€šÃ‚Â¢ÃƒÆ’Ã¢â‚¬Â¹ÃƒÂ¢Ã¢â€šÂ¬Ã‚Â ÃƒÆ’Ã‚Â¢ÃƒÂ¢Ã¢â‚¬Å¡Ã‚Â¬ÃƒÂ¢Ã¢â‚¬Å¾Ã‚Â¢0.82 to 0.20) or after AGPs (MD ÃƒÆ’Ã†â€™Ãƒâ€šÃ‚Â¢ÃƒÆ’Ã¢â‚¬Â¹ÃƒÂ¢Ã¢â€šÂ¬Ã‚Â ÃƒÆ’Ã‚Â¢ÃƒÂ¢Ã¢â‚¬Å¡Ã‚Â¬ÃƒÂ¢Ã¢â‚¬Å¾Ã‚Â¢0.35, ÃƒÆ’Ã†â€™Ãƒâ€šÃ‚Â¢ÃƒÆ’Ã¢â‚¬Â¹ÃƒÂ¢Ã¢â€šÂ¬Ã‚Â ÃƒÆ’Ã‚Â¢ÃƒÂ¢Ã¢â‚¬Å¡Ã‚Â¬ÃƒÂ¢Ã¢â‚¬Å¾Ã‚Â¢0.99 to 0.29). However, an 'n of 1' design study showed that the combination system may reduce CFU compared with rubber dam plus HVE (MD ÃƒÆ’Ã†â€™Ãƒâ€šÃ‚Â¢ÃƒÆ’Ã¢â‚¬Â¹ÃƒÂ¢Ã¢â€šÂ¬Ã‚Â ÃƒÆ’Ã‚Â¢ÃƒÂ¢Ã¢â‚¬Å¡Ã‚Â¬ÃƒÂ¢Ã¢â‚¬Å¾Ã‚Â¢125.20, 95% CI ÃƒÆ’Ã†â€™Ãƒâ€šÃ‚Â¢ÃƒÆ’Ã¢â‚¬Â¹ÃƒÂ¢Ã¢â€šÂ¬Ã‚Â ÃƒÆ’Ã‚Â¢ÃƒÂ¢Ã¢â‚¬Å¡Ã‚Â¬ÃƒÂ¢Ã¢â‚¬Å¾Ã‚Â¢174.02 to ÃƒÆ’Ã†â€™Ãƒâ€šÃ‚Â¢ÃƒÆ’Ã¢â‚¬Â¹ÃƒÂ¢Ã¢â€šÂ¬Ã‚Â ÃƒÆ’Ã‚Â¢ÃƒÂ¢Ã¢â‚¬Å¡Ã‚Â¬ÃƒÂ¢Ã¢â‚¬Å¾Ã‚Â¢76.38) or HVE (MD ÃƒÆ’Ã†â€™Ãƒâ€šÃ‚Â¢ÃƒÆ’Ã¢â‚¬Â¹ÃƒÂ¢Ã¢â€šÂ¬Ã‚Â ÃƒÆ’Ã‚Â¢ÃƒÂ¢Ã¢â‚¬Å¡Ã‚Â¬ÃƒÂ¢Ã¢â‚¬Å¾Ã‚Â¢109.30, 95% CI ÃƒÆ’Ã†â€™Ãƒâ€šÃ‚Â¢ÃƒÆ’Ã¢â‚¬Â¹ÃƒÂ¢Ã¢â€šÂ¬Ã‚Â ÃƒÆ’Ã‚Â¢ÃƒÂ¢Ã¢â‚¬Å¡Ã‚Â¬ÃƒÂ¢Ã¢â‚¬Å¾Ã‚Â¢153.01 to ÃƒÆ’Ã†â€™Ãƒâ€šÃ‚Â¢ÃƒÆ’Ã¢â‚¬Â¹ÃƒÂ¢Ã¢â€šÂ¬Ã‚Â ÃƒÆ’Ã‚Â¢ÃƒÂ¢Ã¢â‚¬Å¡Ã‚Â¬ÃƒÂ¢Ã¢â‚¬Å¾Ã‚Â¢65.59). Rubber dam One splitÃƒÆ’Ã†â€™Ãƒâ€šÃ‚Â¢ÃƒÆ’Ã‚Â¢ÃƒÂ¢Ã¢â€šÂ¬Ã…Â¡Ãƒâ€šÃ‚Â¬ÃƒÆ’Ã¢â‚¬Å¡Ãƒâ€šÃ‚Âmouth RCT (10 participants) receiving dental treatment, found that there may be a reduction in CFU with rubber dam at oneÃƒÆ’Ã†â€™Ãƒâ€šÃ‚Â¢ÃƒÆ’Ã‚Â¢ÃƒÂ¢Ã¢â€šÂ¬Ã…Â¡Ãƒâ€šÃ‚Â¬ÃƒÆ’Ã¢â‚¬Å¡Ãƒâ€šÃ‚Âmetre (MD ÃƒÆ’Ã†â€™Ãƒâ€šÃ‚Â¢ÃƒÆ’Ã¢â‚¬Â¹ÃƒÂ¢Ã¢â€šÂ¬Ã‚Â ÃƒÆ’Ã‚Â¢ÃƒÂ¢Ã¢â‚¬Å¡Ã‚Â¬ÃƒÂ¢Ã¢â‚¬Å¾Ã‚Â¢16.20, 95% CI ÃƒÆ’Ã†â€™Ãƒâ€šÃ‚Â¢ÃƒÆ’Ã¢â‚¬Â¹ÃƒÂ¢Ã¢â€šÂ¬Ã‚Â ÃƒÆ’Ã‚Â¢ÃƒÂ¢Ã¢â‚¬Å¡Ã‚Â¬ÃƒÂ¢Ã¢â‚¬Å¾Ã‚Â¢19.36 to ÃƒÆ’Ã†â€™Ãƒâ€šÃ‚Â¢ÃƒÆ’Ã¢â‚¬Â¹ÃƒÂ¢Ã¢â€šÂ¬Ã‚Â ÃƒÆ’Ã‚Â¢ÃƒÂ¢Ã¢â‚¬Å¡Ã‚Â¬ÃƒÂ¢Ã¢â‚¬Å¾Ã‚Â¢13.04) and twoÃƒÆ’Ã†â€™Ãƒâ€šÃ‚Â¢ÃƒÆ’Ã‚Â¢ÃƒÂ¢Ã¢â€šÂ¬Ã…Â¡Ãƒâ€šÃ‚Â¬ÃƒÆ’Ã¢â‚¬Å¡Ãƒâ€šÃ‚Âmetre distance (MD ÃƒÆ’Ã†â€™Ãƒâ€šÃ‚Â¢ÃƒÆ’Ã¢â‚¬Â¹ÃƒÂ¢Ã¢â€šÂ¬Ã‚Â ÃƒÆ’Ã‚Â¢ÃƒÂ¢Ã¢â‚¬Å¡Ã‚Â¬ÃƒÂ¢Ã¢â‚¬Å¾Ã‚Â¢11.70, 95% CI ÃƒÆ’Ã†â€™Ãƒâ€šÃ‚Â¢ÃƒÆ’Ã¢â‚¬Â¹ÃƒÂ¢Ã¢â€šÂ¬Ã‚Â  15.82 to ÃƒÆ’Ã†â€™Ãƒâ€šÃ‚Â¢ÃƒÆ’Ã¢â‚¬Â¹ÃƒÂ¢Ã¢â€šÂ¬Ã‚Â ÃƒÆ’Ã‚Â¢ÃƒÂ¢Ã¢â‚¬Å¡Ã‚Â¬ÃƒÂ¢Ã¢â‚¬Å¾Ã‚Â¢7.58). One RCT of 47 dental students found use of rubber dam may make no difference in CFU at the forehead (MD 0.98, 95% CI ÃƒÆ’Ã†â€™Ãƒâ€šÃ‚Â¢ÃƒÆ’Ã¢â‚¬Â¹ÃƒÂ¢Ã¢â€šÂ¬Ã‚Â ÃƒÆ’Ã‚Â¢ÃƒÂ¢Ã¢â‚¬Å¡Ã‚Â¬ÃƒÂ¢Ã¢â‚¬Å¾Ã‚Â¢0.73 to 2.70) and occipital region of the operator (MD 0.77, 95% CI ÃƒÆ’Ã†â€™Ãƒâ€šÃ‚Â¢ÃƒÆ’Ã¢â‚¬Â¹ÃƒÂ¢Ã¢â€šÂ¬Ã‚Â ÃƒÆ’Ã‚Â¢ÃƒÂ¢Ã¢â‚¬Å¡Ã‚Â¬ÃƒÂ¢Ã¢â‚¬Å¾Ã‚Â¢0.46 to 2.00). One splitÃƒÆ’Ã†â€™Ãƒâ€šÃ‚Â¢ÃƒÆ’Ã‚Â¢ÃƒÂ¢Ã¢â€šÂ¬Ã…Â¡Ãƒâ€šÃ‚Â¬ÃƒÆ’Ã¢â‚¬Å¡Ãƒâ€šÃ‚Âmouth RCT (21 participants) found that rubber dam plus HVE may reduce CFU more than cotton roll plus HVE on the patient's chest (MD ÃƒÆ’Ã†â€™Ãƒâ€šÃ‚Â¢ÃƒÆ’Ã¢â‚¬Â¹ÃƒÂ¢Ã¢â€šÂ¬Ã‚Â ÃƒÆ’Ã‚Â¢ÃƒÂ¢Ã¢â‚¬Å¡Ã‚Â¬ÃƒÂ¢Ã¢â‚¬Å¾Ã‚Â¢251.00, 95% CI ÃƒÆ’Ã†â€™Ãƒâ€šÃ‚Â¢ÃƒÆ’Ã¢â‚¬Â¹ÃƒÂ¢Ã¢â€šÂ¬Ã‚Â ÃƒÆ’Ã‚Â¢ÃƒÂ¢Ã¢â‚¬Å¡Ã‚Â¬ÃƒÂ¢Ã¢â‚¬Å¾Ã‚Â¢267.95 to ÃƒÆ’Ã†â€™Ãƒâ€šÃ‚Â¢ÃƒÆ’Ã¢â‚¬Â¹ÃƒÂ¢Ã¢â€šÂ¬Ã‚Â ÃƒÆ’Ã‚Â¢ÃƒÂ¢Ã¢â‚¬Å¡Ã‚Â¬ÃƒÂ¢Ã¢â‚¬Å¾Ã‚Â¢234.05) and dental unit light (MD ÃƒÆ’Ã†â€™Ãƒâ€šÃ‚Â¢ÃƒÆ’Ã¢â‚¬Â¹ÃƒÂ¢Ã¢â€šÂ¬Ã‚Â ÃƒÆ’Ã‚Â¢ÃƒÂ¢Ã¢â‚¬Å¡Ã‚Â¬ÃƒÂ¢Ã¢â‚¬Å¾Ã‚Â¢12.70, 95% CI ÃƒÆ’Ã†â€™Ãƒâ€šÃ‚Â¢ÃƒÆ’Ã¢â‚¬Â¹ÃƒÂ¢Ã¢â€šÂ¬Ã‚Â ÃƒÆ’Ã‚Â¢ÃƒÂ¢Ã¢â‚¬Å¡Ã‚Â¬ÃƒÂ¢Ã¢â‚¬Å¾Ã‚Â¢12.85 to ÃƒÆ’Ã†â€™Ãƒâ€šÃ‚Â¢ÃƒÆ’Ã¢â‚¬Â¹ÃƒÂ¢Ã¢â€šÂ¬Ã‚Â ÃƒÆ’Ã‚Â¢ÃƒÂ¢Ã¢â‚¬Å¡Ã‚Â¬ÃƒÂ¢Ã¢â‚¬Å¾Ã‚Â¢12.55). Air cleaning systems One splitÃƒÆ’Ã†â€™Ãƒâ€šÃ‚Â¢ÃƒÆ’Ã‚Â¢ÃƒÂ¢Ã¢â€šÂ¬Ã…Â¡Ãƒâ€šÃ‚Â¬ÃƒÆ’Ã¢â‚¬Å¡Ãƒâ€šÃ‚Âmouth CCT (two participants) used a local standÃƒÆ’Ã†â€™Ãƒâ€šÃ‚Â¢ÃƒÆ’Ã‚Â¢ÃƒÂ¢Ã¢â€šÂ¬Ã…Â¡Ãƒâ€šÃ‚Â¬ÃƒÆ’Ã¢â‚¬Å¡Ãƒâ€šÃ‚Âalone air cleaning system (ACS), which may reduce aerosol contamination during cavity preparation (MD ÃƒÆ’Ã†â€™Ãƒâ€šÃ‚Â¢ÃƒÆ’Ã¢â‚¬Â¹ÃƒÂ¢Ã¢â€šÂ¬Ã‚Â ÃƒÆ’Ã‚Â¢ÃƒÂ¢Ã¢â‚¬Å¡Ã‚Â¬ÃƒÂ¢Ã¢â‚¬Å¾Ã‚Â¢66.70 CFU, 95% CI ÃƒÆ’Ã†â€™Ãƒâ€šÃ‚Â¢ÃƒÆ’Ã¢â‚¬Â¹ÃƒÂ¢Ã¢â€šÂ¬Ã‚Â ÃƒÆ’Ã‚Â¢ÃƒÂ¢Ã¢â‚¬Å¡Ã‚Â¬ÃƒÂ¢Ã¢â‚¬Å¾Ã‚Â¢120.15 to ÃƒÆ’Ã†â€™Ãƒâ€šÃ‚Â¢ÃƒÆ’Ã¢â‚¬Â¹ÃƒÂ¢Ã¢â€šÂ¬Ã‚Â ÃƒÆ’Ã‚Â¢ÃƒÂ¢Ã¢â‚¬Å¡Ã‚Â¬ÃƒÂ¢Ã¢â‚¬Å¾Ã‚Â¢13.25 per cubic metre) or ultrasonic scaling (MD ÃƒÆ’Ã†â€™Ãƒâ€šÃ‚Â¢ÃƒÆ’Ã¢â‚¬Â¹ÃƒÂ¢Ã¢â€šÂ¬Ã‚Â ÃƒÆ’Ã‚Â¢ÃƒÂ¢Ã¢â‚¬Å¡Ã‚Â¬ÃƒÂ¢Ã¢â‚¬Å¾Ã‚Â¢32.40, 95% CI ÃƒÆ’Ã†â€™Ãƒâ€šÃ‚Â¢ÃƒÆ’Ã‚Â¢ÃƒÂ¢Ã¢â€šÂ¬Ã…Â¡Ãƒâ€šÃ‚Â¬ÃƒÆ’Ã¢â‚¬Å¡Ãƒâ€šÃ‚Â 51.55 to ÃƒÆ’Ã†â€™Ãƒâ€šÃ‚Â¢ÃƒÆ’Ã¢â‚¬Â¹ÃƒÂ¢Ã¢â€šÂ¬Ã‚Â ÃƒÆ’Ã‚Â¢ÃƒÂ¢Ã¢â‚¬Å¡Ã‚Â¬ÃƒÂ¢Ã¢â‚¬Å¾Ã‚Â¢13.25). Another CCT (50 participants) found that laminar flow in the dental clinic combined with a HEPA filter may reduce contamination approximately 76 cm from the floor (MD ÃƒÆ’Ã†â€™Ãƒâ€šÃ‚Â¢ÃƒÆ’Ã¢â‚¬Â¹ÃƒÂ¢Ã¢â€šÂ¬Ã‚Â ÃƒÆ’Ã‚Â¢ÃƒÂ¢Ã¢â‚¬Å¡Ã‚Â¬ÃƒÂ¢Ã¢â‚¬Å¾Ã‚Â¢483.56 CFU, 95% CI ÃƒÆ’Ã†â€™Ãƒâ€šÃ‚Â¢ÃƒÆ’Ã¢â‚¬Â¹ÃƒÂ¢Ã¢â€šÂ¬Ã‚Â ÃƒÆ’Ã‚Â¢ÃƒÂ¢Ã¢â‚¬Å¡Ã‚Â¬ÃƒÂ¢Ã¢â‚¬Å¾Ã‚Â¢550.02 to ÃƒÆ’Ã†â€™Ãƒâ€šÃ‚Â¢ÃƒÆ’Ã¢â‚¬Â¹ÃƒÂ¢Ã¢â€šÂ¬Ã‚Â ÃƒÆ’Ã‚Â¢ÃƒÂ¢Ã¢â‚¬Å¡Ã‚Â¬ÃƒÂ¢Ã¢â‚¬Å¾Ã‚Â¢417.10 per cubic feet per minute per patient) and 20 cm to 30 cm from the patient's mouth (MD ÃƒÆ’Ã†â€™Ãƒâ€šÃ‚Â¢ÃƒÆ’Ã¢â‚¬Â¹ÃƒÂ¢Ã¢â€šÂ¬Ã‚Â ÃƒÆ’Ã‚Â¢ÃƒÂ¢Ã¢â‚¬Å¡Ã‚Â¬ÃƒÂ¢Ã¢â‚¬Å¾Ã‚Â¢319.14 CFU, 95% CI ÃƒÆ’Ã†â€™Ãƒâ€šÃ‚Â¢ÃƒÆ’Ã‚Â¢ÃƒÂ¢Ã¢â€šÂ¬Ã…Â¡Ãƒâ€šÃ‚Â¬ÃƒÆ’Ã¢â‚¬Å¡Ãƒâ€šÃ‚Â 385.60 to ÃƒÆ’Ã†â€™Ãƒâ€šÃ‚Â¢ÃƒÆ’Ã¢â‚¬Â¹ÃƒÂ¢Ã¢â€šÂ¬Ã‚Â ÃƒÆ’Ã‚Â¢ÃƒÂ¢Ã¢â‚¬Å¡Ã‚Â¬ÃƒÂ¢Ã¢â‚¬Å¾Ã‚Â¢252.68). Disinfectants ÃƒÆ’Ã†â€™Ãƒâ€šÃ‚Â¢ÃƒÆ’Ã‚Â¢ÃƒÂ¢Ã¢â€šÂ¬Ã…Â¡Ãƒâ€šÃ‚Â¬ÃƒÆ’Ã‚Â¢ÃƒÂ¢Ã¢â‚¬Å¡Ã‚Â¬ÃƒÂ¢Ã¢â‚¬Å¾Ã‚Â¢ antimicrobial coolants Two RCTs evaluated use of antimicrobial coolants during ultrasonic scaling. Compared with distilled water, coolant containing chlorhexidine (CHX), cinnamon extract coolant or povidone iodine may reduce CFU: CHX (MD ÃƒÆ’Ã†â€™Ãƒâ€šÃ‚Â¢ÃƒÆ’Ã¢â‚¬Â¹ÃƒÂ¢Ã¢â€šÂ¬Ã‚Â ÃƒÆ’Ã‚Â¢ÃƒÂ¢Ã¢â‚¬Å¡Ã‚Â¬ÃƒÂ¢Ã¢â‚¬Å¾Ã‚Â¢124.00, 95% CI ÃƒÆ’Ã†â€™Ãƒâ€šÃ‚Â¢ÃƒÆ’Ã¢â‚¬Â¹ÃƒÂ¢Ã¢â€šÂ¬Ã‚Â ÃƒÆ’Ã‚Â¢ÃƒÂ¢Ã¢â‚¬Å¡Ã‚Â¬ÃƒÂ¢Ã¢â‚¬Å¾Ã‚Â¢135.78 to ÃƒÆ’Ã†â€™Ãƒâ€šÃ‚Â¢ÃƒÆ’Ã¢â‚¬Â¹ÃƒÂ¢Ã¢â€šÂ¬Ã‚Â ÃƒÆ’Ã‚Â¢ÃƒÂ¢Ã¢â‚¬Å¡Ã‚Â¬ÃƒÂ¢Ã¢â‚¬Å¾Ã‚Â¢112.22; 20 participants), povidone iodine (MD ÃƒÆ’Ã†â€™Ãƒâ€šÃ‚Â¢ÃƒÆ’Ã¢â‚¬Â¹ÃƒÂ¢Ã¢â€šÂ¬Ã‚Â ÃƒÆ’Ã‚Â¢ÃƒÂ¢Ã¢â‚¬Å¡Ã‚Â¬ÃƒÂ¢Ã¢â‚¬Å¾Ã‚Â¢656.45, 95% CI ÃƒÆ’Ã†â€™Ãƒâ€šÃ‚Â¢ÃƒÆ’Ã¢â‚¬Â¹ÃƒÂ¢Ã¢â€šÂ¬Ã‚Â ÃƒÆ’Ã‚Â¢ÃƒÂ¢Ã¢â‚¬Å¡Ã‚Â¬ÃƒÂ¢Ã¢â‚¬Å¾Ã‚Â¢672.74 to ÃƒÆ’Ã†â€™Ãƒâ€šÃ‚Â¢ÃƒÆ’Ã¢â‚¬Â¹ÃƒÂ¢Ã¢â€šÂ¬Ã‚Â ÃƒÆ’Ã‚Â¢ÃƒÂ¢Ã¢â‚¬Å¡Ã‚Â¬ÃƒÂ¢Ã¢â‚¬Å¾Ã‚Â¢640.16; 40 participants), cinnamon (MD ÃƒÆ’Ã†â€™Ãƒâ€šÃ‚Â¢ÃƒÆ’Ã¢â‚¬Â¹ÃƒÂ¢Ã¢â€šÂ¬Ã‚Â ÃƒÆ’Ã‚Â¢ÃƒÂ¢Ã¢â‚¬Å¡Ã‚Â¬ÃƒÂ¢Ã¢â‚¬Å¾Ã‚Â¢644.55, 95% CI ÃƒÆ’Ã†â€™Ãƒâ€šÃ‚Â¢ÃƒÆ’Ã¢â‚¬Â¹ÃƒÂ¢Ã¢â€šÂ¬Ã‚Â ÃƒÆ’Ã‚Â¢ÃƒÂ¢Ã¢â‚¬Å¡Ã‚Â¬ÃƒÂ¢Ã¢â‚¬Å¾Ã‚Â¢668.70 to ÃƒÆ’Ã†â€™Ãƒâ€šÃ‚Â¢ÃƒÆ’Ã¢â‚¬Â¹ÃƒÂ¢Ã¢â€šÂ¬Ã‚Â ÃƒÆ’Ã‚Â¢ÃƒÂ¢Ã¢â‚¬Å¡Ã‚Â¬ÃƒÂ¢Ã¢â‚¬Å¾Ã‚Â¢620.40; 40 participants). CHX coolant may reduce CFU more than povidone iodine (MD ÃƒÆ’Ã†â€™Ãƒâ€šÃ‚Â¢ÃƒÆ’Ã¢â‚¬Â¹ÃƒÂ¢Ã¢â€šÂ¬Ã‚Â ÃƒÆ’Ã‚Â¢ÃƒÂ¢Ã¢â‚¬Å¡Ã‚Â¬ÃƒÂ¢Ã¢â‚¬Å¾Ã‚Â¢59.30, 95% CI ÃƒÆ’Ã†â€™Ãƒâ€šÃ‚Â¢ÃƒÆ’Ã¢â‚¬Â¹ÃƒÂ¢Ã¢â€šÂ¬Ã‚Â ÃƒÆ’Ã‚Â¢ÃƒÂ¢Ã¢â‚¬Å¡Ã‚Â¬ÃƒÂ¢Ã¢â‚¬Å¾Ã‚Â¢64.16 to ÃƒÆ’Ã†â€™Ãƒâ€šÃ‚Â¢ÃƒÆ’Ã¢â‚¬Â¹ÃƒÂ¢Ã¢â€šÂ¬Ã‚Â ÃƒÆ’Ã‚Â¢ÃƒÂ¢Ã¢â‚¬Å¡Ã‚Â¬ÃƒÂ¢Ã¢â‚¬Å¾Ã‚Â¢54.44; 20 participants), but not more than cinnamon extract (MD ÃƒÆ’Ã†â€™Ãƒâ€šÃ‚Â¢ÃƒÆ’Ã¢â‚¬Â¹ÃƒÂ¢Ã¢â€šÂ¬Ã‚Â ÃƒÆ’Ã‚Â¢ÃƒÂ¢Ã¢â‚¬Å¡Ã‚Â¬ÃƒÂ¢Ã¢â‚¬Å¾Ã‚Â¢11.90, 95% CI ÃƒÆ’Ã†â€™Ãƒâ€šÃ‚Â¢ÃƒÆ’Ã¢â‚¬Â¹ÃƒÂ¢Ã¢â€šÂ¬Ã‚Â ÃƒÆ’Ã‚Â¢ÃƒÂ¢Ã¢â‚¬Å¡Ã‚Â¬ÃƒÂ¢Ã¢â‚¬Å¾Ã‚Â¢35.88 to 12.08; 40 participants). Authors' conclusions We found no studies that evaluated disease transmission via aerosols in a dental setting; and no evidence about viral contamination in aerosols. All of the included studies measured bacterial contamination using colonyÃƒÆ’Ã†â€™Ãƒâ€šÃ‚Â¢ÃƒÆ’Ã‚Â¢ÃƒÂ¢Ã¢â€šÂ¬Ã…Â¡Ãƒâ€šÃ‚Â¬ÃƒÆ’Ã¢â‚¬Å¡Ãƒâ€šÃ‚Âforming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COVIDÃƒÆ’Ã†â€™Ãƒâ€šÃ‚Â¢ÃƒÆ’Ã‚Â¢ÃƒÂ¢Ã¢â€šÂ¬Ã…Â¡Ãƒâ€šÃ‚Â¬ÃƒÆ’Ã¢â‚¬Å¡Ãƒâ€šÃ‚Â19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patientÃƒÆ’Ã†â€™Ãƒâ€šÃ‚Â¢ÃƒÆ’Ã‚Â¢ÃƒÂ¢Ã¢â€šÂ¬Ã…Â¡Ãƒâ€šÃ‚Â¬ÃƒÆ’Ã‚Â¢ÃƒÂ¢Ã¢â€šÂ¬Ã…Â¾Ãƒâ€šÃ‚Â¢s saliva, which may also contain microÃƒÆ’Ã†â€™Ãƒâ€šÃ‚Â¢ÃƒÆ’Ã‚Â¢ÃƒÂ¢Ã¢â€šÂ¬Ã…Â¡Ãƒâ€šÃ‚Â¬ÃƒÆ’Ã¢â‚¬Å¡Ãƒâ€šÃ‚Âorganisms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ÃƒÆ’Ã†â€™Ãƒâ€šÃ‚Â¢ÃƒÆ’Ã‚Â¢ÃƒÂ¢Ã¢â€šÂ¬Ã…Â¡Ãƒâ€šÃ‚Â¬ÃƒÆ’Ã¢â‚¬Å¡Ãƒâ€šÃ‚Â ways to decontaminate the mouth before aerosols are produced, for example by using antiÃƒÆ’Ã†â€™Ãƒâ€šÃ‚Â¢ÃƒÆ’Ã‚Â¢ÃƒÂ¢Ã¢â€šÂ¬Ã…Â¡Ãƒâ€šÃ‚Â¬ÃƒÆ’Ã¢â‚¬Å¡Ãƒâ€šÃ‚Âmicrobial mouthwash; ÃƒÆ’Ã†â€™Ãƒâ€šÃ‚Â¢ÃƒÆ’Ã‚Â¢ÃƒÂ¢Ã¢â€šÂ¬Ã…Â¡Ãƒâ€šÃ‚Â¬ÃƒÆ’Ã¢â‚¬Å¡Ãƒâ€šÃ‚Â ways to prevent aerosols from leaving the mouth (for example, placing a rubber sheet ÃƒÆ’Ã†â€™Ãƒâ€šÃ‚Â¢ÃƒÆ’Ã‚Â¢ÃƒÂ¢Ã¢â€šÂ¬Ã…Â¡Ãƒâ€šÃ‚Â¬ÃƒÆ’Ã‚Â¢ÃƒÂ¢Ã¢â‚¬Å¡Ã‚Â¬Ãƒâ€¦Ã¢â‚¬Å“ known as a ÃƒÆ’Ã†â€™Ãƒâ€šÃ‚Â¢ÃƒÆ’Ã‚Â¢ÃƒÂ¢Ã¢â€šÂ¬Ã…Â¡Ãƒâ€šÃ‚Â¬ÃƒÆ’Ã¢â‚¬Â¹Ãƒâ€¦Ã¢â‚¬Å“damÃƒÆ’Ã†â€™Ãƒâ€šÃ‚Â¢ÃƒÆ’Ã‚Â¢ÃƒÂ¢Ã¢â€šÂ¬Ã…Â¡Ãƒâ€šÃ‚Â¬ÃƒÆ’Ã‚Â¢ÃƒÂ¢Ã¢â€šÂ¬Ã…Â¾Ãƒâ€šÃ‚Â¢ ÃƒÆ’Ã†â€™Ãƒâ€šÃ‚Â¢ÃƒÆ’Ã‚Â¢ÃƒÂ¢Ã¢â€šÂ¬Ã…Â¡Ãƒâ€šÃ‚Â¬ÃƒÆ’Ã‚Â¢ÃƒÂ¢Ã¢â‚¬Å¡Ã‚Â¬Ãƒâ€¦Ã¢â‚¬Å“ around the tooth that is to be treated, to isolate the treatment zone from saliva; or using a strawÃƒÆ’Ã†â€™Ãƒâ€šÃ‚Â¢ÃƒÆ’Ã‚Â¢ÃƒÂ¢Ã¢â€šÂ¬Ã…Â¡Ãƒâ€šÃ‚Â¬ÃƒÆ’Ã¢â‚¬Å¡Ãƒâ€šÃ‚Âlike suction tube known as a saliva ejector); ÃƒÆ’Ã†â€™Ãƒâ€šÃ‚Â¢ÃƒÆ’Ã‚Â¢ÃƒÂ¢Ã¢â€šÂ¬Ã…Â¡Ãƒâ€šÃ‚Â¬ÃƒÆ’Ã¢â‚¬Å¡Ãƒâ€šÃ‚Â local ventilation using a suction device (known as a highÃƒÆ’Ã†â€™Ãƒâ€šÃ‚Â¢ÃƒÆ’Ã‚Â¢ÃƒÂ¢Ã¢â€šÂ¬Ã…Â¡Ãƒâ€šÃ‚Â¬ÃƒÆ’Ã¢â‚¬Å¡Ãƒâ€šÃ‚Âvolume evacuator) that draws up a large volume of air and evacuates aerosols from the treatment zone; ÃƒÆ’Ã†â€™Ãƒâ€šÃ‚Â¢ÃƒÆ’Ã‚Â¢ÃƒÂ¢Ã¢â€šÂ¬Ã…Â¡Ãƒâ€šÃ‚Â¬ÃƒÆ’Ã¢â‚¬Å¡Ãƒâ€šÃ‚Â general ventilation, to reduce the concentration of aerosols in t e air, for example by keeping windows open; ÃƒÆ’Ã†â€™Ãƒâ€šÃ‚Â¢ÃƒÆ’Ã‚Â¢ÃƒÂ¢Ã¢â€šÂ¬Ã…Â¡Ãƒâ€šÃ‚Â¬ÃƒÆ’Ã¢â‚¬Å¡Ãƒâ€šÃ‚Â decontamination of airÃƒÆ’Ã†â€™Ãƒâ€šÃ‚Â¢ÃƒÆ’Ã‚Â¢ÃƒÂ¢Ã¢â€šÂ¬Ã…Â¡Ãƒâ€šÃ‚Â¬ÃƒÆ’Ã¢â‚¬Å¡Ãƒâ€šÃ‚Âborne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ÃƒÆ’Ã†â€™Ãƒâ€šÃ‚Â¢ÃƒÆ’Ã‚Â¢ÃƒÂ¢Ã¢â€šÂ¬Ã…Â¡Ãƒâ€šÃ‚Â¬ÃƒÆ’Ã¢â‚¬Å¡Ãƒâ€šÃ‚Â highÃƒÆ’Ã†â€™Ãƒâ€šÃ‚Â¢ÃƒÆ’Ã‚Â¢ÃƒÂ¢Ã¢â€šÂ¬Ã…Â¡Ãƒâ€šÃ‚Â¬ÃƒÆ’Ã¢â‚¬Å¡Ãƒâ€šÃ‚Âvolume evacuator (7 studies); ÃƒÆ’Ã†â€™Ãƒâ€šÃ‚Â¢ÃƒÆ’Ã‚Â¢ÃƒÂ¢Ã¢â€šÂ¬Ã…Â¡Ãƒâ€šÃ‚Â¬ÃƒÆ’Ã¢â‚¬Å¡Ãƒâ€šÃ‚Â handsÃƒÆ’Ã†â€™Ãƒâ€šÃ‚Â¢ÃƒÆ’Ã‚Â¢ÃƒÂ¢Ã¢â€šÂ¬Ã…Â¡Ãƒâ€šÃ‚Â¬ÃƒÆ’Ã¢â‚¬Å¡Ãƒâ€šÃ‚Âfree suction device (2 studies); ÃƒÆ’Ã†â€™Ãƒâ€šÃ‚Â¢ÃƒÆ’Ã‚Â¢ÃƒÂ¢Ã¢â€šÂ¬Ã…Â¡Ãƒâ€šÃ‚Â¬ÃƒÆ’Ã¢â‚¬Å¡Ãƒâ€šÃ‚Â saliva ejector (1 study); ÃƒÆ’Ã†â€™Ãƒâ€šÃ‚Â¢ÃƒÆ’Ã‚Â¢ÃƒÂ¢Ã¢â€šÂ¬Ã…Â¡Ãƒâ€šÃ‚Â¬ÃƒÆ’Ã¢â‚¬Å¡Ãƒâ€šÃ‚Â rubber dam (3 studies); ÃƒÆ’Ã†â€™Ãƒâ€šÃ‚Â¢ÃƒÆ’Ã‚Â¢ÃƒÂ¢Ã¢â€šÂ¬Ã…Â¡Ãƒâ€šÃ‚Â¬ÃƒÆ’Ã¢â‚¬Å¡Ãƒâ€šÃ‚Â rubber dam with a highÃƒÆ’Ã†â€™Ãƒâ€šÃ‚Â¢ÃƒÆ’Ã‚Â¢ÃƒÂ¢Ã¢â€šÂ¬Ã…Â¡Ãƒâ€šÃ‚Â¬ÃƒÆ’Ã¢â‚¬Å¡Ãƒâ€šÃ‚Âvolume evacuator (1 study); or ÃƒÆ’Ã†â€™Ãƒâ€šÃ‚Â¢ÃƒÆ’Ã‚Â¢ÃƒÂ¢Ã¢â€šÂ¬Ã…Â¡Ãƒâ€šÃ‚Â¬ÃƒÆ’Ã¢â‚¬Å¡Ãƒâ€šÃ‚Â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betterÃƒÆ’Ã†â€™Ãƒâ€šÃ‚Â¢ÃƒÆ’Ã‚Â¢ÃƒÂ¢Ã¢â€šÂ¬Ã…Â¡Ãƒâ€šÃ‚Â¬ÃƒÆ’Ã¢â‚¬Å¡Ãƒâ€šÃ‚Âquality studies in this area. How up to date is this review? The evidence in this Cochrane Review is current to September 2020.</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</si>
  <si>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</si>
  <si>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</si>
  <si>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ÃƒÆ’Ã¢â‚¬Å¡Ãƒâ€šÃ‚Â© 2019 American College of Radiology</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</si>
  <si>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</si>
  <si>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</si>
  <si>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faceÃƒÆ’Ã‚Â¢ÃƒÂ¢Ã¢â‚¬Å¡Ã‚Â¬Ãƒâ€šÃ‚ÂtoÃƒÆ’Ã‚Â¢ÃƒÂ¢Ã¢â‚¬Å¡Ã‚Â¬Ãƒâ€šÃ‚Âface or when added to usual care. Objectives To determine whether the use of telerehabilitation leads to improved ability to perform activities of daily living amongst stroke survivors when compared with (1) inÃƒÆ’Ã‚Â¢ÃƒÂ¢Ã¢â‚¬Å¡Ã‚Â¬Ãƒâ€šÃ‚Âperson rehabilitation (when the clinician and the patient are at the same physical location and rehabilitation is provided faceÃƒÆ’Ã‚Â¢ÃƒÂ¢Ã¢â‚¬Å¡Ã‚Â¬Ãƒâ€šÃ‚ÂtoÃƒÆ’Ã‚Â¢ÃƒÂ¢Ã¢â‚¬Å¡Ã‚Â¬Ãƒâ€šÃ‚Âface); or (2) no rehabilitation or usual care. Secondary objectives were to determine whether use of telerehabilitation leads to greater independence in selfÃƒÆ’Ã‚Â¢ÃƒÂ¢Ã¢â‚¬Å¡Ã‚Â¬Ãƒâ€šÃ‚Âcare and domestic life and improved mobility, balance, healthÃƒÆ’Ã‚Â¢ÃƒÂ¢Ã¢â‚¬Å¡Ã‚Â¬Ãƒâ€šÃ‚Ârelated quality of life, depression, upper limb function, cognitive function or functional communication when compared with inÃƒÆ’Ã‚Â¢ÃƒÂ¢Ã¢â‚¬Å¡Ã‚Â¬Ãƒâ€šÃ‚Âperson rehabilitation and no rehabilitation. Additionally, we aimed to report on the presence of adverse events, costÃƒÆ’Ã‚Â¢ÃƒÂ¢Ã¢â‚¬Å¡Ã‚Â¬Ãƒâ€šÃ‚Âeffectiveness,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inÃƒÆ’Ã‚Â¢ÃƒÂ¢Ã¢â‚¬Å¡Ã‚Â¬Ãƒâ€šÃ‚Âperson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inÃƒÆ’Ã‚Â¢ÃƒÂ¢Ã¢â‚¬Å¡Ã‚Â¬Ãƒâ€šÃ‚Âperson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postÃƒÆ’Ã‚Â¢ÃƒÂ¢Ã¢â‚¬Å¡Ã‚Â¬Ãƒâ€šÃ‚Âhospital discharge support programs, upper limb training, lower limb and mobility retraining and communication therapy for people with postÃƒÆ’Ã‚Â¢ÃƒÂ¢Ã¢â‚¬Å¡Ã‚Â¬Ãƒâ€šÃ‚Âstroke language disorders. Studies were either conducted upon discharge from hospital or with people in the subacute or chronic phases following stroke. Primary outcome: we found moderateÃƒÆ’Ã‚Â¢ÃƒÂ¢Ã¢â‚¬Å¡Ã‚Â¬Ãƒâ€šÃ‚Âquality evidence that there was no difference in activities of daily living between people who received a postÃƒÆ’Ã‚Â¢ÃƒÂ¢Ã¢â‚¬Å¡Ã‚Â¬Ãƒâ€šÃ‚Âhospital discharge telerehabilitation intervention and those who received usual care (based on 2 studies with 661 participants (standardised mean difference (SMD) ÃƒÆ’Ã‚Â¢ÃƒÂ¢Ã¢â‚¬Å¡Ã‚Â¬Ãƒâ€šÃ‚Â0.00, 95% confidence interval (CI) ÃƒÆ’Ã‚Â¢ÃƒÂ¢Ã¢â‚¬Å¡Ã‚Â¬Ãƒâ€šÃ‚Â0.15 to 0.15)). We found lowÃƒÆ’Ã‚Â¢ÃƒÂ¢Ã¢â‚¬Å¡Ã‚Â¬Ãƒâ€šÃ‚Âquality evidence of no difference in effects on activities of daily living between telerehabilitation and inÃƒÆ’Ã‚Â¢ÃƒÂ¢Ã¢â‚¬Å¡Ã‚Â¬Ãƒâ€šÃ‚Âperson physical therapy programmes (based on 2 studies w th 75 participants: SMD 0.03, 95% CI ÃƒÆ’Ã‚Â¢ÃƒÂ¢Ã¢â‚¬Å¡Ã‚Â¬Ãƒâ€šÃ‚Â0.43 to 0.48). Secondary outcomes: we found a low quality of evidence that there was no difference between telerehabilitation and inÃƒÆ’Ã‚Â¢ÃƒÂ¢Ã¢â‚¬Å¡Ã‚Â¬Ãƒâ€šÃ‚Âperson rehabilitation for balance outcomes (based on 3 studies with 106 participants: SMD 0.08, 95%CI ÃƒÆ’Ã‚Â¢ÃƒÂ¢Ã¢â‚¬Å¡Ã‚Â¬Ãƒâ€šÃ‚Â0.30 to 0.46). Pooling of three studies with 569 participants showed moderateÃƒÆ’Ã‚Â¢ÃƒÂ¢Ã¢â‚¬Å¡Ã‚Â¬Ãƒâ€šÃ‚Âquality evidence that there was no difference between those who received postÃƒÆ’Ã‚Â¢ÃƒÂ¢Ã¢â‚¬Å¡Ã‚Â¬Ãƒâ€šÃ‚Âdischarge support interventions and those who received usual care on healthÃƒÆ’Ã‚Â¢ÃƒÂ¢Ã¢â‚¬Å¡Ã‚Â¬Ãƒâ€šÃ‚Ârelated quality of life (SMD 0.03, 95% CI ÃƒÆ’Ã‚Â¢ÃƒÂ¢Ã¢â‚¬Å¡Ã‚Â¬Ãƒâ€šÃ‚Â0.14 to 0.20). Similarly, pooling of six studies (with 1145 participants) found moderateÃƒÆ’Ã‚Â¢ÃƒÂ¢Ã¢â‚¬Å¡Ã‚Â¬Ãƒâ€šÃ‚Âquality evidence that there was no difference in depressive symptoms when comparing postÃƒÆ’Ã‚Â¢ÃƒÂ¢Ã¢â‚¬Å¡Ã‚Â¬Ãƒâ€šÃ‚Âdischarge teleÃƒÆ’Ã‚Â¢ÃƒÂ¢Ã¢â‚¬Å¡Ã‚Â¬Ãƒâ€šÃ‚Âsupport programs with usual care (SMD ÃƒÆ’Ã‚Â¢ÃƒÂ¢Ã¢â‚¬Å¡Ã‚Â¬Ãƒâ€šÃ‚Â0.04, 95% CI ÃƒÆ’Ã‚Â¢ÃƒÂ¢Ã¢â‚¬Å¡Ã‚Â¬Ãƒâ€šÃ‚Â0.19 to 0.11). We found no difference between groups for upper limb function (based on 3 studies with 170 participants: mean difference (MD) 1.23, 95% CI ÃƒÆ’Ã‚Â¢ÃƒÂ¢Ã¢â‚¬Å¡Ã‚Â¬Ãƒâ€šÃ‚Â2.17 to 4.64, lowÃƒÆ’Ã‚Â¢ÃƒÂ¢Ã¢â‚¬Å¡Ã‚Â¬Ãƒâ€šÃ‚Âquality evidence) when a computer program was used to remotely retrain upper limb function in comparison to inÃƒÆ’Ã‚Â¢ÃƒÂ¢Ã¢â‚¬Å¡Ã‚Â¬Ãƒâ€šÃ‚Âperson therapy. Evidence was insufficient to draw conclusions on the effects of telerehabilitation on mobility or participant satisfaction with the intervention. No studies evaluated the costÃƒÆ’Ã‚Â¢ÃƒÂ¢Ã¢â‚¬Å¡Ã‚Â¬Ãƒâ€šÃ‚Âeffectiveness of telerehabilitation; however, five of the studies reported health service utilisation outcomes or costs of the interventions provided within the study. Two studies reported on adverse events, although no serious trialÃƒÆ’Ã‚Â¢ÃƒÂ¢Ã¢â‚¬Å¡Ã‚Â¬Ãƒâ€šÃ‚Ârelated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moderateÃƒÆ’Ã‚Â¢ÃƒÂ¢Ã¢â‚¬Å¡Ã‚Â¬Ãƒâ€šÃ‚Âlevel evidence testing whether telerehabilitation is a more effective or similarly effective way to provide rehabilitation. ShortÃƒÆ’Ã‚Â¢ÃƒÂ¢Ã¢â‚¬Å¡Ã‚Â¬Ãƒâ€šÃ‚Âterm postÃƒÆ’Ã‚Â¢ÃƒÂ¢Ã¢â‚¬Å¡Ã‚Â¬Ãƒâ€šÃ‚Âhospital discharge telerehabilitation programmes have not been shown to reduce depressive symptoms, improve quality of life, or improve independence in activities of daily living when compared with usual care. Studies comparing telerehabilitation and inÃƒÆ’Ã‚Â¢ÃƒÂ¢Ã¢â‚¬Å¡Ã‚Â¬Ãƒâ€šÃ‚Âperson therapy have also not found significantly different outcomes between groups, suggesting that telerehabilitation is not inferior. Some studies reported that telerehabilitation was less expensive to provide but information was lacking about costÃƒÆ’Ã‚Â¢ÃƒÂ¢Ã¢â‚¬Å¡Ã‚Â¬Ãƒâ€šÃ‚Âeffectiveness.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ÃƒÆ’Ã‚Â¢ÃƒÂ¢Ã¢â‚¬Å¡Ã‚Â¬Ãƒâ€šÃ‚Â¨ This review aimed to gather evidence for the use of telerehabilitation after stroke. We aimed to compare telerehabilitation with therapy delivered faceÃƒÆ’Ã‚Â¢ÃƒÂ¢Ã¢â‚¬Å¡Ã‚Â¬Ãƒâ€šÃ‚ÂtoÃƒÆ’Ã‚Â¢ÃƒÂ¢Ã¢â‚¬Å¡Ã‚Â¬Ãƒâ€šÃ‚Âface and with no therapy (usual care). Background ÃƒÆ’Ã‚Â¢ÃƒÂ¢Ã¢â‚¬Å¡Ã‚Â¬Ãƒâ€šÃ‚Â¨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ÃƒÆ’Ã‚Â¢ÃƒÂ¢Ã¢â‚¬Å¡Ã‚Â¬Ãƒâ€šÃ‚Â¨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ÃƒÆ’Ã‚Â¢ÃƒÂ¢Ã¢â‚¬Å¡Ã‚Â¬Ãƒâ€šÃ‚Â¨ As the studies were very different, it was rarely appropriate to combine results to determine overall effect. We found that people who received telerehabilitation had similar outcomes for activities of daily living function to those that received faceÃƒÆ’Ã‚Â¢ÃƒÂ¢Ã¢â‚¬Å¡Ã‚Â¬Ãƒâ€šÃ‚ÂtoÃƒÆ’Ã‚Â¢ÃƒÂ¢Ã¢â‚¬Å¡Ã‚Â¬Ãƒâ€šÃ‚Âface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costÃƒÆ’Ã‚Â¢ÃƒÂ¢Ã¢â‚¬Å¡Ã‚Â¬Ãƒâ€šÃ‚Âeffectiveness. Only two trials reported on whether or not any adverse events had occurred; these trials found no serious adverse events were related to telerehabilitation. Further trials are required. Quality of the evidence ÃƒÆ’Ã‚Â¢ÃƒÂ¢Ã¢â‚¬Å¡Ã‚Â¬Ãƒâ€šÃ‚Â¨ The quality of the evidence was generally of low or moderate quality. The quality of the evidence for each outcome was limited due to small numbers of study participants and poor reporting of study details.</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</si>
  <si>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</si>
  <si>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</si>
  <si>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</si>
  <si>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</si>
  <si>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</si>
  <si>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ÃƒÆ’Ã¢â‚¬Å¡Ãƒâ€šÃ‚Â© 2022 Logan et al.</t>
  </si>
  <si>
    <t>The article reports cost-effectiveness but does not explicitly demonstrate cash-releasing savings.</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</si>
  <si>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</si>
  <si>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</si>
  <si>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ÃƒÆ’Ã‚Â¢ÃƒÂ¢Ã¢â€šÂ¬Ã‚Â°Ãƒâ€šÃ‚Â¥ 18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CVCÃƒÆ’Ã‚Â¢ÃƒÂ¢Ã¢â‚¬Å¡Ã‚Â¬Ãƒâ€šÃ‚Ârelated bloodstream infections and CVCÃƒÆ’Ã‚Â¢ÃƒÂ¢Ã¢â‚¬Å¡Ã‚Â¬Ãƒâ€šÃ‚Ârelated colonisation, mortality, haemorrhage, heparinÃƒÆ’Ã‚Â¢ÃƒÂ¢Ã¢â‚¬Å¡Ã‚Â¬Ãƒâ€šÃ‚Âinduced thrombocytopaenia, CVCÃƒÆ’Ã‚Â¢ÃƒÂ¢Ã¢â‚¬Å¡Ã‚Â¬Ãƒâ€šÃ‚Ârelated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metaÃƒÆ’Ã‚Â¢ÃƒÂ¢Ã¢â‚¬Å¡Ã‚Â¬Ãƒâ€šÃ‚Âanalysis were available from all RCTs. We noted differences in methods used by the included studies and variation in heparin concentrations (10 to 5000 IU/mL), time to followÃƒÆ’Ã‚Â¢ÃƒÂ¢Ã¢â‚¬Å¡Ã‚Â¬Ãƒâ€šÃ‚Âup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lowÃƒÆ’Ã‚Â¢ÃƒÂ¢Ã¢â‚¬Å¡Ã‚Â¬Ãƒâ€šÃ‚Âcertainty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ÃƒÆ’Ã‚Â¢ÃƒÂ¢Ã¢â‚¬Å¡Ã‚Â¬Ãƒâ€šÃ‚Â0.10 to 0.99; 6 studies; 1788 participants; lowÃƒÆ’Ã‚Â¢ÃƒÂ¢Ã¢â‚¬Å¡Ã‚Â¬Ãƒâ€šÃ‚Âcertainty evidence). Secondary outcomes We found no clear evidence of a difference in the following outcomes: CVCÃƒÆ’Ã‚Â¢ÃƒÂ¢Ã¢â‚¬Å¡Ã‚Â¬Ãƒâ€šÃ‚Ârelated bloodstream infections (RR 0.66, 95% CI 0.08 to 5.80; 3 studies; 1127 participants; very lowÃƒÆ’Ã‚Â¢ÃƒÂ¢Ã¢â‚¬Å¡Ã‚Â¬Ãƒâ€šÃ‚Âcertainty evidence); mortality (RR 0.76, 95% CI 0.44 to 1.31; 3 studies; 1100 participants; very lowÃƒÆ’Ã‚Â¢ÃƒÂ¢Ã¢â‚¬Å¡Ã‚Â¬Ãƒâ€šÃ‚Âcertainty evidence); haemorrhage (RR 1.54, 95% CI 0.41 to 5.74; 3 studies; 1197 participants; very lowÃƒÆ’Ã‚Â¢ÃƒÂ¢Ã¢â‚¬Å¡Ã‚Â¬Ãƒâ€šÃ‚Âcertainty evidence); or heparinÃƒÆ’Ã‚Â¢ÃƒÂ¢Ã¢â‚¬Å¡Ã‚Â¬Ãƒâ€šÃ‚Âinduced thrombocytopaenia (RR 0.21, 95% CI 0.01 to 4.27; 3 studies; 443 participants; very lowÃƒÆ’Ã‚Â¢ÃƒÂ¢Ã¢â‚¬Å¡Ã‚Â¬Ãƒâ€šÃ‚Âcertainty evidence). The main reasons for downgrading the certainty of evidence for the primary and secondary outcomes were unclear allocation concealment, suspicion of publication bias, imprecision and inconsistency. Authors' conclusions Given the lowÃƒÆ’Ã‚Â¢ÃƒÂ¢Ã¢â‚¬Å¡Ã‚Â¬Ãƒâ€šÃ‚Âcertainty evidence, we are uncertain whether intermittent locking with heparin results in fewer central venous catheter occlusions than intermittent locking with normal saline in adults. LowÃƒÆ’Ã‚Â¢ÃƒÂ¢Ã¢â‚¬Å¡Ã‚Â¬Ãƒâ€šÃ‚Âcertainty evidence suggests that heparin may have little or no effect on catheter patency duration. Although we found no evidence of differences in safety (CVCÃƒÆ’Ã‚Â¢ÃƒÂ¢Ã¢â‚¬Å¡Ã‚Â¬Ãƒâ€šÃ‚Ârelated bloodstream infections, mortality, or haemorrha e), the combined studies were not powered to detect rare adverse events such as heparinÃƒÆ’Ã‚Â¢ÃƒÂ¢Ã¢â‚¬Å¡Ã‚Â¬Ãƒâ€šÃ‚Âinduced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wellÃƒÆ’Ã‚Â¢ÃƒÂ¢Ã¢â‚¬Å¡Ã‚Â¬Ãƒâ€šÃ‚Âdesigned, largeÃƒÆ’Ã‚Â¢ÃƒÂ¢Ã¢â‚¬Å¡Ã‚Â¬Ãƒâ€šÃ‚Âscale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catheterÃƒÆ’Ã‚Â¢ÃƒÂ¢Ã¢â‚¬Å¡Ã‚Â¬Ãƒâ€šÃ‚Ârelated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</si>
  <si>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</si>
  <si>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</si>
  <si>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</si>
  <si>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The article explicitly mentions cost savings through genetic-based dose individualisation.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</si>
  <si>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</si>
  <si>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</si>
  <si>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</si>
  <si>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</si>
  <si>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</si>
  <si>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ÃƒÆ’Ã¢â‚¬Å¡Ãƒâ€šÃ‚Â© 2021, The Author(s).</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</si>
  <si>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</si>
  <si>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</si>
  <si>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ÃƒÆ’Ã¢â‚¬Å¡Ãƒâ€šÃ‚Â© 2022 The Authors</t>
  </si>
  <si>
    <t>Reason</t>
  </si>
  <si>
    <t>EXCLUDE</t>
  </si>
  <si>
    <t>No evidence</t>
  </si>
  <si>
    <t>evaluated for clinical effectiveness but no cost saving or ROI</t>
  </si>
  <si>
    <t>INCLUDE</t>
  </si>
  <si>
    <t>annual cost savings estimated</t>
  </si>
  <si>
    <t>10-yr ROI ≈ 1.44 per £1.</t>
  </si>
  <si>
    <t>incremental NHS cost saving ~£18.75/person</t>
  </si>
  <si>
    <t>£53k/100 pts savings; ~£268k/yr locally</t>
  </si>
  <si>
    <t>cost-effective but not cost-saving/ROI-positive</t>
  </si>
  <si>
    <t>Reports bed-days saved and “cost-effective”, but no net £ saving/ROI</t>
  </si>
  <si>
    <t>reports substantial cost savings from fewer admissions, injections, readmissions, and fusions</t>
  </si>
  <si>
    <t>£687m NHS savings over 5 yrs</t>
  </si>
  <si>
    <t>reports economic modelling showing NHS cost-saving</t>
  </si>
  <si>
    <t>BORDERLINE. IDM for COPD shows fewer admissions and hospital days. Likely to reduce healthcare costs, though not directly quantified as ROI.</t>
  </si>
  <si>
    <t>£179/patient, ~£6.3k over 7 weeks.</t>
  </si>
  <si>
    <t>reforms cut NHS Scotland ONS spend from £16m → £11m (cash-releasing saving).</t>
  </si>
  <si>
    <t>BORDERLINE. report fewer admissions and cost reductions; though descriptive</t>
  </si>
  <si>
    <t>£492k in readmission costs</t>
  </si>
  <si>
    <t>£746 NHS saving per patient</t>
  </si>
  <si>
    <t>cost-effectiveness outcomes promised but not yet reported</t>
  </si>
  <si>
    <t>BORDERLINE. proof-of-concept showing consistent cost-saving - SMALL PILOT</t>
  </si>
  <si>
    <t>£60k saving per 100 patients in ED visits/complications</t>
  </si>
  <si>
    <t>Lower treatment costs and cost-effective.</t>
  </si>
  <si>
    <t>negative incremental costs (-£796) and fewer unplanned admissions → implied cash savings + QALY gain.</t>
  </si>
  <si>
    <t>reduced unnecessary referrals by ~40%, per-patient costs lower than SoC (£983 vs £1,014)</t>
  </si>
  <si>
    <t>borderline. reduced radiologist workload (34–91% of normal reads avoided) → implied staff time/cost saving, though not quantified.</t>
  </si>
  <si>
    <t>incremental cost per fall averted £190</t>
  </si>
  <si>
    <t>borderline. predicted £115k–£452k cost savings across prescriptions</t>
  </si>
  <si>
    <t>OC_Include</t>
  </si>
  <si>
    <t>OC_Exclude</t>
  </si>
  <si>
    <t>screen_olly</t>
  </si>
  <si>
    <t>include_stage_6</t>
  </si>
  <si>
    <t>The article focuses on clinical outcomes without explicit mention of cash-releasing savings or ROI.</t>
  </si>
  <si>
    <t>The article discusses economic burden but does not explicitly demonstrate cash-releasing savings or positive ROI.</t>
  </si>
  <si>
    <t>The article focuses on clinical outcomes without explicit mention of cash-releasing savings or positive ROI.</t>
  </si>
  <si>
    <t>The article focuses on clinical outcomes without explicit mention of cash-releasing savings or net budget impact.</t>
  </si>
  <si>
    <t>The article only reports cost-effectiveness (ICER, QALY) without explicit savings.</t>
  </si>
  <si>
    <t>The article focuses on cost-effectiveness without explicit savings.</t>
  </si>
  <si>
    <t>The article reports ROI without explicit cash-releasing savings.</t>
  </si>
  <si>
    <t>The article reports an incremental cost saving per person, indicating a net saving.</t>
  </si>
  <si>
    <t>The article only reports cost-effectiveness without explicit savings.</t>
  </si>
  <si>
    <t>The study does not demonstrate explicit cash-releasing savings or positive ROI.</t>
  </si>
  <si>
    <t>The article estimates potential cumulative direct cost savings over 5 years.</t>
  </si>
  <si>
    <t>No explicit cash-releasing savings or net benefit stated</t>
  </si>
  <si>
    <t>The article focuses on clinical outcomes and treatment efficacy without explicit mention of cash-releasing savings or net budget impact.</t>
  </si>
  <si>
    <t>The article discusses cost-effectiveness but does not explicitly state cash-releasing savings or positive ROI.</t>
  </si>
  <si>
    <t>No explicit cash-releasing savings or positive ROI reported.</t>
  </si>
  <si>
    <t>The article explicitly states a cost saving of 6270 over a short period.</t>
  </si>
  <si>
    <t>The article focuses on clinical outcomes and does not explicitly demonstrate cash-releasing savings or positive ROI.</t>
  </si>
  <si>
    <t>The article reports cost reductions explicitly.</t>
  </si>
  <si>
    <t>The article reports a reduction in readmission costs, indicating expenditure reduction.</t>
  </si>
  <si>
    <t>The article reports healthcare cost savings of 746 per participant.</t>
  </si>
  <si>
    <t>The article only discusses potential cost-effectiveness without explicit savings.</t>
  </si>
  <si>
    <t>The article focuses on clinical outcomes and implementation strategies without explicit mention of cash-releasing savings or positive ROI.</t>
  </si>
  <si>
    <t>The article mentions cost-savings but does not explicitly state cash-releasing savings or net savings.</t>
  </si>
  <si>
    <t>The article explicitly mentions substantial cost savings for the NHS.</t>
  </si>
  <si>
    <t>The article reports a negative point estimate for incremental costs, indicating a negative net budget impact.</t>
  </si>
  <si>
    <t>['negative net budget impact']</t>
  </si>
  <si>
    <t>The article states that the strategies are cost-saving and reduce unnecessary referrals.</t>
  </si>
  <si>
    <t>The article focuses on workflow efficiency without explicit mention of cash-releasing savings.</t>
  </si>
  <si>
    <t>The article only reports cost-effectiveness (ICER) without explicit savings.</t>
  </si>
  <si>
    <t>include_stage_7 (Akkshata)</t>
  </si>
  <si>
    <t>Exclude</t>
  </si>
  <si>
    <t>no cost impact</t>
  </si>
  <si>
    <t>Include</t>
  </si>
  <si>
    <t>cost saving</t>
  </si>
  <si>
    <t>cost effectiveness critieria currently not met</t>
  </si>
  <si>
    <t>cost savings</t>
  </si>
  <si>
    <t>Incremental cost saving per person was 18.75</t>
  </si>
  <si>
    <t>saving of 53,000/100 patients</t>
  </si>
  <si>
    <t>incremental costeffectiveness ratio (ICER) of 12,659 per QALY gained</t>
  </si>
  <si>
    <t>early-supported discharge is safe and cost-effective but no actual cost impact</t>
  </si>
  <si>
    <t>provides evidence that the NBRPP results in substantial cost saving through reducing; admissions for back pain</t>
  </si>
  <si>
    <t>10% reduction in costs</t>
  </si>
  <si>
    <t>risk-based screening at a 4% 10-year absolute risk threshold was cost-effective in 48.4% and 57.4% of the simulations at willingness-to-pay thresholds of GBP20,000 (US$26,000) and 30,000 ($39,386) per QALY, respectively.</t>
  </si>
  <si>
    <t>Potential cumulative direct cost savings achievable in the modelled population were estimated at 687 m over 5 years (5,585/person), with total (direct and indirect) savings of 1,034 m (8,400/person)</t>
  </si>
  <si>
    <t>Incremental cost-effectiveness was calculated using a Markov population cohort simulation</t>
  </si>
  <si>
    <t>reduction in hospital admission</t>
  </si>
  <si>
    <t>estimated per-patient cost saving of 179.16</t>
  </si>
  <si>
    <t>cost (16 million 2015-16; 11 million 2018-19)</t>
  </si>
  <si>
    <t>incurred 414 fewer bed days (303 vs 717), and re-admitted at a lower rate (5% vs 11%)</t>
  </si>
  <si>
    <t>Incremental cost effectiveness ratios (ICERs) and net monetary benefit from UK healthcare and societal perspectives are reported.</t>
  </si>
  <si>
    <t>Specifically, savings from avoided ED visits ranged from 22,225 to 43,435 per 100 patients, with additional savings from early detection of SSIs and prevention of antibiotic resistance estimated at 27,909 per 100 patients</t>
  </si>
  <si>
    <t>lower treatment costs</t>
  </si>
  <si>
    <t>negative point estimate for incremental costs (-796; 95% CI -2016 to 424) and positive point estimate for incremental QALYs (0.009, -0.021 to 0.039)</t>
  </si>
  <si>
    <t>The mean incremental cost-effectiveness ratio (ICER per quality adjusted life year (QALY) saved, 50-year time horizon; 3.5% discount rate) of SQ (assumes counterfactual of no treatment scale-up post-2015)</t>
  </si>
  <si>
    <t>PRA was cost-effective in specific situations compared with CRA in the UK for assessment of women with or without GPVs in BC and OC susceptibility genes.</t>
  </si>
  <si>
    <t>strategies demonstrated cost-effectiveness relative to SoC with total cost per patient of GBP 983.37 for FIB-4/TE, GBP 993.15 for FIB-4/ELF compared to SoC, GBP 1,014.15.</t>
  </si>
  <si>
    <t>Machine learning was leveraged to successfully reduce the number of normal mammograms that radiologists need to read without degrading diagnostic accuracy</t>
  </si>
  <si>
    <t>The economic analysis revealed some indication of reduced resource use/costs associated with the intervention</t>
  </si>
  <si>
    <t>The GtACH programme significantly reduced the falls rate in the study care homes</t>
  </si>
  <si>
    <t>cost savings predicted</t>
  </si>
  <si>
    <t>no evidence of cost impact</t>
  </si>
  <si>
    <t>AA_Include</t>
  </si>
  <si>
    <t>AA_Exclude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</si>
</sst>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b/>
      <i/>
      <sz val="11"/>
      <color theme="1"/>
      <name val="Aptos Narrow"/>
      <family val="2"/>
      <scheme val="minor"/>
    </font>
    <font>
      <sz val="11"/>
      <color rgb="FF000000"/>
      <name val="Aptos Narrow"/>
      <family val="2"/>
      <scheme val="minor"/>
    </font>
    <font>
      <sz val="11"/>
      <color rgb="FF242424"/>
      <name val="Aptos Narrow"/>
      <charset val="1"/>
      <scheme val="minor"/>
    </font>
    <font>
      <sz val="11"/>
      <color rgb="FF000000"/>
      <name val="Aptos Narrow"/>
      <charset val="1"/>
      <scheme val="minor"/>
    </font>
    <font>
      <sz val="11"/>
      <color rgb="FF24242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5" fillId="0" borderId="0" xfId="0" applyFont="1"/>
    <xf numFmtId="0" fontId="6" fillId="0" borderId="0" xfId="0" applyFont="1"/>
    <xf numFmtId="0" fontId="7" fillId="0" borderId="0" xfId="0" applyFont="1"/>
    <xf numFmtId="0" fontId="0" fillId="0" borderId="0" xfId="0" applyFont="1"/>
    <xf numFmtId="0" fontId="8" fillId="0" borderId="0" xfId="0" applyFont="1"/>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72"/>
  <sheetViews>
    <sheetView workbookViewId="0">
      <selection activeCell="D11" sqref="A1:H72"/>
    </sheetView>
  </sheetViews>
  <sheetFormatPr defaultRowHeight="14.5" x14ac:dyDescent="0.35"/>
  <sheetData>
    <row r="1" spans="1:8" x14ac:dyDescent="0.35">
      <c r="A1" t="s">
        <v>0</v>
      </c>
      <c r="B1" t="s">
        <v>1</v>
      </c>
      <c r="C1" t="s">
        <v>2</v>
      </c>
      <c r="D1" t="s">
        <v>3</v>
      </c>
      <c r="E1" t="s">
        <v>48</v>
      </c>
      <c r="F1" t="s">
        <v>49</v>
      </c>
      <c r="G1" t="s">
        <v>136</v>
      </c>
      <c r="H1" t="s">
        <v>50</v>
      </c>
    </row>
    <row r="2" spans="1:8" x14ac:dyDescent="0.35">
      <c r="A2" t="s">
        <v>4</v>
      </c>
      <c r="B2">
        <v>2019</v>
      </c>
      <c r="C2" t="s">
        <v>5</v>
      </c>
      <c r="D2" t="s">
        <v>137</v>
      </c>
      <c r="E2" t="b">
        <v>0</v>
      </c>
      <c r="F2" t="s">
        <v>288</v>
      </c>
      <c r="G2" t="s">
        <v>138</v>
      </c>
      <c r="H2">
        <v>0.95</v>
      </c>
    </row>
    <row r="3" spans="1:8" x14ac:dyDescent="0.35">
      <c r="A3" t="s">
        <v>6</v>
      </c>
      <c r="B3">
        <v>2019</v>
      </c>
      <c r="C3" t="s">
        <v>7</v>
      </c>
      <c r="D3" t="s">
        <v>51</v>
      </c>
      <c r="E3" t="b">
        <v>0</v>
      </c>
      <c r="F3" t="s">
        <v>139</v>
      </c>
      <c r="G3" t="s">
        <v>138</v>
      </c>
      <c r="H3">
        <v>0.9</v>
      </c>
    </row>
    <row r="4" spans="1:8" x14ac:dyDescent="0.35">
      <c r="A4" t="s">
        <v>8</v>
      </c>
      <c r="B4">
        <v>2019</v>
      </c>
      <c r="C4" t="s">
        <v>9</v>
      </c>
      <c r="D4" t="s">
        <v>140</v>
      </c>
      <c r="E4" t="b">
        <v>0</v>
      </c>
      <c r="F4" t="s">
        <v>141</v>
      </c>
      <c r="G4" t="s">
        <v>138</v>
      </c>
      <c r="H4">
        <v>0.95</v>
      </c>
    </row>
    <row r="5" spans="1:8" x14ac:dyDescent="0.35">
      <c r="A5" t="s">
        <v>10</v>
      </c>
      <c r="B5">
        <v>2019</v>
      </c>
      <c r="C5" t="s">
        <v>11</v>
      </c>
      <c r="D5" t="s">
        <v>142</v>
      </c>
      <c r="E5" t="b">
        <v>0</v>
      </c>
      <c r="F5" t="s">
        <v>289</v>
      </c>
      <c r="G5" t="s">
        <v>138</v>
      </c>
      <c r="H5">
        <v>0.9</v>
      </c>
    </row>
    <row r="6" spans="1:8" x14ac:dyDescent="0.35">
      <c r="A6" t="s">
        <v>12</v>
      </c>
      <c r="B6">
        <v>2019</v>
      </c>
      <c r="C6" t="s">
        <v>13</v>
      </c>
      <c r="D6" t="s">
        <v>143</v>
      </c>
      <c r="E6" t="b">
        <v>1</v>
      </c>
      <c r="F6" t="s">
        <v>144</v>
      </c>
      <c r="G6" t="s">
        <v>167</v>
      </c>
      <c r="H6">
        <v>0.9</v>
      </c>
    </row>
    <row r="7" spans="1:8" x14ac:dyDescent="0.35">
      <c r="A7" t="s">
        <v>14</v>
      </c>
      <c r="B7">
        <v>2019</v>
      </c>
      <c r="C7" t="s">
        <v>146</v>
      </c>
      <c r="D7" t="s">
        <v>147</v>
      </c>
      <c r="E7" t="b">
        <v>0</v>
      </c>
      <c r="F7" t="s">
        <v>139</v>
      </c>
      <c r="G7" t="s">
        <v>138</v>
      </c>
      <c r="H7">
        <v>0.9</v>
      </c>
    </row>
    <row r="8" spans="1:8" x14ac:dyDescent="0.35">
      <c r="A8" t="s">
        <v>15</v>
      </c>
      <c r="B8">
        <v>2019</v>
      </c>
      <c r="C8" t="s">
        <v>148</v>
      </c>
      <c r="D8" t="s">
        <v>149</v>
      </c>
      <c r="E8" t="b">
        <v>0</v>
      </c>
      <c r="F8" t="s">
        <v>290</v>
      </c>
      <c r="G8" t="s">
        <v>138</v>
      </c>
      <c r="H8">
        <v>0.9</v>
      </c>
    </row>
    <row r="9" spans="1:8" x14ac:dyDescent="0.35">
      <c r="A9" t="s">
        <v>16</v>
      </c>
      <c r="B9">
        <v>2019</v>
      </c>
      <c r="C9" t="s">
        <v>17</v>
      </c>
      <c r="D9" t="s">
        <v>52</v>
      </c>
      <c r="E9" t="b">
        <v>0</v>
      </c>
      <c r="F9" t="s">
        <v>291</v>
      </c>
      <c r="G9" t="s">
        <v>138</v>
      </c>
      <c r="H9">
        <v>0.9</v>
      </c>
    </row>
    <row r="10" spans="1:8" x14ac:dyDescent="0.35">
      <c r="A10" t="s">
        <v>18</v>
      </c>
      <c r="B10">
        <v>2019</v>
      </c>
      <c r="C10" t="s">
        <v>19</v>
      </c>
      <c r="D10" t="s">
        <v>150</v>
      </c>
      <c r="E10" t="b">
        <v>0</v>
      </c>
      <c r="F10" t="s">
        <v>292</v>
      </c>
      <c r="G10" t="s">
        <v>138</v>
      </c>
      <c r="H10">
        <v>1</v>
      </c>
    </row>
    <row r="11" spans="1:8" x14ac:dyDescent="0.35">
      <c r="A11" t="s">
        <v>20</v>
      </c>
      <c r="B11">
        <v>2019</v>
      </c>
      <c r="C11" t="s">
        <v>21</v>
      </c>
      <c r="D11" t="s">
        <v>22</v>
      </c>
      <c r="E11" t="b">
        <v>0</v>
      </c>
      <c r="F11" t="s">
        <v>293</v>
      </c>
      <c r="G11" t="s">
        <v>138</v>
      </c>
      <c r="H11">
        <v>0.9</v>
      </c>
    </row>
    <row r="12" spans="1:8" x14ac:dyDescent="0.35">
      <c r="A12" t="s">
        <v>23</v>
      </c>
      <c r="B12">
        <v>2019</v>
      </c>
      <c r="C12" t="s">
        <v>24</v>
      </c>
      <c r="D12" t="s">
        <v>25</v>
      </c>
      <c r="E12" t="b">
        <v>0</v>
      </c>
      <c r="F12" t="s">
        <v>294</v>
      </c>
      <c r="G12" t="s">
        <v>138</v>
      </c>
      <c r="H12">
        <v>0.9</v>
      </c>
    </row>
    <row r="13" spans="1:8" x14ac:dyDescent="0.35">
      <c r="A13" t="s">
        <v>26</v>
      </c>
      <c r="B13">
        <v>2019</v>
      </c>
      <c r="C13" t="s">
        <v>27</v>
      </c>
      <c r="D13" t="s">
        <v>28</v>
      </c>
      <c r="E13" t="b">
        <v>1</v>
      </c>
      <c r="F13" t="s">
        <v>295</v>
      </c>
      <c r="G13" t="s">
        <v>167</v>
      </c>
      <c r="H13">
        <v>0.9</v>
      </c>
    </row>
    <row r="14" spans="1:8" x14ac:dyDescent="0.35">
      <c r="A14" t="s">
        <v>29</v>
      </c>
      <c r="B14">
        <v>2019</v>
      </c>
      <c r="C14" t="s">
        <v>30</v>
      </c>
      <c r="D14" t="s">
        <v>31</v>
      </c>
      <c r="E14" t="b">
        <v>1</v>
      </c>
      <c r="F14" t="s">
        <v>151</v>
      </c>
      <c r="G14" t="s">
        <v>152</v>
      </c>
      <c r="H14">
        <v>0.9</v>
      </c>
    </row>
    <row r="15" spans="1:8" x14ac:dyDescent="0.35">
      <c r="A15" t="s">
        <v>87</v>
      </c>
      <c r="B15">
        <v>2019</v>
      </c>
      <c r="C15" t="s">
        <v>88</v>
      </c>
      <c r="D15" t="s">
        <v>89</v>
      </c>
      <c r="E15" t="b">
        <v>0</v>
      </c>
      <c r="F15" t="s">
        <v>296</v>
      </c>
      <c r="G15" t="s">
        <v>138</v>
      </c>
      <c r="H15">
        <v>0.9</v>
      </c>
    </row>
    <row r="16" spans="1:8" x14ac:dyDescent="0.35">
      <c r="A16" t="s">
        <v>54</v>
      </c>
      <c r="B16">
        <v>2019</v>
      </c>
      <c r="C16" t="s">
        <v>55</v>
      </c>
      <c r="D16" t="s">
        <v>56</v>
      </c>
      <c r="E16" t="b">
        <v>0</v>
      </c>
      <c r="F16" t="s">
        <v>139</v>
      </c>
      <c r="G16" t="s">
        <v>138</v>
      </c>
      <c r="H16">
        <v>0.9</v>
      </c>
    </row>
    <row r="17" spans="1:8" x14ac:dyDescent="0.35">
      <c r="A17" t="s">
        <v>90</v>
      </c>
      <c r="B17">
        <v>2019</v>
      </c>
      <c r="C17" t="s">
        <v>91</v>
      </c>
      <c r="D17" t="s">
        <v>153</v>
      </c>
      <c r="E17" t="b">
        <v>0</v>
      </c>
      <c r="F17" t="s">
        <v>154</v>
      </c>
      <c r="G17" t="s">
        <v>138</v>
      </c>
      <c r="H17">
        <v>0.9</v>
      </c>
    </row>
    <row r="18" spans="1:8" x14ac:dyDescent="0.35">
      <c r="A18" t="s">
        <v>92</v>
      </c>
      <c r="B18">
        <v>2019</v>
      </c>
      <c r="C18" t="s">
        <v>93</v>
      </c>
      <c r="D18" t="s">
        <v>94</v>
      </c>
      <c r="E18" t="b">
        <v>1</v>
      </c>
      <c r="F18" t="s">
        <v>155</v>
      </c>
      <c r="G18" t="s">
        <v>152</v>
      </c>
      <c r="H18">
        <v>0.9</v>
      </c>
    </row>
    <row r="19" spans="1:8" x14ac:dyDescent="0.35">
      <c r="A19" t="s">
        <v>95</v>
      </c>
      <c r="B19">
        <v>2019</v>
      </c>
      <c r="C19" t="s">
        <v>96</v>
      </c>
      <c r="D19" t="s">
        <v>156</v>
      </c>
      <c r="E19" t="b">
        <v>0</v>
      </c>
      <c r="F19" t="s">
        <v>291</v>
      </c>
      <c r="G19" t="s">
        <v>138</v>
      </c>
      <c r="H19">
        <v>0.9</v>
      </c>
    </row>
    <row r="20" spans="1:8" x14ac:dyDescent="0.35">
      <c r="A20" t="s">
        <v>97</v>
      </c>
      <c r="B20">
        <v>2019</v>
      </c>
      <c r="C20" t="s">
        <v>98</v>
      </c>
      <c r="D20" t="s">
        <v>157</v>
      </c>
      <c r="E20" t="b">
        <v>0</v>
      </c>
      <c r="F20" t="s">
        <v>158</v>
      </c>
      <c r="G20" t="s">
        <v>138</v>
      </c>
      <c r="H20">
        <v>0.9</v>
      </c>
    </row>
    <row r="21" spans="1:8" ht="409.5" x14ac:dyDescent="0.35">
      <c r="A21" t="s">
        <v>57</v>
      </c>
      <c r="B21">
        <v>2019</v>
      </c>
      <c r="C21" t="s">
        <v>58</v>
      </c>
      <c r="D21" s="1" t="s">
        <v>59</v>
      </c>
      <c r="E21" t="b">
        <v>0</v>
      </c>
      <c r="F21" t="s">
        <v>297</v>
      </c>
      <c r="G21" t="s">
        <v>138</v>
      </c>
      <c r="H21">
        <v>0.9</v>
      </c>
    </row>
    <row r="22" spans="1:8" x14ac:dyDescent="0.35">
      <c r="A22" t="s">
        <v>60</v>
      </c>
      <c r="B22">
        <v>2019</v>
      </c>
      <c r="C22" t="s">
        <v>61</v>
      </c>
      <c r="D22" t="s">
        <v>62</v>
      </c>
      <c r="E22" t="b">
        <v>0</v>
      </c>
      <c r="F22" t="s">
        <v>296</v>
      </c>
      <c r="G22" t="s">
        <v>138</v>
      </c>
      <c r="H22">
        <v>0.9</v>
      </c>
    </row>
    <row r="23" spans="1:8" x14ac:dyDescent="0.35">
      <c r="A23" t="s">
        <v>63</v>
      </c>
      <c r="B23">
        <v>2019</v>
      </c>
      <c r="C23" t="s">
        <v>64</v>
      </c>
      <c r="D23" t="s">
        <v>65</v>
      </c>
      <c r="E23" t="b">
        <v>0</v>
      </c>
      <c r="F23" t="s">
        <v>296</v>
      </c>
      <c r="G23" t="s">
        <v>138</v>
      </c>
      <c r="H23">
        <v>0.9</v>
      </c>
    </row>
    <row r="24" spans="1:8" x14ac:dyDescent="0.35">
      <c r="A24" t="s">
        <v>66</v>
      </c>
      <c r="B24">
        <v>2019</v>
      </c>
      <c r="C24" t="s">
        <v>67</v>
      </c>
      <c r="D24" t="s">
        <v>68</v>
      </c>
      <c r="E24" t="b">
        <v>0</v>
      </c>
      <c r="F24" t="s">
        <v>290</v>
      </c>
      <c r="G24" t="s">
        <v>138</v>
      </c>
      <c r="H24">
        <v>0.9</v>
      </c>
    </row>
    <row r="25" spans="1:8" x14ac:dyDescent="0.35">
      <c r="A25" t="s">
        <v>99</v>
      </c>
      <c r="B25">
        <v>2019</v>
      </c>
      <c r="C25" t="s">
        <v>100</v>
      </c>
      <c r="D25" t="s">
        <v>159</v>
      </c>
      <c r="E25" t="b">
        <v>1</v>
      </c>
      <c r="F25" t="s">
        <v>298</v>
      </c>
      <c r="G25" t="s">
        <v>145</v>
      </c>
      <c r="H25">
        <v>0.9</v>
      </c>
    </row>
    <row r="26" spans="1:8" x14ac:dyDescent="0.35">
      <c r="A26" t="s">
        <v>69</v>
      </c>
      <c r="B26">
        <v>2021</v>
      </c>
      <c r="C26" t="s">
        <v>70</v>
      </c>
      <c r="D26" t="s">
        <v>71</v>
      </c>
      <c r="E26" t="b">
        <v>0</v>
      </c>
      <c r="F26" t="s">
        <v>139</v>
      </c>
      <c r="G26" t="s">
        <v>138</v>
      </c>
      <c r="H26">
        <v>0.9</v>
      </c>
    </row>
    <row r="27" spans="1:8" ht="409.5" x14ac:dyDescent="0.35">
      <c r="A27" t="s">
        <v>101</v>
      </c>
      <c r="B27">
        <v>2021</v>
      </c>
      <c r="C27" t="s">
        <v>102</v>
      </c>
      <c r="D27" s="1" t="s">
        <v>103</v>
      </c>
      <c r="E27" t="b">
        <v>0</v>
      </c>
      <c r="F27" t="s">
        <v>139</v>
      </c>
      <c r="G27" t="s">
        <v>138</v>
      </c>
      <c r="H27">
        <v>0.9</v>
      </c>
    </row>
    <row r="28" spans="1:8" x14ac:dyDescent="0.35">
      <c r="A28" t="s">
        <v>104</v>
      </c>
      <c r="B28">
        <v>2021</v>
      </c>
      <c r="C28" t="s">
        <v>105</v>
      </c>
      <c r="D28" t="s">
        <v>160</v>
      </c>
      <c r="E28" t="b">
        <v>0</v>
      </c>
      <c r="F28" t="s">
        <v>299</v>
      </c>
      <c r="G28" t="s">
        <v>138</v>
      </c>
      <c r="H28">
        <v>0.9</v>
      </c>
    </row>
    <row r="29" spans="1:8" x14ac:dyDescent="0.35">
      <c r="A29" t="s">
        <v>106</v>
      </c>
      <c r="B29">
        <v>2021</v>
      </c>
      <c r="C29" t="s">
        <v>107</v>
      </c>
      <c r="D29" t="s">
        <v>108</v>
      </c>
      <c r="E29" t="b">
        <v>1</v>
      </c>
      <c r="F29" t="s">
        <v>161</v>
      </c>
      <c r="G29" t="s">
        <v>167</v>
      </c>
      <c r="H29">
        <v>0.9</v>
      </c>
    </row>
    <row r="30" spans="1:8" x14ac:dyDescent="0.35">
      <c r="A30" t="s">
        <v>109</v>
      </c>
      <c r="B30">
        <v>2021</v>
      </c>
      <c r="C30" t="s">
        <v>162</v>
      </c>
      <c r="D30" t="s">
        <v>163</v>
      </c>
      <c r="E30" t="b">
        <v>0</v>
      </c>
      <c r="F30" t="s">
        <v>300</v>
      </c>
      <c r="G30" t="s">
        <v>138</v>
      </c>
      <c r="H30">
        <v>0.9</v>
      </c>
    </row>
    <row r="31" spans="1:8" x14ac:dyDescent="0.35">
      <c r="A31" t="s">
        <v>110</v>
      </c>
      <c r="B31">
        <v>2021</v>
      </c>
      <c r="C31" t="s">
        <v>164</v>
      </c>
      <c r="D31" t="s">
        <v>165</v>
      </c>
      <c r="E31" t="b">
        <v>0</v>
      </c>
      <c r="F31" t="s">
        <v>139</v>
      </c>
      <c r="G31" t="s">
        <v>138</v>
      </c>
      <c r="H31">
        <v>0.9</v>
      </c>
    </row>
    <row r="32" spans="1:8" x14ac:dyDescent="0.35">
      <c r="A32" t="s">
        <v>72</v>
      </c>
      <c r="B32">
        <v>2021</v>
      </c>
      <c r="C32" t="s">
        <v>73</v>
      </c>
      <c r="D32" t="s">
        <v>74</v>
      </c>
      <c r="E32" t="b">
        <v>0</v>
      </c>
      <c r="F32" t="s">
        <v>166</v>
      </c>
      <c r="G32" t="s">
        <v>138</v>
      </c>
      <c r="H32">
        <v>0.9</v>
      </c>
    </row>
    <row r="33" spans="1:8" x14ac:dyDescent="0.35">
      <c r="A33" t="s">
        <v>75</v>
      </c>
      <c r="B33">
        <v>2021</v>
      </c>
      <c r="C33" t="s">
        <v>76</v>
      </c>
      <c r="D33" t="s">
        <v>77</v>
      </c>
      <c r="E33" t="b">
        <v>0</v>
      </c>
      <c r="F33" t="s">
        <v>301</v>
      </c>
      <c r="G33" t="s">
        <v>138</v>
      </c>
      <c r="H33">
        <v>0.9</v>
      </c>
    </row>
    <row r="34" spans="1:8" x14ac:dyDescent="0.35">
      <c r="A34" t="s">
        <v>111</v>
      </c>
      <c r="B34">
        <v>2021</v>
      </c>
      <c r="C34" t="s">
        <v>112</v>
      </c>
      <c r="D34" t="s">
        <v>113</v>
      </c>
      <c r="E34" t="b">
        <v>0</v>
      </c>
      <c r="F34" t="s">
        <v>302</v>
      </c>
      <c r="G34" t="s">
        <v>138</v>
      </c>
      <c r="H34">
        <v>1</v>
      </c>
    </row>
    <row r="35" spans="1:8" x14ac:dyDescent="0.35">
      <c r="A35" t="s">
        <v>114</v>
      </c>
      <c r="B35">
        <v>2021</v>
      </c>
      <c r="C35" t="s">
        <v>115</v>
      </c>
      <c r="D35" t="s">
        <v>116</v>
      </c>
      <c r="E35" t="b">
        <v>1</v>
      </c>
      <c r="F35" t="s">
        <v>303</v>
      </c>
      <c r="G35" t="s">
        <v>167</v>
      </c>
      <c r="H35">
        <v>0.9</v>
      </c>
    </row>
    <row r="36" spans="1:8" x14ac:dyDescent="0.35">
      <c r="A36" t="s">
        <v>117</v>
      </c>
      <c r="B36">
        <v>2021</v>
      </c>
      <c r="C36" t="s">
        <v>168</v>
      </c>
      <c r="D36" t="s">
        <v>169</v>
      </c>
      <c r="E36" t="b">
        <v>0</v>
      </c>
      <c r="F36" t="s">
        <v>139</v>
      </c>
      <c r="G36" t="s">
        <v>138</v>
      </c>
      <c r="H36">
        <v>0.9</v>
      </c>
    </row>
    <row r="37" spans="1:8" x14ac:dyDescent="0.35">
      <c r="A37" t="s">
        <v>118</v>
      </c>
      <c r="B37">
        <v>2021</v>
      </c>
      <c r="C37" t="s">
        <v>119</v>
      </c>
      <c r="D37" t="s">
        <v>120</v>
      </c>
      <c r="E37" t="b">
        <v>1</v>
      </c>
      <c r="F37" t="s">
        <v>170</v>
      </c>
      <c r="G37" t="s">
        <v>152</v>
      </c>
      <c r="H37">
        <v>0.9</v>
      </c>
    </row>
    <row r="38" spans="1:8" x14ac:dyDescent="0.35">
      <c r="A38" t="s">
        <v>78</v>
      </c>
      <c r="B38">
        <v>2021</v>
      </c>
      <c r="C38" t="s">
        <v>79</v>
      </c>
      <c r="D38" t="s">
        <v>80</v>
      </c>
      <c r="E38" t="b">
        <v>0</v>
      </c>
      <c r="F38" t="s">
        <v>304</v>
      </c>
      <c r="G38" t="s">
        <v>138</v>
      </c>
      <c r="H38">
        <v>0.95</v>
      </c>
    </row>
    <row r="39" spans="1:8" x14ac:dyDescent="0.35">
      <c r="A39" t="s">
        <v>121</v>
      </c>
      <c r="B39">
        <v>2021</v>
      </c>
      <c r="C39" t="s">
        <v>122</v>
      </c>
      <c r="D39" t="s">
        <v>123</v>
      </c>
      <c r="E39" t="b">
        <v>1</v>
      </c>
      <c r="F39" t="s">
        <v>305</v>
      </c>
      <c r="G39" t="s">
        <v>152</v>
      </c>
      <c r="H39">
        <v>0.9</v>
      </c>
    </row>
    <row r="40" spans="1:8" x14ac:dyDescent="0.35">
      <c r="A40" t="s">
        <v>124</v>
      </c>
      <c r="B40">
        <v>2021</v>
      </c>
      <c r="C40" t="s">
        <v>125</v>
      </c>
      <c r="D40" t="s">
        <v>171</v>
      </c>
      <c r="E40" t="b">
        <v>0</v>
      </c>
      <c r="F40" t="s">
        <v>292</v>
      </c>
      <c r="G40" t="s">
        <v>138</v>
      </c>
      <c r="H40">
        <v>0.95</v>
      </c>
    </row>
    <row r="41" spans="1:8" x14ac:dyDescent="0.35">
      <c r="A41" t="s">
        <v>126</v>
      </c>
      <c r="B41">
        <v>2025</v>
      </c>
      <c r="C41" t="s">
        <v>127</v>
      </c>
      <c r="D41" t="s">
        <v>128</v>
      </c>
      <c r="E41" t="b">
        <v>0</v>
      </c>
      <c r="F41" t="s">
        <v>139</v>
      </c>
      <c r="G41" t="s">
        <v>138</v>
      </c>
      <c r="H41">
        <v>1</v>
      </c>
    </row>
    <row r="42" spans="1:8" x14ac:dyDescent="0.35">
      <c r="A42" t="s">
        <v>129</v>
      </c>
      <c r="B42">
        <v>2025</v>
      </c>
      <c r="C42" t="s">
        <v>130</v>
      </c>
      <c r="D42" t="s">
        <v>131</v>
      </c>
      <c r="E42" t="b">
        <v>1</v>
      </c>
      <c r="F42" t="s">
        <v>306</v>
      </c>
      <c r="G42" t="s">
        <v>152</v>
      </c>
      <c r="H42">
        <v>0.9</v>
      </c>
    </row>
    <row r="43" spans="1:8" x14ac:dyDescent="0.35">
      <c r="A43" t="s">
        <v>132</v>
      </c>
      <c r="B43">
        <v>2025</v>
      </c>
      <c r="C43" t="s">
        <v>133</v>
      </c>
      <c r="D43" t="s">
        <v>172</v>
      </c>
      <c r="E43" t="b">
        <v>0</v>
      </c>
      <c r="F43" t="s">
        <v>139</v>
      </c>
      <c r="G43" t="s">
        <v>138</v>
      </c>
      <c r="H43">
        <v>0.95</v>
      </c>
    </row>
    <row r="44" spans="1:8" x14ac:dyDescent="0.35">
      <c r="A44" t="s">
        <v>81</v>
      </c>
      <c r="B44">
        <v>2025</v>
      </c>
      <c r="C44" t="s">
        <v>82</v>
      </c>
      <c r="D44" t="s">
        <v>83</v>
      </c>
      <c r="E44" t="b">
        <v>1</v>
      </c>
      <c r="F44" t="s">
        <v>307</v>
      </c>
      <c r="G44" t="s">
        <v>167</v>
      </c>
      <c r="H44">
        <v>0.9</v>
      </c>
    </row>
    <row r="45" spans="1:8" x14ac:dyDescent="0.35">
      <c r="A45" t="s">
        <v>84</v>
      </c>
      <c r="B45">
        <v>2025</v>
      </c>
      <c r="C45" t="s">
        <v>85</v>
      </c>
      <c r="D45" t="s">
        <v>86</v>
      </c>
      <c r="E45" t="b">
        <v>0</v>
      </c>
      <c r="F45" t="s">
        <v>139</v>
      </c>
      <c r="G45" t="s">
        <v>138</v>
      </c>
      <c r="H45">
        <v>0.9</v>
      </c>
    </row>
    <row r="46" spans="1:8" x14ac:dyDescent="0.35">
      <c r="A46" t="s">
        <v>134</v>
      </c>
      <c r="B46">
        <v>2025</v>
      </c>
      <c r="C46" t="s">
        <v>135</v>
      </c>
      <c r="D46" t="s">
        <v>173</v>
      </c>
      <c r="E46" t="b">
        <v>0</v>
      </c>
      <c r="F46" t="s">
        <v>139</v>
      </c>
      <c r="G46" t="s">
        <v>138</v>
      </c>
      <c r="H46">
        <v>0.9</v>
      </c>
    </row>
    <row r="47" spans="1:8" ht="409.5" x14ac:dyDescent="0.35">
      <c r="A47" t="s">
        <v>174</v>
      </c>
      <c r="B47">
        <v>2025</v>
      </c>
      <c r="C47" t="s">
        <v>175</v>
      </c>
      <c r="D47" s="1" t="s">
        <v>176</v>
      </c>
      <c r="E47" t="b">
        <v>0</v>
      </c>
      <c r="F47" t="s">
        <v>308</v>
      </c>
      <c r="G47" t="s">
        <v>138</v>
      </c>
      <c r="H47">
        <v>0.9</v>
      </c>
    </row>
    <row r="48" spans="1:8" x14ac:dyDescent="0.35">
      <c r="A48" t="s">
        <v>177</v>
      </c>
      <c r="B48">
        <v>2025</v>
      </c>
      <c r="C48" t="s">
        <v>178</v>
      </c>
      <c r="D48" t="s">
        <v>179</v>
      </c>
      <c r="E48" t="b">
        <v>0</v>
      </c>
      <c r="F48" t="s">
        <v>139</v>
      </c>
      <c r="G48" t="s">
        <v>138</v>
      </c>
      <c r="H48">
        <v>0.9</v>
      </c>
    </row>
    <row r="49" spans="1:8" x14ac:dyDescent="0.35">
      <c r="A49" t="s">
        <v>180</v>
      </c>
      <c r="B49">
        <v>2025</v>
      </c>
      <c r="C49" t="s">
        <v>181</v>
      </c>
      <c r="D49" t="s">
        <v>182</v>
      </c>
      <c r="E49" t="b">
        <v>0</v>
      </c>
      <c r="F49" t="s">
        <v>309</v>
      </c>
      <c r="G49" t="s">
        <v>138</v>
      </c>
      <c r="H49">
        <v>0.9</v>
      </c>
    </row>
    <row r="50" spans="1:8" x14ac:dyDescent="0.35">
      <c r="A50" t="s">
        <v>183</v>
      </c>
      <c r="B50">
        <v>2025</v>
      </c>
      <c r="C50" t="s">
        <v>184</v>
      </c>
      <c r="D50" t="s">
        <v>185</v>
      </c>
      <c r="E50" t="b">
        <v>0</v>
      </c>
      <c r="F50" t="s">
        <v>310</v>
      </c>
      <c r="G50" t="s">
        <v>138</v>
      </c>
      <c r="H50">
        <v>0.8</v>
      </c>
    </row>
    <row r="51" spans="1:8" x14ac:dyDescent="0.35">
      <c r="A51" t="s">
        <v>186</v>
      </c>
      <c r="B51">
        <v>2025</v>
      </c>
      <c r="C51" t="s">
        <v>187</v>
      </c>
      <c r="D51" t="s">
        <v>188</v>
      </c>
      <c r="E51" t="b">
        <v>0</v>
      </c>
      <c r="F51" t="s">
        <v>139</v>
      </c>
      <c r="G51" t="s">
        <v>138</v>
      </c>
      <c r="H51">
        <v>0.9</v>
      </c>
    </row>
    <row r="52" spans="1:8" x14ac:dyDescent="0.35">
      <c r="A52" t="s">
        <v>189</v>
      </c>
      <c r="B52">
        <v>2025</v>
      </c>
      <c r="C52" t="s">
        <v>190</v>
      </c>
      <c r="D52" t="s">
        <v>191</v>
      </c>
      <c r="E52" t="b">
        <v>0</v>
      </c>
      <c r="F52" t="s">
        <v>139</v>
      </c>
      <c r="G52" t="s">
        <v>138</v>
      </c>
      <c r="H52">
        <v>0.9</v>
      </c>
    </row>
    <row r="53" spans="1:8" x14ac:dyDescent="0.35">
      <c r="A53" t="s">
        <v>192</v>
      </c>
      <c r="B53">
        <v>2025</v>
      </c>
      <c r="C53" t="s">
        <v>193</v>
      </c>
      <c r="D53" t="s">
        <v>194</v>
      </c>
      <c r="E53" t="b">
        <v>1</v>
      </c>
      <c r="F53" t="s">
        <v>195</v>
      </c>
      <c r="G53" t="s">
        <v>152</v>
      </c>
      <c r="H53">
        <v>0.8</v>
      </c>
    </row>
    <row r="54" spans="1:8" x14ac:dyDescent="0.35">
      <c r="A54" t="s">
        <v>196</v>
      </c>
      <c r="B54">
        <v>2025</v>
      </c>
      <c r="C54" t="s">
        <v>197</v>
      </c>
      <c r="D54" t="s">
        <v>198</v>
      </c>
      <c r="E54" t="b">
        <v>1</v>
      </c>
      <c r="F54" t="s">
        <v>311</v>
      </c>
      <c r="G54" t="s">
        <v>145</v>
      </c>
      <c r="H54">
        <v>0.9</v>
      </c>
    </row>
    <row r="55" spans="1:8" x14ac:dyDescent="0.35">
      <c r="A55" t="s">
        <v>199</v>
      </c>
      <c r="B55">
        <v>2025</v>
      </c>
      <c r="C55" t="s">
        <v>200</v>
      </c>
      <c r="D55" t="s">
        <v>201</v>
      </c>
      <c r="E55" t="b">
        <v>0</v>
      </c>
      <c r="F55" t="s">
        <v>139</v>
      </c>
      <c r="G55" t="s">
        <v>138</v>
      </c>
      <c r="H55">
        <v>0.9</v>
      </c>
    </row>
    <row r="56" spans="1:8" ht="409.5" x14ac:dyDescent="0.35">
      <c r="A56" t="s">
        <v>202</v>
      </c>
      <c r="B56">
        <v>2025</v>
      </c>
      <c r="C56" t="s">
        <v>203</v>
      </c>
      <c r="D56" s="1" t="s">
        <v>204</v>
      </c>
      <c r="E56" t="b">
        <v>0</v>
      </c>
      <c r="F56" t="s">
        <v>238</v>
      </c>
      <c r="G56" t="s">
        <v>138</v>
      </c>
      <c r="H56">
        <v>0.9</v>
      </c>
    </row>
    <row r="57" spans="1:8" x14ac:dyDescent="0.35">
      <c r="A57" t="s">
        <v>205</v>
      </c>
      <c r="B57">
        <v>2025</v>
      </c>
      <c r="C57" t="s">
        <v>206</v>
      </c>
      <c r="D57" t="s">
        <v>207</v>
      </c>
      <c r="E57" t="b">
        <v>1</v>
      </c>
      <c r="F57" t="s">
        <v>312</v>
      </c>
      <c r="G57" t="s">
        <v>313</v>
      </c>
      <c r="H57">
        <v>0.9</v>
      </c>
    </row>
    <row r="58" spans="1:8" x14ac:dyDescent="0.35">
      <c r="A58" t="s">
        <v>208</v>
      </c>
      <c r="B58">
        <v>2025</v>
      </c>
      <c r="C58" t="s">
        <v>209</v>
      </c>
      <c r="D58" t="s">
        <v>210</v>
      </c>
      <c r="E58" t="b">
        <v>0</v>
      </c>
      <c r="F58" t="s">
        <v>292</v>
      </c>
      <c r="G58" t="s">
        <v>138</v>
      </c>
      <c r="H58">
        <v>0.95</v>
      </c>
    </row>
    <row r="59" spans="1:8" x14ac:dyDescent="0.35">
      <c r="A59" t="s">
        <v>211</v>
      </c>
      <c r="B59">
        <v>2025</v>
      </c>
      <c r="C59" t="s">
        <v>212</v>
      </c>
      <c r="D59" t="s">
        <v>213</v>
      </c>
      <c r="E59" t="b">
        <v>0</v>
      </c>
      <c r="F59" t="s">
        <v>296</v>
      </c>
      <c r="G59" t="s">
        <v>138</v>
      </c>
      <c r="H59">
        <v>0.9</v>
      </c>
    </row>
    <row r="60" spans="1:8" x14ac:dyDescent="0.35">
      <c r="A60" t="s">
        <v>214</v>
      </c>
      <c r="B60">
        <v>2025</v>
      </c>
      <c r="C60" t="s">
        <v>215</v>
      </c>
      <c r="D60" t="s">
        <v>216</v>
      </c>
      <c r="E60" t="b">
        <v>1</v>
      </c>
      <c r="F60" t="s">
        <v>314</v>
      </c>
      <c r="G60" t="s">
        <v>145</v>
      </c>
      <c r="H60">
        <v>0.9</v>
      </c>
    </row>
    <row r="61" spans="1:8" x14ac:dyDescent="0.35">
      <c r="A61" t="s">
        <v>217</v>
      </c>
      <c r="B61">
        <v>2020</v>
      </c>
      <c r="C61" t="s">
        <v>218</v>
      </c>
      <c r="D61" t="s">
        <v>219</v>
      </c>
      <c r="E61" t="b">
        <v>0</v>
      </c>
      <c r="F61" t="s">
        <v>296</v>
      </c>
      <c r="G61" t="s">
        <v>138</v>
      </c>
      <c r="H61">
        <v>0.95</v>
      </c>
    </row>
    <row r="62" spans="1:8" x14ac:dyDescent="0.35">
      <c r="A62" t="s">
        <v>220</v>
      </c>
      <c r="B62">
        <v>2020</v>
      </c>
      <c r="C62" t="s">
        <v>221</v>
      </c>
      <c r="D62" t="s">
        <v>222</v>
      </c>
      <c r="E62" t="b">
        <v>0</v>
      </c>
      <c r="F62" t="s">
        <v>139</v>
      </c>
      <c r="G62" t="s">
        <v>138</v>
      </c>
      <c r="H62">
        <v>0.9</v>
      </c>
    </row>
    <row r="63" spans="1:8" x14ac:dyDescent="0.35">
      <c r="A63" t="s">
        <v>223</v>
      </c>
      <c r="B63">
        <v>2020</v>
      </c>
      <c r="C63" t="s">
        <v>224</v>
      </c>
      <c r="D63" t="s">
        <v>225</v>
      </c>
      <c r="E63" t="b">
        <v>0</v>
      </c>
      <c r="F63" t="s">
        <v>139</v>
      </c>
      <c r="G63" t="s">
        <v>138</v>
      </c>
      <c r="H63">
        <v>0.9</v>
      </c>
    </row>
    <row r="64" spans="1:8" x14ac:dyDescent="0.35">
      <c r="A64" t="s">
        <v>226</v>
      </c>
      <c r="B64">
        <v>2020</v>
      </c>
      <c r="C64" t="s">
        <v>227</v>
      </c>
      <c r="D64" t="s">
        <v>228</v>
      </c>
      <c r="E64" t="b">
        <v>0</v>
      </c>
      <c r="F64" t="s">
        <v>315</v>
      </c>
      <c r="G64" t="s">
        <v>138</v>
      </c>
      <c r="H64">
        <v>0.9</v>
      </c>
    </row>
    <row r="65" spans="1:8" x14ac:dyDescent="0.35">
      <c r="A65" t="s">
        <v>229</v>
      </c>
      <c r="B65">
        <v>2020</v>
      </c>
      <c r="C65" t="s">
        <v>230</v>
      </c>
      <c r="D65" t="s">
        <v>231</v>
      </c>
      <c r="E65" t="b">
        <v>0</v>
      </c>
      <c r="F65" t="s">
        <v>139</v>
      </c>
      <c r="G65" t="s">
        <v>138</v>
      </c>
      <c r="H65">
        <v>0.9</v>
      </c>
    </row>
    <row r="66" spans="1:8" ht="409.5" x14ac:dyDescent="0.35">
      <c r="A66" t="s">
        <v>232</v>
      </c>
      <c r="B66">
        <v>2022</v>
      </c>
      <c r="C66" t="s">
        <v>233</v>
      </c>
      <c r="D66" s="1" t="s">
        <v>234</v>
      </c>
      <c r="E66" t="b">
        <v>0</v>
      </c>
      <c r="F66" t="s">
        <v>139</v>
      </c>
      <c r="G66" t="s">
        <v>138</v>
      </c>
      <c r="H66">
        <v>0.9</v>
      </c>
    </row>
    <row r="67" spans="1:8" x14ac:dyDescent="0.35">
      <c r="A67" t="s">
        <v>235</v>
      </c>
      <c r="B67">
        <v>2022</v>
      </c>
      <c r="C67" t="s">
        <v>236</v>
      </c>
      <c r="D67" t="s">
        <v>237</v>
      </c>
      <c r="E67" t="b">
        <v>0</v>
      </c>
      <c r="F67" t="s">
        <v>238</v>
      </c>
      <c r="G67" t="s">
        <v>138</v>
      </c>
      <c r="H67">
        <v>0.9</v>
      </c>
    </row>
    <row r="68" spans="1:8" x14ac:dyDescent="0.35">
      <c r="A68" t="s">
        <v>239</v>
      </c>
      <c r="B68">
        <v>2022</v>
      </c>
      <c r="C68" t="s">
        <v>240</v>
      </c>
      <c r="D68" t="s">
        <v>241</v>
      </c>
      <c r="E68" t="b">
        <v>0</v>
      </c>
      <c r="F68" t="s">
        <v>291</v>
      </c>
      <c r="G68" t="s">
        <v>138</v>
      </c>
      <c r="H68">
        <v>0.95</v>
      </c>
    </row>
    <row r="69" spans="1:8" x14ac:dyDescent="0.35">
      <c r="A69" t="s">
        <v>242</v>
      </c>
      <c r="B69">
        <v>2022</v>
      </c>
      <c r="C69" t="s">
        <v>243</v>
      </c>
      <c r="D69" t="s">
        <v>244</v>
      </c>
      <c r="E69" t="b">
        <v>1</v>
      </c>
      <c r="F69" t="s">
        <v>245</v>
      </c>
      <c r="G69" t="s">
        <v>167</v>
      </c>
      <c r="H69">
        <v>0.9</v>
      </c>
    </row>
    <row r="70" spans="1:8" x14ac:dyDescent="0.35">
      <c r="A70" t="s">
        <v>246</v>
      </c>
      <c r="B70">
        <v>2022</v>
      </c>
      <c r="C70" t="s">
        <v>247</v>
      </c>
      <c r="D70" t="s">
        <v>248</v>
      </c>
      <c r="E70" t="b">
        <v>0</v>
      </c>
      <c r="F70" t="s">
        <v>296</v>
      </c>
      <c r="G70" t="s">
        <v>138</v>
      </c>
      <c r="H70">
        <v>0.9</v>
      </c>
    </row>
    <row r="71" spans="1:8" x14ac:dyDescent="0.35">
      <c r="A71" t="s">
        <v>249</v>
      </c>
      <c r="B71">
        <v>2022</v>
      </c>
      <c r="C71" t="s">
        <v>250</v>
      </c>
      <c r="D71" t="s">
        <v>251</v>
      </c>
      <c r="E71" t="b">
        <v>0</v>
      </c>
      <c r="F71" t="s">
        <v>296</v>
      </c>
      <c r="G71" t="s">
        <v>138</v>
      </c>
      <c r="H71">
        <v>0.9</v>
      </c>
    </row>
    <row r="72" spans="1:8" x14ac:dyDescent="0.35">
      <c r="A72" t="s">
        <v>252</v>
      </c>
      <c r="B72">
        <v>2022</v>
      </c>
      <c r="C72" t="s">
        <v>253</v>
      </c>
      <c r="D72" t="s">
        <v>254</v>
      </c>
      <c r="E72" t="b">
        <v>0</v>
      </c>
      <c r="F72" t="s">
        <v>316</v>
      </c>
      <c r="G72" t="s">
        <v>138</v>
      </c>
      <c r="H72">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72"/>
  <sheetViews>
    <sheetView workbookViewId="0">
      <selection sqref="A1:A1048576"/>
    </sheetView>
  </sheetViews>
  <sheetFormatPr defaultRowHeight="14.5" x14ac:dyDescent="0.35"/>
  <sheetData>
    <row r="1" spans="1:1" x14ac:dyDescent="0.35">
      <c r="A1" t="s">
        <v>0</v>
      </c>
    </row>
    <row r="2" spans="1:1" x14ac:dyDescent="0.35">
      <c r="A2" t="s">
        <v>4</v>
      </c>
    </row>
    <row r="3" spans="1:1" x14ac:dyDescent="0.35">
      <c r="A3" t="s">
        <v>6</v>
      </c>
    </row>
    <row r="4" spans="1:1" x14ac:dyDescent="0.35">
      <c r="A4" t="s">
        <v>8</v>
      </c>
    </row>
    <row r="5" spans="1:1" x14ac:dyDescent="0.35">
      <c r="A5" t="s">
        <v>10</v>
      </c>
    </row>
    <row r="6" spans="1:1" x14ac:dyDescent="0.35">
      <c r="A6" t="s">
        <v>12</v>
      </c>
    </row>
    <row r="7" spans="1:1" x14ac:dyDescent="0.35">
      <c r="A7" t="s">
        <v>14</v>
      </c>
    </row>
    <row r="8" spans="1:1" x14ac:dyDescent="0.35">
      <c r="A8" t="s">
        <v>15</v>
      </c>
    </row>
    <row r="9" spans="1:1" x14ac:dyDescent="0.35">
      <c r="A9" t="s">
        <v>16</v>
      </c>
    </row>
    <row r="10" spans="1:1" x14ac:dyDescent="0.35">
      <c r="A10" t="s">
        <v>18</v>
      </c>
    </row>
    <row r="11" spans="1:1" x14ac:dyDescent="0.35">
      <c r="A11" t="s">
        <v>20</v>
      </c>
    </row>
    <row r="12" spans="1:1" x14ac:dyDescent="0.35">
      <c r="A12" t="s">
        <v>23</v>
      </c>
    </row>
    <row r="13" spans="1:1" x14ac:dyDescent="0.35">
      <c r="A13" t="s">
        <v>26</v>
      </c>
    </row>
    <row r="14" spans="1:1" x14ac:dyDescent="0.35">
      <c r="A14" t="s">
        <v>29</v>
      </c>
    </row>
    <row r="15" spans="1:1" x14ac:dyDescent="0.35">
      <c r="A15" t="s">
        <v>87</v>
      </c>
    </row>
    <row r="16" spans="1:1" x14ac:dyDescent="0.35">
      <c r="A16" t="s">
        <v>54</v>
      </c>
    </row>
    <row r="17" spans="1:1" x14ac:dyDescent="0.35">
      <c r="A17" t="s">
        <v>90</v>
      </c>
    </row>
    <row r="18" spans="1:1" x14ac:dyDescent="0.35">
      <c r="A18" t="s">
        <v>92</v>
      </c>
    </row>
    <row r="19" spans="1:1" x14ac:dyDescent="0.35">
      <c r="A19" t="s">
        <v>95</v>
      </c>
    </row>
    <row r="20" spans="1:1" x14ac:dyDescent="0.35">
      <c r="A20" t="s">
        <v>97</v>
      </c>
    </row>
    <row r="21" spans="1:1" x14ac:dyDescent="0.35">
      <c r="A21" t="s">
        <v>57</v>
      </c>
    </row>
    <row r="22" spans="1:1" x14ac:dyDescent="0.35">
      <c r="A22" t="s">
        <v>60</v>
      </c>
    </row>
    <row r="23" spans="1:1" x14ac:dyDescent="0.35">
      <c r="A23" t="s">
        <v>63</v>
      </c>
    </row>
    <row r="24" spans="1:1" x14ac:dyDescent="0.35">
      <c r="A24" t="s">
        <v>66</v>
      </c>
    </row>
    <row r="25" spans="1:1" x14ac:dyDescent="0.35">
      <c r="A25" t="s">
        <v>99</v>
      </c>
    </row>
    <row r="26" spans="1:1" x14ac:dyDescent="0.35">
      <c r="A26" t="s">
        <v>69</v>
      </c>
    </row>
    <row r="27" spans="1:1" x14ac:dyDescent="0.35">
      <c r="A27" t="s">
        <v>101</v>
      </c>
    </row>
    <row r="28" spans="1:1" x14ac:dyDescent="0.35">
      <c r="A28" t="s">
        <v>104</v>
      </c>
    </row>
    <row r="29" spans="1:1" x14ac:dyDescent="0.35">
      <c r="A29" t="s">
        <v>106</v>
      </c>
    </row>
    <row r="30" spans="1:1" x14ac:dyDescent="0.35">
      <c r="A30" t="s">
        <v>109</v>
      </c>
    </row>
    <row r="31" spans="1:1" x14ac:dyDescent="0.35">
      <c r="A31" t="s">
        <v>110</v>
      </c>
    </row>
    <row r="32" spans="1:1" x14ac:dyDescent="0.35">
      <c r="A32" t="s">
        <v>72</v>
      </c>
    </row>
    <row r="33" spans="1:1" x14ac:dyDescent="0.35">
      <c r="A33" t="s">
        <v>75</v>
      </c>
    </row>
    <row r="34" spans="1:1" x14ac:dyDescent="0.35">
      <c r="A34" t="s">
        <v>111</v>
      </c>
    </row>
    <row r="35" spans="1:1" x14ac:dyDescent="0.35">
      <c r="A35" t="s">
        <v>114</v>
      </c>
    </row>
    <row r="36" spans="1:1" x14ac:dyDescent="0.35">
      <c r="A36" t="s">
        <v>117</v>
      </c>
    </row>
    <row r="37" spans="1:1" x14ac:dyDescent="0.35">
      <c r="A37" t="s">
        <v>118</v>
      </c>
    </row>
    <row r="38" spans="1:1" x14ac:dyDescent="0.35">
      <c r="A38" t="s">
        <v>78</v>
      </c>
    </row>
    <row r="39" spans="1:1" x14ac:dyDescent="0.35">
      <c r="A39" t="s">
        <v>121</v>
      </c>
    </row>
    <row r="40" spans="1:1" x14ac:dyDescent="0.35">
      <c r="A40" t="s">
        <v>124</v>
      </c>
    </row>
    <row r="41" spans="1:1" x14ac:dyDescent="0.35">
      <c r="A41" t="s">
        <v>126</v>
      </c>
    </row>
    <row r="42" spans="1:1" x14ac:dyDescent="0.35">
      <c r="A42" t="s">
        <v>129</v>
      </c>
    </row>
    <row r="43" spans="1:1" x14ac:dyDescent="0.35">
      <c r="A43" t="s">
        <v>132</v>
      </c>
    </row>
    <row r="44" spans="1:1" x14ac:dyDescent="0.35">
      <c r="A44" t="s">
        <v>81</v>
      </c>
    </row>
    <row r="45" spans="1:1" x14ac:dyDescent="0.35">
      <c r="A45" t="s">
        <v>84</v>
      </c>
    </row>
    <row r="46" spans="1:1" x14ac:dyDescent="0.35">
      <c r="A46" t="s">
        <v>134</v>
      </c>
    </row>
    <row r="47" spans="1:1" x14ac:dyDescent="0.35">
      <c r="A47" t="s">
        <v>174</v>
      </c>
    </row>
    <row r="48" spans="1:1" x14ac:dyDescent="0.35">
      <c r="A48" t="s">
        <v>177</v>
      </c>
    </row>
    <row r="49" spans="1:1" x14ac:dyDescent="0.35">
      <c r="A49" t="s">
        <v>180</v>
      </c>
    </row>
    <row r="50" spans="1:1" x14ac:dyDescent="0.35">
      <c r="A50" t="s">
        <v>183</v>
      </c>
    </row>
    <row r="51" spans="1:1" x14ac:dyDescent="0.35">
      <c r="A51" t="s">
        <v>186</v>
      </c>
    </row>
    <row r="52" spans="1:1" x14ac:dyDescent="0.35">
      <c r="A52" t="s">
        <v>189</v>
      </c>
    </row>
    <row r="53" spans="1:1" x14ac:dyDescent="0.35">
      <c r="A53" t="s">
        <v>192</v>
      </c>
    </row>
    <row r="54" spans="1:1" x14ac:dyDescent="0.35">
      <c r="A54" t="s">
        <v>196</v>
      </c>
    </row>
    <row r="55" spans="1:1" x14ac:dyDescent="0.35">
      <c r="A55" t="s">
        <v>199</v>
      </c>
    </row>
    <row r="56" spans="1:1" x14ac:dyDescent="0.35">
      <c r="A56" t="s">
        <v>202</v>
      </c>
    </row>
    <row r="57" spans="1:1" x14ac:dyDescent="0.35">
      <c r="A57" t="s">
        <v>205</v>
      </c>
    </row>
    <row r="58" spans="1:1" x14ac:dyDescent="0.35">
      <c r="A58" t="s">
        <v>208</v>
      </c>
    </row>
    <row r="59" spans="1:1" x14ac:dyDescent="0.35">
      <c r="A59" t="s">
        <v>211</v>
      </c>
    </row>
    <row r="60" spans="1:1" x14ac:dyDescent="0.35">
      <c r="A60" t="s">
        <v>214</v>
      </c>
    </row>
    <row r="61" spans="1:1" x14ac:dyDescent="0.35">
      <c r="A61" t="s">
        <v>217</v>
      </c>
    </row>
    <row r="62" spans="1:1" x14ac:dyDescent="0.35">
      <c r="A62" t="s">
        <v>220</v>
      </c>
    </row>
    <row r="63" spans="1:1" x14ac:dyDescent="0.35">
      <c r="A63" t="s">
        <v>223</v>
      </c>
    </row>
    <row r="64" spans="1:1" x14ac:dyDescent="0.35">
      <c r="A64" t="s">
        <v>226</v>
      </c>
    </row>
    <row r="65" spans="1:1" x14ac:dyDescent="0.35">
      <c r="A65" t="s">
        <v>229</v>
      </c>
    </row>
    <row r="66" spans="1:1" x14ac:dyDescent="0.35">
      <c r="A66" t="s">
        <v>232</v>
      </c>
    </row>
    <row r="67" spans="1:1" x14ac:dyDescent="0.35">
      <c r="A67" t="s">
        <v>235</v>
      </c>
    </row>
    <row r="68" spans="1:1" x14ac:dyDescent="0.35">
      <c r="A68" t="s">
        <v>239</v>
      </c>
    </row>
    <row r="69" spans="1:1" x14ac:dyDescent="0.35">
      <c r="A69" t="s">
        <v>242</v>
      </c>
    </row>
    <row r="70" spans="1:1" x14ac:dyDescent="0.35">
      <c r="A70" t="s">
        <v>246</v>
      </c>
    </row>
    <row r="71" spans="1:1" x14ac:dyDescent="0.35">
      <c r="A71" t="s">
        <v>249</v>
      </c>
    </row>
    <row r="72" spans="1:1" x14ac:dyDescent="0.35">
      <c r="A72"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A747-4A74-4E3D-B58F-A6AF04ACC87D}">
  <dimension ref="A1:G72"/>
  <sheetViews>
    <sheetView workbookViewId="0">
      <selection activeCell="E1" sqref="E1:G1048576"/>
    </sheetView>
  </sheetViews>
  <sheetFormatPr defaultRowHeight="14.5" x14ac:dyDescent="0.35"/>
  <sheetData>
    <row r="1" spans="1:7" x14ac:dyDescent="0.35">
      <c r="A1" t="s">
        <v>0</v>
      </c>
      <c r="B1" t="s">
        <v>1</v>
      </c>
      <c r="C1" t="s">
        <v>2</v>
      </c>
      <c r="D1" t="s">
        <v>3</v>
      </c>
      <c r="E1" s="8" t="s">
        <v>317</v>
      </c>
      <c r="F1" s="8" t="s">
        <v>255</v>
      </c>
      <c r="G1" t="s">
        <v>287</v>
      </c>
    </row>
    <row r="2" spans="1:7" x14ac:dyDescent="0.35">
      <c r="A2" t="s">
        <v>4</v>
      </c>
      <c r="B2">
        <v>2019</v>
      </c>
      <c r="C2" t="s">
        <v>5</v>
      </c>
      <c r="D2" t="s">
        <v>137</v>
      </c>
      <c r="E2" s="5" t="s">
        <v>318</v>
      </c>
      <c r="F2" s="5" t="s">
        <v>319</v>
      </c>
      <c r="G2" t="b">
        <f>IF(E2="EXCLUDE",FALSE,TRUE)</f>
        <v>0</v>
      </c>
    </row>
    <row r="3" spans="1:7" x14ac:dyDescent="0.35">
      <c r="A3" t="s">
        <v>6</v>
      </c>
      <c r="B3">
        <v>2019</v>
      </c>
      <c r="C3" t="s">
        <v>7</v>
      </c>
      <c r="D3" t="s">
        <v>51</v>
      </c>
      <c r="E3" s="5" t="s">
        <v>318</v>
      </c>
      <c r="F3" s="5" t="s">
        <v>319</v>
      </c>
      <c r="G3" t="b">
        <f t="shared" ref="G3:G66" si="0">IF(E3="EXCLUDE",FALSE,TRUE)</f>
        <v>0</v>
      </c>
    </row>
    <row r="4" spans="1:7" x14ac:dyDescent="0.35">
      <c r="A4" t="s">
        <v>8</v>
      </c>
      <c r="B4">
        <v>2019</v>
      </c>
      <c r="C4" t="s">
        <v>9</v>
      </c>
      <c r="D4" t="s">
        <v>140</v>
      </c>
      <c r="E4" s="5" t="s">
        <v>318</v>
      </c>
      <c r="F4" s="5" t="s">
        <v>319</v>
      </c>
      <c r="G4" t="b">
        <f t="shared" si="0"/>
        <v>0</v>
      </c>
    </row>
    <row r="5" spans="1:7" x14ac:dyDescent="0.35">
      <c r="A5" t="s">
        <v>10</v>
      </c>
      <c r="B5">
        <v>2019</v>
      </c>
      <c r="C5" t="s">
        <v>11</v>
      </c>
      <c r="D5" t="s">
        <v>142</v>
      </c>
      <c r="E5" s="5" t="s">
        <v>318</v>
      </c>
      <c r="F5" s="5" t="s">
        <v>319</v>
      </c>
      <c r="G5" t="b">
        <f t="shared" si="0"/>
        <v>0</v>
      </c>
    </row>
    <row r="6" spans="1:7" x14ac:dyDescent="0.35">
      <c r="A6" t="s">
        <v>12</v>
      </c>
      <c r="B6">
        <v>2019</v>
      </c>
      <c r="C6" t="s">
        <v>13</v>
      </c>
      <c r="D6" t="s">
        <v>143</v>
      </c>
      <c r="E6" s="5" t="s">
        <v>320</v>
      </c>
      <c r="F6" s="5" t="s">
        <v>321</v>
      </c>
      <c r="G6" t="b">
        <f t="shared" si="0"/>
        <v>1</v>
      </c>
    </row>
    <row r="7" spans="1:7" x14ac:dyDescent="0.35">
      <c r="A7" t="s">
        <v>14</v>
      </c>
      <c r="B7">
        <v>2019</v>
      </c>
      <c r="C7" t="s">
        <v>146</v>
      </c>
      <c r="D7" t="s">
        <v>147</v>
      </c>
      <c r="E7" s="5" t="s">
        <v>318</v>
      </c>
      <c r="F7" s="5" t="s">
        <v>319</v>
      </c>
      <c r="G7" t="b">
        <f t="shared" si="0"/>
        <v>0</v>
      </c>
    </row>
    <row r="8" spans="1:7" x14ac:dyDescent="0.35">
      <c r="A8" t="s">
        <v>15</v>
      </c>
      <c r="B8">
        <v>2019</v>
      </c>
      <c r="C8" t="s">
        <v>148</v>
      </c>
      <c r="D8" t="s">
        <v>149</v>
      </c>
      <c r="E8" s="5" t="s">
        <v>318</v>
      </c>
      <c r="F8" s="5" t="s">
        <v>319</v>
      </c>
      <c r="G8" t="b">
        <f t="shared" si="0"/>
        <v>0</v>
      </c>
    </row>
    <row r="9" spans="1:7" x14ac:dyDescent="0.35">
      <c r="A9" t="s">
        <v>16</v>
      </c>
      <c r="B9">
        <v>2019</v>
      </c>
      <c r="C9" t="s">
        <v>17</v>
      </c>
      <c r="D9" t="s">
        <v>52</v>
      </c>
      <c r="E9" s="5" t="s">
        <v>318</v>
      </c>
      <c r="F9" s="5" t="s">
        <v>319</v>
      </c>
      <c r="G9" t="b">
        <f t="shared" si="0"/>
        <v>0</v>
      </c>
    </row>
    <row r="10" spans="1:7" x14ac:dyDescent="0.35">
      <c r="A10" t="s">
        <v>18</v>
      </c>
      <c r="B10">
        <v>2019</v>
      </c>
      <c r="C10" t="s">
        <v>19</v>
      </c>
      <c r="D10" t="s">
        <v>150</v>
      </c>
      <c r="E10" s="5" t="s">
        <v>318</v>
      </c>
      <c r="F10" s="5" t="s">
        <v>322</v>
      </c>
      <c r="G10" t="b">
        <f t="shared" si="0"/>
        <v>0</v>
      </c>
    </row>
    <row r="11" spans="1:7" x14ac:dyDescent="0.35">
      <c r="A11" t="s">
        <v>20</v>
      </c>
      <c r="B11">
        <v>2019</v>
      </c>
      <c r="C11" t="s">
        <v>21</v>
      </c>
      <c r="D11" t="s">
        <v>22</v>
      </c>
      <c r="E11" s="5" t="s">
        <v>318</v>
      </c>
      <c r="F11" s="5" t="s">
        <v>319</v>
      </c>
      <c r="G11" t="b">
        <f t="shared" si="0"/>
        <v>0</v>
      </c>
    </row>
    <row r="12" spans="1:7" x14ac:dyDescent="0.35">
      <c r="A12" t="s">
        <v>23</v>
      </c>
      <c r="B12">
        <v>2019</v>
      </c>
      <c r="C12" t="s">
        <v>24</v>
      </c>
      <c r="D12" t="s">
        <v>25</v>
      </c>
      <c r="E12" s="5" t="s">
        <v>320</v>
      </c>
      <c r="F12" s="5" t="s">
        <v>323</v>
      </c>
      <c r="G12" t="b">
        <f t="shared" si="0"/>
        <v>1</v>
      </c>
    </row>
    <row r="13" spans="1:7" x14ac:dyDescent="0.35">
      <c r="A13" t="s">
        <v>26</v>
      </c>
      <c r="B13">
        <v>2019</v>
      </c>
      <c r="C13" t="s">
        <v>27</v>
      </c>
      <c r="D13" t="s">
        <v>28</v>
      </c>
      <c r="E13" s="5" t="s">
        <v>320</v>
      </c>
      <c r="F13" s="6" t="s">
        <v>324</v>
      </c>
      <c r="G13" t="b">
        <f t="shared" si="0"/>
        <v>1</v>
      </c>
    </row>
    <row r="14" spans="1:7" x14ac:dyDescent="0.35">
      <c r="A14" t="s">
        <v>29</v>
      </c>
      <c r="B14">
        <v>2019</v>
      </c>
      <c r="C14" t="s">
        <v>30</v>
      </c>
      <c r="D14" t="s">
        <v>31</v>
      </c>
      <c r="E14" s="5" t="s">
        <v>320</v>
      </c>
      <c r="F14" s="6" t="s">
        <v>325</v>
      </c>
      <c r="G14" t="b">
        <f t="shared" si="0"/>
        <v>1</v>
      </c>
    </row>
    <row r="15" spans="1:7" x14ac:dyDescent="0.35">
      <c r="A15" t="s">
        <v>87</v>
      </c>
      <c r="B15">
        <v>2019</v>
      </c>
      <c r="C15" t="s">
        <v>88</v>
      </c>
      <c r="D15" t="s">
        <v>89</v>
      </c>
      <c r="E15" s="5" t="s">
        <v>320</v>
      </c>
      <c r="F15" s="6" t="s">
        <v>326</v>
      </c>
      <c r="G15" t="b">
        <f t="shared" si="0"/>
        <v>1</v>
      </c>
    </row>
    <row r="16" spans="1:7" x14ac:dyDescent="0.35">
      <c r="A16" t="s">
        <v>54</v>
      </c>
      <c r="B16">
        <v>2019</v>
      </c>
      <c r="C16" t="s">
        <v>55</v>
      </c>
      <c r="D16" t="s">
        <v>56</v>
      </c>
      <c r="E16" s="5" t="s">
        <v>318</v>
      </c>
      <c r="F16" s="5" t="s">
        <v>319</v>
      </c>
      <c r="G16" t="b">
        <f t="shared" si="0"/>
        <v>0</v>
      </c>
    </row>
    <row r="17" spans="1:7" x14ac:dyDescent="0.35">
      <c r="A17" t="s">
        <v>90</v>
      </c>
      <c r="B17">
        <v>2019</v>
      </c>
      <c r="C17" t="s">
        <v>91</v>
      </c>
      <c r="D17" t="s">
        <v>153</v>
      </c>
      <c r="E17" s="5" t="s">
        <v>318</v>
      </c>
      <c r="F17" s="5" t="s">
        <v>327</v>
      </c>
      <c r="G17" t="b">
        <f t="shared" si="0"/>
        <v>0</v>
      </c>
    </row>
    <row r="18" spans="1:7" x14ac:dyDescent="0.35">
      <c r="A18" t="s">
        <v>92</v>
      </c>
      <c r="B18">
        <v>2019</v>
      </c>
      <c r="C18" t="s">
        <v>93</v>
      </c>
      <c r="D18" t="s">
        <v>94</v>
      </c>
      <c r="E18" s="5" t="s">
        <v>320</v>
      </c>
      <c r="F18" s="6" t="s">
        <v>328</v>
      </c>
      <c r="G18" t="b">
        <f t="shared" si="0"/>
        <v>1</v>
      </c>
    </row>
    <row r="19" spans="1:7" x14ac:dyDescent="0.35">
      <c r="A19" t="s">
        <v>95</v>
      </c>
      <c r="B19">
        <v>2019</v>
      </c>
      <c r="C19" t="s">
        <v>96</v>
      </c>
      <c r="D19" t="s">
        <v>156</v>
      </c>
      <c r="E19" s="5" t="s">
        <v>318</v>
      </c>
      <c r="F19" s="5" t="s">
        <v>319</v>
      </c>
      <c r="G19" t="b">
        <f t="shared" si="0"/>
        <v>0</v>
      </c>
    </row>
    <row r="20" spans="1:7" x14ac:dyDescent="0.35">
      <c r="A20" t="s">
        <v>97</v>
      </c>
      <c r="B20">
        <v>2019</v>
      </c>
      <c r="C20" t="s">
        <v>98</v>
      </c>
      <c r="D20" t="s">
        <v>157</v>
      </c>
      <c r="E20" s="5" t="s">
        <v>318</v>
      </c>
      <c r="F20" s="5" t="s">
        <v>319</v>
      </c>
      <c r="G20" t="b">
        <f t="shared" si="0"/>
        <v>0</v>
      </c>
    </row>
    <row r="21" spans="1:7" ht="409.5" x14ac:dyDescent="0.35">
      <c r="A21" t="s">
        <v>57</v>
      </c>
      <c r="B21">
        <v>2019</v>
      </c>
      <c r="C21" t="s">
        <v>58</v>
      </c>
      <c r="D21" s="1" t="s">
        <v>59</v>
      </c>
      <c r="E21" s="5" t="s">
        <v>318</v>
      </c>
      <c r="F21" s="5" t="s">
        <v>319</v>
      </c>
      <c r="G21" t="b">
        <f t="shared" si="0"/>
        <v>0</v>
      </c>
    </row>
    <row r="22" spans="1:7" x14ac:dyDescent="0.35">
      <c r="A22" t="s">
        <v>60</v>
      </c>
      <c r="B22">
        <v>2019</v>
      </c>
      <c r="C22" t="s">
        <v>61</v>
      </c>
      <c r="D22" t="s">
        <v>62</v>
      </c>
      <c r="E22" s="5" t="s">
        <v>320</v>
      </c>
      <c r="F22" s="6" t="s">
        <v>329</v>
      </c>
      <c r="G22" t="b">
        <f t="shared" si="0"/>
        <v>1</v>
      </c>
    </row>
    <row r="23" spans="1:7" x14ac:dyDescent="0.35">
      <c r="A23" t="s">
        <v>63</v>
      </c>
      <c r="B23">
        <v>2019</v>
      </c>
      <c r="C23" t="s">
        <v>64</v>
      </c>
      <c r="D23" t="s">
        <v>65</v>
      </c>
      <c r="E23" s="5" t="s">
        <v>320</v>
      </c>
      <c r="F23" s="7" t="s">
        <v>330</v>
      </c>
      <c r="G23" t="b">
        <f t="shared" si="0"/>
        <v>1</v>
      </c>
    </row>
    <row r="24" spans="1:7" x14ac:dyDescent="0.35">
      <c r="A24" t="s">
        <v>66</v>
      </c>
      <c r="B24">
        <v>2019</v>
      </c>
      <c r="C24" t="s">
        <v>67</v>
      </c>
      <c r="D24" t="s">
        <v>68</v>
      </c>
      <c r="E24" s="5" t="s">
        <v>318</v>
      </c>
      <c r="F24" s="5" t="s">
        <v>319</v>
      </c>
      <c r="G24" t="b">
        <f t="shared" si="0"/>
        <v>0</v>
      </c>
    </row>
    <row r="25" spans="1:7" x14ac:dyDescent="0.35">
      <c r="A25" t="s">
        <v>99</v>
      </c>
      <c r="B25">
        <v>2019</v>
      </c>
      <c r="C25" t="s">
        <v>100</v>
      </c>
      <c r="D25" t="s">
        <v>159</v>
      </c>
      <c r="E25" s="5" t="s">
        <v>320</v>
      </c>
      <c r="F25" s="7" t="s">
        <v>331</v>
      </c>
      <c r="G25" t="b">
        <f t="shared" si="0"/>
        <v>1</v>
      </c>
    </row>
    <row r="26" spans="1:7" x14ac:dyDescent="0.35">
      <c r="A26" t="s">
        <v>69</v>
      </c>
      <c r="B26">
        <v>2021</v>
      </c>
      <c r="C26" t="s">
        <v>70</v>
      </c>
      <c r="D26" t="s">
        <v>71</v>
      </c>
      <c r="E26" s="5" t="s">
        <v>318</v>
      </c>
      <c r="F26" s="5" t="s">
        <v>319</v>
      </c>
      <c r="G26" t="b">
        <f t="shared" si="0"/>
        <v>0</v>
      </c>
    </row>
    <row r="27" spans="1:7" ht="409.5" x14ac:dyDescent="0.35">
      <c r="A27" t="s">
        <v>101</v>
      </c>
      <c r="B27">
        <v>2021</v>
      </c>
      <c r="C27" t="s">
        <v>102</v>
      </c>
      <c r="D27" s="1" t="s">
        <v>103</v>
      </c>
      <c r="E27" s="5" t="s">
        <v>318</v>
      </c>
      <c r="F27" s="5" t="s">
        <v>319</v>
      </c>
      <c r="G27" t="b">
        <f t="shared" si="0"/>
        <v>0</v>
      </c>
    </row>
    <row r="28" spans="1:7" x14ac:dyDescent="0.35">
      <c r="A28" t="s">
        <v>104</v>
      </c>
      <c r="B28">
        <v>2021</v>
      </c>
      <c r="C28" t="s">
        <v>105</v>
      </c>
      <c r="D28" t="s">
        <v>160</v>
      </c>
      <c r="E28" s="5" t="s">
        <v>318</v>
      </c>
      <c r="F28" s="5" t="s">
        <v>319</v>
      </c>
      <c r="G28" t="b">
        <f t="shared" si="0"/>
        <v>0</v>
      </c>
    </row>
    <row r="29" spans="1:7" x14ac:dyDescent="0.35">
      <c r="A29" t="s">
        <v>106</v>
      </c>
      <c r="B29">
        <v>2021</v>
      </c>
      <c r="C29" t="s">
        <v>107</v>
      </c>
      <c r="D29" t="s">
        <v>108</v>
      </c>
      <c r="E29" s="5" t="s">
        <v>320</v>
      </c>
      <c r="F29" s="6" t="s">
        <v>332</v>
      </c>
      <c r="G29" t="b">
        <f t="shared" si="0"/>
        <v>1</v>
      </c>
    </row>
    <row r="30" spans="1:7" x14ac:dyDescent="0.35">
      <c r="A30" t="s">
        <v>109</v>
      </c>
      <c r="B30">
        <v>2021</v>
      </c>
      <c r="C30" t="s">
        <v>162</v>
      </c>
      <c r="D30" t="s">
        <v>163</v>
      </c>
      <c r="E30" s="5" t="s">
        <v>318</v>
      </c>
      <c r="F30" s="5" t="s">
        <v>319</v>
      </c>
      <c r="G30" t="b">
        <f t="shared" si="0"/>
        <v>0</v>
      </c>
    </row>
    <row r="31" spans="1:7" x14ac:dyDescent="0.35">
      <c r="A31" t="s">
        <v>110</v>
      </c>
      <c r="B31">
        <v>2021</v>
      </c>
      <c r="C31" t="s">
        <v>164</v>
      </c>
      <c r="D31" t="s">
        <v>165</v>
      </c>
      <c r="E31" s="5" t="s">
        <v>318</v>
      </c>
      <c r="F31" s="5" t="s">
        <v>319</v>
      </c>
      <c r="G31" t="b">
        <f t="shared" si="0"/>
        <v>0</v>
      </c>
    </row>
    <row r="32" spans="1:7" x14ac:dyDescent="0.35">
      <c r="A32" t="s">
        <v>72</v>
      </c>
      <c r="B32">
        <v>2021</v>
      </c>
      <c r="C32" t="s">
        <v>73</v>
      </c>
      <c r="D32" t="s">
        <v>74</v>
      </c>
      <c r="E32" s="5" t="s">
        <v>320</v>
      </c>
      <c r="F32" s="5" t="s">
        <v>333</v>
      </c>
      <c r="G32" t="b">
        <f t="shared" si="0"/>
        <v>1</v>
      </c>
    </row>
    <row r="33" spans="1:7" x14ac:dyDescent="0.35">
      <c r="A33" t="s">
        <v>75</v>
      </c>
      <c r="B33">
        <v>2021</v>
      </c>
      <c r="C33" t="s">
        <v>76</v>
      </c>
      <c r="D33" t="s">
        <v>77</v>
      </c>
      <c r="E33" s="5" t="s">
        <v>318</v>
      </c>
      <c r="F33" s="5" t="s">
        <v>319</v>
      </c>
      <c r="G33" t="b">
        <f t="shared" si="0"/>
        <v>0</v>
      </c>
    </row>
    <row r="34" spans="1:7" x14ac:dyDescent="0.35">
      <c r="A34" t="s">
        <v>111</v>
      </c>
      <c r="B34">
        <v>2021</v>
      </c>
      <c r="C34" t="s">
        <v>112</v>
      </c>
      <c r="D34" t="s">
        <v>113</v>
      </c>
      <c r="E34" s="5" t="s">
        <v>318</v>
      </c>
      <c r="F34" s="5" t="s">
        <v>319</v>
      </c>
      <c r="G34" t="b">
        <f t="shared" si="0"/>
        <v>0</v>
      </c>
    </row>
    <row r="35" spans="1:7" x14ac:dyDescent="0.35">
      <c r="A35" t="s">
        <v>114</v>
      </c>
      <c r="B35">
        <v>2021</v>
      </c>
      <c r="C35" t="s">
        <v>115</v>
      </c>
      <c r="D35" t="s">
        <v>116</v>
      </c>
      <c r="E35" s="5" t="s">
        <v>320</v>
      </c>
      <c r="F35" s="6" t="s">
        <v>334</v>
      </c>
      <c r="G35" t="b">
        <f t="shared" si="0"/>
        <v>1</v>
      </c>
    </row>
    <row r="36" spans="1:7" x14ac:dyDescent="0.35">
      <c r="A36" t="s">
        <v>117</v>
      </c>
      <c r="B36">
        <v>2021</v>
      </c>
      <c r="C36" t="s">
        <v>168</v>
      </c>
      <c r="D36" t="s">
        <v>169</v>
      </c>
      <c r="E36" s="5" t="s">
        <v>318</v>
      </c>
      <c r="F36" s="5" t="s">
        <v>319</v>
      </c>
      <c r="G36" t="b">
        <f t="shared" si="0"/>
        <v>0</v>
      </c>
    </row>
    <row r="37" spans="1:7" x14ac:dyDescent="0.35">
      <c r="A37" t="s">
        <v>118</v>
      </c>
      <c r="B37">
        <v>2021</v>
      </c>
      <c r="C37" t="s">
        <v>119</v>
      </c>
      <c r="D37" t="s">
        <v>120</v>
      </c>
      <c r="E37" s="5" t="s">
        <v>320</v>
      </c>
      <c r="F37" s="6" t="s">
        <v>335</v>
      </c>
      <c r="G37" t="b">
        <f t="shared" si="0"/>
        <v>1</v>
      </c>
    </row>
    <row r="38" spans="1:7" x14ac:dyDescent="0.35">
      <c r="A38" t="s">
        <v>78</v>
      </c>
      <c r="B38">
        <v>2021</v>
      </c>
      <c r="C38" t="s">
        <v>79</v>
      </c>
      <c r="D38" t="s">
        <v>80</v>
      </c>
      <c r="E38" s="5" t="s">
        <v>318</v>
      </c>
      <c r="F38" s="5" t="s">
        <v>319</v>
      </c>
      <c r="G38" t="b">
        <f t="shared" si="0"/>
        <v>0</v>
      </c>
    </row>
    <row r="39" spans="1:7" x14ac:dyDescent="0.35">
      <c r="A39" t="s">
        <v>121</v>
      </c>
      <c r="B39">
        <v>2021</v>
      </c>
      <c r="C39" t="s">
        <v>122</v>
      </c>
      <c r="D39" t="s">
        <v>123</v>
      </c>
      <c r="E39" s="5" t="s">
        <v>318</v>
      </c>
      <c r="F39" s="5" t="s">
        <v>319</v>
      </c>
      <c r="G39" t="b">
        <f t="shared" si="0"/>
        <v>0</v>
      </c>
    </row>
    <row r="40" spans="1:7" x14ac:dyDescent="0.35">
      <c r="A40" t="s">
        <v>124</v>
      </c>
      <c r="B40">
        <v>2021</v>
      </c>
      <c r="C40" t="s">
        <v>125</v>
      </c>
      <c r="D40" t="s">
        <v>171</v>
      </c>
      <c r="E40" s="5" t="s">
        <v>318</v>
      </c>
      <c r="F40" s="5" t="s">
        <v>319</v>
      </c>
      <c r="G40" t="b">
        <f t="shared" si="0"/>
        <v>0</v>
      </c>
    </row>
    <row r="41" spans="1:7" x14ac:dyDescent="0.35">
      <c r="A41" t="s">
        <v>126</v>
      </c>
      <c r="B41">
        <v>2025</v>
      </c>
      <c r="C41" t="s">
        <v>127</v>
      </c>
      <c r="D41" t="s">
        <v>128</v>
      </c>
      <c r="E41" s="5" t="s">
        <v>318</v>
      </c>
      <c r="F41" s="5" t="s">
        <v>319</v>
      </c>
      <c r="G41" t="b">
        <f t="shared" si="0"/>
        <v>0</v>
      </c>
    </row>
    <row r="42" spans="1:7" x14ac:dyDescent="0.35">
      <c r="A42" t="s">
        <v>129</v>
      </c>
      <c r="B42">
        <v>2025</v>
      </c>
      <c r="C42" t="s">
        <v>130</v>
      </c>
      <c r="D42" t="s">
        <v>131</v>
      </c>
      <c r="E42" s="5" t="s">
        <v>320</v>
      </c>
      <c r="F42" s="6" t="s">
        <v>336</v>
      </c>
      <c r="G42" t="b">
        <f t="shared" si="0"/>
        <v>1</v>
      </c>
    </row>
    <row r="43" spans="1:7" x14ac:dyDescent="0.35">
      <c r="A43" t="s">
        <v>132</v>
      </c>
      <c r="B43">
        <v>2025</v>
      </c>
      <c r="C43" t="s">
        <v>133</v>
      </c>
      <c r="D43" t="s">
        <v>172</v>
      </c>
      <c r="E43" s="5" t="s">
        <v>318</v>
      </c>
      <c r="F43" s="5" t="s">
        <v>319</v>
      </c>
      <c r="G43" t="b">
        <f t="shared" si="0"/>
        <v>0</v>
      </c>
    </row>
    <row r="44" spans="1:7" x14ac:dyDescent="0.35">
      <c r="A44" t="s">
        <v>81</v>
      </c>
      <c r="B44">
        <v>2025</v>
      </c>
      <c r="C44" t="s">
        <v>82</v>
      </c>
      <c r="D44" t="s">
        <v>83</v>
      </c>
      <c r="E44" s="5" t="s">
        <v>320</v>
      </c>
      <c r="F44" s="6" t="s">
        <v>337</v>
      </c>
      <c r="G44" t="b">
        <f t="shared" si="0"/>
        <v>1</v>
      </c>
    </row>
    <row r="45" spans="1:7" x14ac:dyDescent="0.35">
      <c r="A45" t="s">
        <v>84</v>
      </c>
      <c r="B45">
        <v>2025</v>
      </c>
      <c r="C45" t="s">
        <v>85</v>
      </c>
      <c r="D45" t="s">
        <v>86</v>
      </c>
      <c r="E45" s="5" t="s">
        <v>318</v>
      </c>
      <c r="F45" s="5" t="s">
        <v>319</v>
      </c>
      <c r="G45" t="b">
        <f t="shared" si="0"/>
        <v>0</v>
      </c>
    </row>
    <row r="46" spans="1:7" x14ac:dyDescent="0.35">
      <c r="A46" t="s">
        <v>134</v>
      </c>
      <c r="B46">
        <v>2025</v>
      </c>
      <c r="C46" t="s">
        <v>135</v>
      </c>
      <c r="D46" t="s">
        <v>173</v>
      </c>
      <c r="E46" s="5" t="s">
        <v>318</v>
      </c>
      <c r="F46" s="5" t="s">
        <v>319</v>
      </c>
      <c r="G46" t="b">
        <f t="shared" si="0"/>
        <v>0</v>
      </c>
    </row>
    <row r="47" spans="1:7" ht="409.5" x14ac:dyDescent="0.35">
      <c r="A47" t="s">
        <v>174</v>
      </c>
      <c r="B47">
        <v>2025</v>
      </c>
      <c r="C47" t="s">
        <v>175</v>
      </c>
      <c r="D47" s="1" t="s">
        <v>176</v>
      </c>
      <c r="E47" s="5" t="s">
        <v>318</v>
      </c>
      <c r="F47" s="5" t="s">
        <v>319</v>
      </c>
      <c r="G47" t="b">
        <f t="shared" si="0"/>
        <v>0</v>
      </c>
    </row>
    <row r="48" spans="1:7" x14ac:dyDescent="0.35">
      <c r="A48" t="s">
        <v>177</v>
      </c>
      <c r="B48">
        <v>2025</v>
      </c>
      <c r="C48" t="s">
        <v>178</v>
      </c>
      <c r="D48" t="s">
        <v>179</v>
      </c>
      <c r="E48" s="5" t="s">
        <v>318</v>
      </c>
      <c r="F48" s="5" t="s">
        <v>319</v>
      </c>
      <c r="G48" t="b">
        <f t="shared" si="0"/>
        <v>0</v>
      </c>
    </row>
    <row r="49" spans="1:7" x14ac:dyDescent="0.35">
      <c r="A49" t="s">
        <v>180</v>
      </c>
      <c r="B49">
        <v>2025</v>
      </c>
      <c r="C49" t="s">
        <v>181</v>
      </c>
      <c r="D49" t="s">
        <v>182</v>
      </c>
      <c r="E49" s="5" t="s">
        <v>318</v>
      </c>
      <c r="F49" s="5" t="s">
        <v>319</v>
      </c>
      <c r="G49" t="b">
        <f t="shared" si="0"/>
        <v>0</v>
      </c>
    </row>
    <row r="50" spans="1:7" x14ac:dyDescent="0.35">
      <c r="A50" t="s">
        <v>183</v>
      </c>
      <c r="B50">
        <v>2025</v>
      </c>
      <c r="C50" t="s">
        <v>184</v>
      </c>
      <c r="D50" t="s">
        <v>185</v>
      </c>
      <c r="E50" s="5" t="s">
        <v>318</v>
      </c>
      <c r="F50" s="5" t="s">
        <v>319</v>
      </c>
      <c r="G50" t="b">
        <f t="shared" si="0"/>
        <v>0</v>
      </c>
    </row>
    <row r="51" spans="1:7" x14ac:dyDescent="0.35">
      <c r="A51" t="s">
        <v>186</v>
      </c>
      <c r="B51">
        <v>2025</v>
      </c>
      <c r="C51" t="s">
        <v>187</v>
      </c>
      <c r="D51" t="s">
        <v>188</v>
      </c>
      <c r="E51" s="5" t="s">
        <v>318</v>
      </c>
      <c r="F51" s="5" t="s">
        <v>319</v>
      </c>
      <c r="G51" t="b">
        <f t="shared" si="0"/>
        <v>0</v>
      </c>
    </row>
    <row r="52" spans="1:7" x14ac:dyDescent="0.35">
      <c r="A52" t="s">
        <v>189</v>
      </c>
      <c r="B52">
        <v>2025</v>
      </c>
      <c r="C52" t="s">
        <v>190</v>
      </c>
      <c r="D52" t="s">
        <v>191</v>
      </c>
      <c r="E52" s="5" t="s">
        <v>318</v>
      </c>
      <c r="F52" s="5" t="s">
        <v>319</v>
      </c>
      <c r="G52" t="b">
        <f t="shared" si="0"/>
        <v>0</v>
      </c>
    </row>
    <row r="53" spans="1:7" x14ac:dyDescent="0.35">
      <c r="A53" t="s">
        <v>192</v>
      </c>
      <c r="B53">
        <v>2025</v>
      </c>
      <c r="C53" t="s">
        <v>193</v>
      </c>
      <c r="D53" t="s">
        <v>194</v>
      </c>
      <c r="E53" s="5" t="s">
        <v>318</v>
      </c>
      <c r="F53" s="5" t="s">
        <v>319</v>
      </c>
      <c r="G53" t="b">
        <f t="shared" si="0"/>
        <v>0</v>
      </c>
    </row>
    <row r="54" spans="1:7" x14ac:dyDescent="0.35">
      <c r="A54" t="s">
        <v>196</v>
      </c>
      <c r="B54">
        <v>2025</v>
      </c>
      <c r="C54" t="s">
        <v>197</v>
      </c>
      <c r="D54" t="s">
        <v>198</v>
      </c>
      <c r="E54" s="5" t="s">
        <v>320</v>
      </c>
      <c r="F54" s="6" t="s">
        <v>338</v>
      </c>
      <c r="G54" t="b">
        <f t="shared" si="0"/>
        <v>1</v>
      </c>
    </row>
    <row r="55" spans="1:7" x14ac:dyDescent="0.35">
      <c r="A55" t="s">
        <v>199</v>
      </c>
      <c r="B55">
        <v>2025</v>
      </c>
      <c r="C55" t="s">
        <v>200</v>
      </c>
      <c r="D55" t="s">
        <v>201</v>
      </c>
      <c r="E55" s="5" t="s">
        <v>318</v>
      </c>
      <c r="F55" s="5" t="s">
        <v>319</v>
      </c>
      <c r="G55" t="b">
        <f t="shared" si="0"/>
        <v>0</v>
      </c>
    </row>
    <row r="56" spans="1:7" ht="409.5" x14ac:dyDescent="0.35">
      <c r="A56" t="s">
        <v>202</v>
      </c>
      <c r="B56">
        <v>2025</v>
      </c>
      <c r="C56" t="s">
        <v>203</v>
      </c>
      <c r="D56" s="1" t="s">
        <v>204</v>
      </c>
      <c r="E56" s="5" t="s">
        <v>320</v>
      </c>
      <c r="F56" s="5" t="s">
        <v>339</v>
      </c>
      <c r="G56" t="b">
        <f t="shared" si="0"/>
        <v>1</v>
      </c>
    </row>
    <row r="57" spans="1:7" x14ac:dyDescent="0.35">
      <c r="A57" t="s">
        <v>205</v>
      </c>
      <c r="B57">
        <v>2025</v>
      </c>
      <c r="C57" t="s">
        <v>206</v>
      </c>
      <c r="D57" t="s">
        <v>207</v>
      </c>
      <c r="E57" s="5" t="s">
        <v>320</v>
      </c>
      <c r="F57" s="6" t="s">
        <v>340</v>
      </c>
      <c r="G57" t="b">
        <f t="shared" si="0"/>
        <v>1</v>
      </c>
    </row>
    <row r="58" spans="1:7" x14ac:dyDescent="0.35">
      <c r="A58" t="s">
        <v>208</v>
      </c>
      <c r="B58">
        <v>2025</v>
      </c>
      <c r="C58" t="s">
        <v>209</v>
      </c>
      <c r="D58" t="s">
        <v>210</v>
      </c>
      <c r="E58" s="5" t="s">
        <v>320</v>
      </c>
      <c r="F58" s="6" t="s">
        <v>341</v>
      </c>
      <c r="G58" t="b">
        <f t="shared" si="0"/>
        <v>1</v>
      </c>
    </row>
    <row r="59" spans="1:7" x14ac:dyDescent="0.35">
      <c r="A59" t="s">
        <v>211</v>
      </c>
      <c r="B59">
        <v>2025</v>
      </c>
      <c r="C59" t="s">
        <v>212</v>
      </c>
      <c r="D59" t="s">
        <v>213</v>
      </c>
      <c r="E59" s="5" t="s">
        <v>320</v>
      </c>
      <c r="F59" s="6" t="s">
        <v>342</v>
      </c>
      <c r="G59" t="b">
        <f t="shared" si="0"/>
        <v>1</v>
      </c>
    </row>
    <row r="60" spans="1:7" x14ac:dyDescent="0.35">
      <c r="A60" t="s">
        <v>214</v>
      </c>
      <c r="B60">
        <v>2025</v>
      </c>
      <c r="C60" t="s">
        <v>215</v>
      </c>
      <c r="D60" t="s">
        <v>216</v>
      </c>
      <c r="E60" s="5" t="s">
        <v>320</v>
      </c>
      <c r="F60" s="6" t="s">
        <v>343</v>
      </c>
      <c r="G60" t="b">
        <f t="shared" si="0"/>
        <v>1</v>
      </c>
    </row>
    <row r="61" spans="1:7" x14ac:dyDescent="0.35">
      <c r="A61" t="s">
        <v>217</v>
      </c>
      <c r="B61">
        <v>2020</v>
      </c>
      <c r="C61" t="s">
        <v>218</v>
      </c>
      <c r="D61" t="s">
        <v>219</v>
      </c>
      <c r="E61" s="5"/>
      <c r="F61" s="5"/>
      <c r="G61" t="b">
        <f t="shared" si="0"/>
        <v>1</v>
      </c>
    </row>
    <row r="62" spans="1:7" x14ac:dyDescent="0.35">
      <c r="A62" t="s">
        <v>220</v>
      </c>
      <c r="B62">
        <v>2020</v>
      </c>
      <c r="C62" t="s">
        <v>221</v>
      </c>
      <c r="D62" t="s">
        <v>222</v>
      </c>
      <c r="E62" s="5" t="s">
        <v>318</v>
      </c>
      <c r="F62" s="5" t="s">
        <v>319</v>
      </c>
      <c r="G62" t="b">
        <f t="shared" si="0"/>
        <v>0</v>
      </c>
    </row>
    <row r="63" spans="1:7" x14ac:dyDescent="0.35">
      <c r="A63" t="s">
        <v>223</v>
      </c>
      <c r="B63">
        <v>2020</v>
      </c>
      <c r="C63" t="s">
        <v>224</v>
      </c>
      <c r="D63" t="s">
        <v>225</v>
      </c>
      <c r="E63" s="5" t="s">
        <v>318</v>
      </c>
      <c r="F63" s="5" t="s">
        <v>319</v>
      </c>
      <c r="G63" t="b">
        <f t="shared" si="0"/>
        <v>0</v>
      </c>
    </row>
    <row r="64" spans="1:7" x14ac:dyDescent="0.35">
      <c r="A64" t="s">
        <v>226</v>
      </c>
      <c r="B64">
        <v>2020</v>
      </c>
      <c r="C64" t="s">
        <v>227</v>
      </c>
      <c r="D64" t="s">
        <v>228</v>
      </c>
      <c r="E64" s="5" t="s">
        <v>320</v>
      </c>
      <c r="F64" s="6" t="s">
        <v>344</v>
      </c>
      <c r="G64" t="b">
        <f t="shared" si="0"/>
        <v>1</v>
      </c>
    </row>
    <row r="65" spans="1:7" x14ac:dyDescent="0.35">
      <c r="A65" t="s">
        <v>229</v>
      </c>
      <c r="B65">
        <v>2020</v>
      </c>
      <c r="C65" t="s">
        <v>230</v>
      </c>
      <c r="D65" t="s">
        <v>231</v>
      </c>
      <c r="E65" s="5" t="s">
        <v>318</v>
      </c>
      <c r="F65" s="5" t="s">
        <v>319</v>
      </c>
      <c r="G65" t="b">
        <f t="shared" si="0"/>
        <v>0</v>
      </c>
    </row>
    <row r="66" spans="1:7" ht="409.5" x14ac:dyDescent="0.35">
      <c r="A66" t="s">
        <v>232</v>
      </c>
      <c r="B66">
        <v>2022</v>
      </c>
      <c r="C66" t="s">
        <v>233</v>
      </c>
      <c r="D66" s="1" t="s">
        <v>234</v>
      </c>
      <c r="E66" s="5" t="s">
        <v>320</v>
      </c>
      <c r="F66" s="6" t="s">
        <v>345</v>
      </c>
      <c r="G66" t="b">
        <f t="shared" si="0"/>
        <v>1</v>
      </c>
    </row>
    <row r="67" spans="1:7" x14ac:dyDescent="0.35">
      <c r="A67" t="s">
        <v>235</v>
      </c>
      <c r="B67">
        <v>2022</v>
      </c>
      <c r="C67" t="s">
        <v>236</v>
      </c>
      <c r="D67" t="s">
        <v>237</v>
      </c>
      <c r="E67" s="5" t="s">
        <v>320</v>
      </c>
      <c r="F67" s="6" t="s">
        <v>346</v>
      </c>
      <c r="G67" t="b">
        <f t="shared" ref="G67:G72" si="1">IF(E67="EXCLUDE",FALSE,TRUE)</f>
        <v>1</v>
      </c>
    </row>
    <row r="68" spans="1:7" x14ac:dyDescent="0.35">
      <c r="A68" t="s">
        <v>239</v>
      </c>
      <c r="B68">
        <v>2022</v>
      </c>
      <c r="C68" t="s">
        <v>240</v>
      </c>
      <c r="D68" t="s">
        <v>241</v>
      </c>
      <c r="E68" s="5" t="s">
        <v>318</v>
      </c>
      <c r="F68" s="5" t="s">
        <v>319</v>
      </c>
      <c r="G68" t="b">
        <f t="shared" si="1"/>
        <v>0</v>
      </c>
    </row>
    <row r="69" spans="1:7" x14ac:dyDescent="0.35">
      <c r="A69" t="s">
        <v>242</v>
      </c>
      <c r="B69">
        <v>2022</v>
      </c>
      <c r="C69" t="s">
        <v>243</v>
      </c>
      <c r="D69" t="s">
        <v>244</v>
      </c>
      <c r="E69" s="5" t="s">
        <v>320</v>
      </c>
      <c r="F69" s="5" t="s">
        <v>347</v>
      </c>
      <c r="G69" t="b">
        <f t="shared" si="1"/>
        <v>1</v>
      </c>
    </row>
    <row r="70" spans="1:7" x14ac:dyDescent="0.35">
      <c r="A70" t="s">
        <v>246</v>
      </c>
      <c r="B70">
        <v>2022</v>
      </c>
      <c r="C70" t="s">
        <v>247</v>
      </c>
      <c r="D70" t="s">
        <v>248</v>
      </c>
      <c r="E70" s="5" t="s">
        <v>318</v>
      </c>
      <c r="F70" s="5" t="s">
        <v>319</v>
      </c>
      <c r="G70" t="b">
        <f t="shared" si="1"/>
        <v>0</v>
      </c>
    </row>
    <row r="71" spans="1:7" x14ac:dyDescent="0.35">
      <c r="A71" t="s">
        <v>249</v>
      </c>
      <c r="B71">
        <v>2022</v>
      </c>
      <c r="C71" t="s">
        <v>250</v>
      </c>
      <c r="D71" t="s">
        <v>251</v>
      </c>
      <c r="E71" s="5" t="s">
        <v>318</v>
      </c>
      <c r="F71" s="5" t="s">
        <v>348</v>
      </c>
      <c r="G71" t="b">
        <f t="shared" si="1"/>
        <v>0</v>
      </c>
    </row>
    <row r="72" spans="1:7" x14ac:dyDescent="0.35">
      <c r="A72" t="s">
        <v>252</v>
      </c>
      <c r="B72">
        <v>2022</v>
      </c>
      <c r="C72" t="s">
        <v>253</v>
      </c>
      <c r="D72" t="s">
        <v>254</v>
      </c>
      <c r="E72" s="5" t="s">
        <v>318</v>
      </c>
      <c r="F72" s="5" t="s">
        <v>348</v>
      </c>
      <c r="G72" t="b">
        <f t="shared" si="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19B4-BBB1-4308-87AE-8E39EAC2CFC3}">
  <dimension ref="A1:G72"/>
  <sheetViews>
    <sheetView workbookViewId="0">
      <selection activeCell="G11" sqref="G11"/>
    </sheetView>
  </sheetViews>
  <sheetFormatPr defaultRowHeight="14.5" x14ac:dyDescent="0.35"/>
  <sheetData>
    <row r="1" spans="1:7" x14ac:dyDescent="0.35">
      <c r="A1" t="s">
        <v>0</v>
      </c>
      <c r="B1" t="s">
        <v>1</v>
      </c>
      <c r="C1" t="s">
        <v>2</v>
      </c>
      <c r="D1" t="s">
        <v>3</v>
      </c>
      <c r="E1" t="s">
        <v>286</v>
      </c>
      <c r="F1" s="5" t="s">
        <v>255</v>
      </c>
      <c r="G1" t="s">
        <v>287</v>
      </c>
    </row>
    <row r="2" spans="1:7" x14ac:dyDescent="0.35">
      <c r="A2" t="s">
        <v>4</v>
      </c>
      <c r="B2">
        <v>2019</v>
      </c>
      <c r="C2" t="s">
        <v>5</v>
      </c>
      <c r="D2" t="s">
        <v>137</v>
      </c>
      <c r="E2" s="5" t="s">
        <v>256</v>
      </c>
      <c r="F2" s="5" t="s">
        <v>257</v>
      </c>
      <c r="G2" t="b">
        <f>IF(E2="EXCLUDE",FALSE,TRUE)</f>
        <v>0</v>
      </c>
    </row>
    <row r="3" spans="1:7" x14ac:dyDescent="0.35">
      <c r="A3" t="s">
        <v>6</v>
      </c>
      <c r="B3">
        <v>2019</v>
      </c>
      <c r="C3" t="s">
        <v>7</v>
      </c>
      <c r="D3" t="s">
        <v>51</v>
      </c>
      <c r="E3" s="5" t="s">
        <v>256</v>
      </c>
      <c r="F3" s="5" t="s">
        <v>258</v>
      </c>
      <c r="G3" t="b">
        <f t="shared" ref="G3:G66" si="0">IF(E3="EXCLUDE",FALSE,TRUE)</f>
        <v>0</v>
      </c>
    </row>
    <row r="4" spans="1:7" x14ac:dyDescent="0.35">
      <c r="A4" t="s">
        <v>8</v>
      </c>
      <c r="B4">
        <v>2019</v>
      </c>
      <c r="C4" t="s">
        <v>9</v>
      </c>
      <c r="D4" t="s">
        <v>140</v>
      </c>
      <c r="E4" s="5" t="s">
        <v>256</v>
      </c>
      <c r="F4" s="5" t="s">
        <v>257</v>
      </c>
      <c r="G4" t="b">
        <f t="shared" si="0"/>
        <v>0</v>
      </c>
    </row>
    <row r="5" spans="1:7" x14ac:dyDescent="0.35">
      <c r="A5" t="s">
        <v>10</v>
      </c>
      <c r="B5">
        <v>2019</v>
      </c>
      <c r="C5" t="s">
        <v>11</v>
      </c>
      <c r="D5" t="s">
        <v>142</v>
      </c>
      <c r="E5" s="5" t="s">
        <v>256</v>
      </c>
      <c r="F5" s="5" t="s">
        <v>257</v>
      </c>
      <c r="G5" t="b">
        <f t="shared" si="0"/>
        <v>0</v>
      </c>
    </row>
    <row r="6" spans="1:7" x14ac:dyDescent="0.35">
      <c r="A6" t="s">
        <v>12</v>
      </c>
      <c r="B6">
        <v>2019</v>
      </c>
      <c r="C6" t="s">
        <v>13</v>
      </c>
      <c r="D6" t="s">
        <v>143</v>
      </c>
      <c r="E6" s="5" t="s">
        <v>259</v>
      </c>
      <c r="F6" s="5" t="s">
        <v>260</v>
      </c>
      <c r="G6" t="b">
        <f t="shared" si="0"/>
        <v>1</v>
      </c>
    </row>
    <row r="7" spans="1:7" x14ac:dyDescent="0.35">
      <c r="A7" t="s">
        <v>14</v>
      </c>
      <c r="B7">
        <v>2019</v>
      </c>
      <c r="C7" t="s">
        <v>146</v>
      </c>
      <c r="D7" t="s">
        <v>147</v>
      </c>
      <c r="E7" s="5" t="s">
        <v>256</v>
      </c>
      <c r="F7" s="5" t="s">
        <v>257</v>
      </c>
      <c r="G7" t="b">
        <f t="shared" si="0"/>
        <v>0</v>
      </c>
    </row>
    <row r="8" spans="1:7" x14ac:dyDescent="0.35">
      <c r="A8" t="s">
        <v>15</v>
      </c>
      <c r="B8">
        <v>2019</v>
      </c>
      <c r="C8" t="s">
        <v>148</v>
      </c>
      <c r="D8" t="s">
        <v>149</v>
      </c>
      <c r="E8" s="5" t="s">
        <v>256</v>
      </c>
      <c r="F8" s="5" t="s">
        <v>257</v>
      </c>
      <c r="G8" t="b">
        <f t="shared" si="0"/>
        <v>0</v>
      </c>
    </row>
    <row r="9" spans="1:7" x14ac:dyDescent="0.35">
      <c r="A9" t="s">
        <v>16</v>
      </c>
      <c r="B9">
        <v>2019</v>
      </c>
      <c r="C9" t="s">
        <v>17</v>
      </c>
      <c r="D9" t="s">
        <v>52</v>
      </c>
      <c r="E9" s="5" t="s">
        <v>256</v>
      </c>
      <c r="F9" s="5" t="s">
        <v>257</v>
      </c>
      <c r="G9" t="b">
        <f t="shared" si="0"/>
        <v>0</v>
      </c>
    </row>
    <row r="10" spans="1:7" x14ac:dyDescent="0.35">
      <c r="A10" t="s">
        <v>18</v>
      </c>
      <c r="B10">
        <v>2019</v>
      </c>
      <c r="C10" t="s">
        <v>19</v>
      </c>
      <c r="D10" t="s">
        <v>150</v>
      </c>
      <c r="E10" s="5" t="s">
        <v>256</v>
      </c>
      <c r="F10" s="5" t="s">
        <v>257</v>
      </c>
      <c r="G10" t="b">
        <f t="shared" si="0"/>
        <v>0</v>
      </c>
    </row>
    <row r="11" spans="1:7" x14ac:dyDescent="0.35">
      <c r="A11" t="s">
        <v>20</v>
      </c>
      <c r="B11">
        <v>2019</v>
      </c>
      <c r="C11" t="s">
        <v>21</v>
      </c>
      <c r="D11" t="s">
        <v>22</v>
      </c>
      <c r="E11" s="5" t="s">
        <v>256</v>
      </c>
      <c r="F11" s="5" t="s">
        <v>257</v>
      </c>
      <c r="G11" t="b">
        <f t="shared" si="0"/>
        <v>0</v>
      </c>
    </row>
    <row r="12" spans="1:7" x14ac:dyDescent="0.35">
      <c r="A12" t="s">
        <v>23</v>
      </c>
      <c r="B12">
        <v>2019</v>
      </c>
      <c r="C12" t="s">
        <v>24</v>
      </c>
      <c r="D12" t="s">
        <v>25</v>
      </c>
      <c r="E12" s="5" t="s">
        <v>259</v>
      </c>
      <c r="F12" s="5" t="s">
        <v>261</v>
      </c>
      <c r="G12" t="b">
        <f t="shared" si="0"/>
        <v>1</v>
      </c>
    </row>
    <row r="13" spans="1:7" x14ac:dyDescent="0.35">
      <c r="A13" t="s">
        <v>26</v>
      </c>
      <c r="B13">
        <v>2019</v>
      </c>
      <c r="C13" t="s">
        <v>27</v>
      </c>
      <c r="D13" t="s">
        <v>28</v>
      </c>
      <c r="E13" s="5" t="s">
        <v>259</v>
      </c>
      <c r="F13" s="5" t="s">
        <v>262</v>
      </c>
      <c r="G13" t="b">
        <f t="shared" si="0"/>
        <v>1</v>
      </c>
    </row>
    <row r="14" spans="1:7" x14ac:dyDescent="0.35">
      <c r="A14" t="s">
        <v>29</v>
      </c>
      <c r="B14">
        <v>2019</v>
      </c>
      <c r="C14" t="s">
        <v>30</v>
      </c>
      <c r="D14" t="s">
        <v>31</v>
      </c>
      <c r="E14" s="5" t="s">
        <v>259</v>
      </c>
      <c r="F14" s="5" t="s">
        <v>263</v>
      </c>
      <c r="G14" t="b">
        <f t="shared" si="0"/>
        <v>1</v>
      </c>
    </row>
    <row r="15" spans="1:7" x14ac:dyDescent="0.35">
      <c r="A15" t="s">
        <v>87</v>
      </c>
      <c r="B15">
        <v>2019</v>
      </c>
      <c r="C15" t="s">
        <v>88</v>
      </c>
      <c r="D15" t="s">
        <v>89</v>
      </c>
      <c r="E15" s="5" t="s">
        <v>256</v>
      </c>
      <c r="F15" s="5" t="s">
        <v>264</v>
      </c>
      <c r="G15" t="b">
        <f t="shared" si="0"/>
        <v>0</v>
      </c>
    </row>
    <row r="16" spans="1:7" x14ac:dyDescent="0.35">
      <c r="A16" t="s">
        <v>54</v>
      </c>
      <c r="B16">
        <v>2019</v>
      </c>
      <c r="C16" t="s">
        <v>55</v>
      </c>
      <c r="D16" t="s">
        <v>56</v>
      </c>
      <c r="E16" s="5" t="s">
        <v>256</v>
      </c>
      <c r="F16" s="5" t="s">
        <v>257</v>
      </c>
      <c r="G16" t="b">
        <f t="shared" si="0"/>
        <v>0</v>
      </c>
    </row>
    <row r="17" spans="1:7" x14ac:dyDescent="0.35">
      <c r="A17" t="s">
        <v>90</v>
      </c>
      <c r="B17">
        <v>2019</v>
      </c>
      <c r="C17" t="s">
        <v>91</v>
      </c>
      <c r="D17" t="s">
        <v>153</v>
      </c>
      <c r="E17" s="5" t="s">
        <v>256</v>
      </c>
      <c r="F17" s="5" t="s">
        <v>265</v>
      </c>
      <c r="G17" t="b">
        <f t="shared" si="0"/>
        <v>0</v>
      </c>
    </row>
    <row r="18" spans="1:7" x14ac:dyDescent="0.35">
      <c r="A18" t="s">
        <v>92</v>
      </c>
      <c r="B18">
        <v>2019</v>
      </c>
      <c r="C18" t="s">
        <v>93</v>
      </c>
      <c r="D18" t="s">
        <v>94</v>
      </c>
      <c r="E18" s="5" t="s">
        <v>259</v>
      </c>
      <c r="F18" s="5" t="s">
        <v>266</v>
      </c>
      <c r="G18" t="b">
        <f t="shared" si="0"/>
        <v>1</v>
      </c>
    </row>
    <row r="19" spans="1:7" x14ac:dyDescent="0.35">
      <c r="A19" t="s">
        <v>95</v>
      </c>
      <c r="B19">
        <v>2019</v>
      </c>
      <c r="C19" t="s">
        <v>96</v>
      </c>
      <c r="D19" t="s">
        <v>156</v>
      </c>
      <c r="E19" s="5" t="s">
        <v>256</v>
      </c>
      <c r="F19" s="5" t="s">
        <v>257</v>
      </c>
      <c r="G19" t="b">
        <f t="shared" si="0"/>
        <v>0</v>
      </c>
    </row>
    <row r="20" spans="1:7" x14ac:dyDescent="0.35">
      <c r="A20" t="s">
        <v>97</v>
      </c>
      <c r="B20">
        <v>2019</v>
      </c>
      <c r="C20" t="s">
        <v>98</v>
      </c>
      <c r="D20" t="s">
        <v>157</v>
      </c>
      <c r="E20" s="5" t="s">
        <v>256</v>
      </c>
      <c r="F20" s="5" t="s">
        <v>257</v>
      </c>
      <c r="G20" t="b">
        <f t="shared" si="0"/>
        <v>0</v>
      </c>
    </row>
    <row r="21" spans="1:7" ht="409.5" x14ac:dyDescent="0.35">
      <c r="A21" t="s">
        <v>57</v>
      </c>
      <c r="B21">
        <v>2019</v>
      </c>
      <c r="C21" t="s">
        <v>58</v>
      </c>
      <c r="D21" s="1" t="s">
        <v>59</v>
      </c>
      <c r="E21" s="5" t="s">
        <v>256</v>
      </c>
      <c r="F21" s="5" t="s">
        <v>257</v>
      </c>
      <c r="G21" t="b">
        <f t="shared" si="0"/>
        <v>0</v>
      </c>
    </row>
    <row r="22" spans="1:7" x14ac:dyDescent="0.35">
      <c r="A22" t="s">
        <v>60</v>
      </c>
      <c r="B22">
        <v>2019</v>
      </c>
      <c r="C22" t="s">
        <v>61</v>
      </c>
      <c r="D22" t="s">
        <v>62</v>
      </c>
      <c r="E22" s="5" t="s">
        <v>256</v>
      </c>
      <c r="F22" s="5" t="s">
        <v>257</v>
      </c>
      <c r="G22" t="b">
        <f t="shared" si="0"/>
        <v>0</v>
      </c>
    </row>
    <row r="23" spans="1:7" x14ac:dyDescent="0.35">
      <c r="A23" t="s">
        <v>63</v>
      </c>
      <c r="B23">
        <v>2019</v>
      </c>
      <c r="C23" t="s">
        <v>64</v>
      </c>
      <c r="D23" t="s">
        <v>65</v>
      </c>
      <c r="E23" s="5" t="s">
        <v>256</v>
      </c>
      <c r="F23" s="5" t="s">
        <v>257</v>
      </c>
      <c r="G23" t="b">
        <f t="shared" si="0"/>
        <v>0</v>
      </c>
    </row>
    <row r="24" spans="1:7" x14ac:dyDescent="0.35">
      <c r="A24" t="s">
        <v>66</v>
      </c>
      <c r="B24">
        <v>2019</v>
      </c>
      <c r="C24" t="s">
        <v>67</v>
      </c>
      <c r="D24" t="s">
        <v>68</v>
      </c>
      <c r="E24" s="5" t="s">
        <v>256</v>
      </c>
      <c r="F24" s="5" t="s">
        <v>257</v>
      </c>
      <c r="G24" t="b">
        <f t="shared" si="0"/>
        <v>0</v>
      </c>
    </row>
    <row r="25" spans="1:7" x14ac:dyDescent="0.35">
      <c r="A25" t="s">
        <v>99</v>
      </c>
      <c r="B25">
        <v>2019</v>
      </c>
      <c r="C25" t="s">
        <v>100</v>
      </c>
      <c r="D25" t="s">
        <v>159</v>
      </c>
      <c r="E25" s="5" t="s">
        <v>259</v>
      </c>
      <c r="F25" s="5" t="s">
        <v>267</v>
      </c>
      <c r="G25" t="b">
        <f t="shared" si="0"/>
        <v>1</v>
      </c>
    </row>
    <row r="26" spans="1:7" x14ac:dyDescent="0.35">
      <c r="A26" t="s">
        <v>69</v>
      </c>
      <c r="B26">
        <v>2021</v>
      </c>
      <c r="C26" t="s">
        <v>70</v>
      </c>
      <c r="D26" t="s">
        <v>71</v>
      </c>
      <c r="E26" s="5" t="s">
        <v>256</v>
      </c>
      <c r="F26" s="5" t="s">
        <v>257</v>
      </c>
      <c r="G26" t="b">
        <f t="shared" si="0"/>
        <v>0</v>
      </c>
    </row>
    <row r="27" spans="1:7" ht="409.5" x14ac:dyDescent="0.35">
      <c r="A27" t="s">
        <v>101</v>
      </c>
      <c r="B27">
        <v>2021</v>
      </c>
      <c r="C27" t="s">
        <v>102</v>
      </c>
      <c r="D27" s="1" t="s">
        <v>103</v>
      </c>
      <c r="E27" s="5" t="s">
        <v>256</v>
      </c>
      <c r="F27" s="5" t="s">
        <v>257</v>
      </c>
      <c r="G27" t="b">
        <f t="shared" si="0"/>
        <v>0</v>
      </c>
    </row>
    <row r="28" spans="1:7" x14ac:dyDescent="0.35">
      <c r="A28" t="s">
        <v>104</v>
      </c>
      <c r="B28">
        <v>2021</v>
      </c>
      <c r="C28" t="s">
        <v>105</v>
      </c>
      <c r="D28" t="s">
        <v>160</v>
      </c>
      <c r="E28" s="5" t="s">
        <v>256</v>
      </c>
      <c r="F28" s="5" t="s">
        <v>257</v>
      </c>
      <c r="G28" t="b">
        <f t="shared" si="0"/>
        <v>0</v>
      </c>
    </row>
    <row r="29" spans="1:7" x14ac:dyDescent="0.35">
      <c r="A29" t="s">
        <v>106</v>
      </c>
      <c r="B29">
        <v>2021</v>
      </c>
      <c r="C29" t="s">
        <v>107</v>
      </c>
      <c r="D29" t="s">
        <v>108</v>
      </c>
      <c r="E29" s="5" t="s">
        <v>259</v>
      </c>
      <c r="F29" s="5" t="s">
        <v>268</v>
      </c>
      <c r="G29" t="b">
        <f t="shared" si="0"/>
        <v>1</v>
      </c>
    </row>
    <row r="30" spans="1:7" x14ac:dyDescent="0.35">
      <c r="A30" t="s">
        <v>109</v>
      </c>
      <c r="B30">
        <v>2021</v>
      </c>
      <c r="C30" t="s">
        <v>162</v>
      </c>
      <c r="D30" t="s">
        <v>163</v>
      </c>
      <c r="E30" s="5" t="s">
        <v>256</v>
      </c>
      <c r="F30" s="5" t="s">
        <v>257</v>
      </c>
      <c r="G30" t="b">
        <f t="shared" si="0"/>
        <v>0</v>
      </c>
    </row>
    <row r="31" spans="1:7" x14ac:dyDescent="0.35">
      <c r="A31" t="s">
        <v>110</v>
      </c>
      <c r="B31">
        <v>2021</v>
      </c>
      <c r="C31" t="s">
        <v>164</v>
      </c>
      <c r="D31" t="s">
        <v>165</v>
      </c>
      <c r="E31" s="5" t="s">
        <v>256</v>
      </c>
      <c r="F31" s="5" t="s">
        <v>257</v>
      </c>
      <c r="G31" t="b">
        <f t="shared" si="0"/>
        <v>0</v>
      </c>
    </row>
    <row r="32" spans="1:7" x14ac:dyDescent="0.35">
      <c r="A32" t="s">
        <v>72</v>
      </c>
      <c r="B32">
        <v>2021</v>
      </c>
      <c r="C32" t="s">
        <v>73</v>
      </c>
      <c r="D32" t="s">
        <v>74</v>
      </c>
      <c r="E32" s="5" t="s">
        <v>259</v>
      </c>
      <c r="F32" s="5" t="s">
        <v>269</v>
      </c>
      <c r="G32" t="b">
        <f t="shared" si="0"/>
        <v>1</v>
      </c>
    </row>
    <row r="33" spans="1:7" x14ac:dyDescent="0.35">
      <c r="A33" t="s">
        <v>75</v>
      </c>
      <c r="B33">
        <v>2021</v>
      </c>
      <c r="C33" t="s">
        <v>76</v>
      </c>
      <c r="D33" t="s">
        <v>77</v>
      </c>
      <c r="E33" s="5" t="s">
        <v>256</v>
      </c>
      <c r="F33" s="5" t="s">
        <v>257</v>
      </c>
      <c r="G33" t="b">
        <f t="shared" si="0"/>
        <v>0</v>
      </c>
    </row>
    <row r="34" spans="1:7" x14ac:dyDescent="0.35">
      <c r="A34" t="s">
        <v>111</v>
      </c>
      <c r="B34">
        <v>2021</v>
      </c>
      <c r="C34" t="s">
        <v>112</v>
      </c>
      <c r="D34" t="s">
        <v>113</v>
      </c>
      <c r="E34" s="5" t="s">
        <v>256</v>
      </c>
      <c r="F34" s="5" t="s">
        <v>257</v>
      </c>
      <c r="G34" t="b">
        <f t="shared" si="0"/>
        <v>0</v>
      </c>
    </row>
    <row r="35" spans="1:7" x14ac:dyDescent="0.35">
      <c r="A35" t="s">
        <v>114</v>
      </c>
      <c r="B35">
        <v>2021</v>
      </c>
      <c r="C35" t="s">
        <v>115</v>
      </c>
      <c r="D35" t="s">
        <v>116</v>
      </c>
      <c r="E35" s="5" t="s">
        <v>259</v>
      </c>
      <c r="F35" s="5" t="s">
        <v>270</v>
      </c>
      <c r="G35" t="b">
        <f t="shared" si="0"/>
        <v>1</v>
      </c>
    </row>
    <row r="36" spans="1:7" x14ac:dyDescent="0.35">
      <c r="A36" t="s">
        <v>117</v>
      </c>
      <c r="B36">
        <v>2021</v>
      </c>
      <c r="C36" t="s">
        <v>168</v>
      </c>
      <c r="D36" t="s">
        <v>169</v>
      </c>
      <c r="E36" s="5" t="s">
        <v>256</v>
      </c>
      <c r="F36" s="5" t="s">
        <v>257</v>
      </c>
      <c r="G36" t="b">
        <f t="shared" si="0"/>
        <v>0</v>
      </c>
    </row>
    <row r="37" spans="1:7" x14ac:dyDescent="0.35">
      <c r="A37" t="s">
        <v>118</v>
      </c>
      <c r="B37">
        <v>2021</v>
      </c>
      <c r="C37" t="s">
        <v>119</v>
      </c>
      <c r="D37" t="s">
        <v>120</v>
      </c>
      <c r="E37" s="5" t="s">
        <v>259</v>
      </c>
      <c r="F37" s="5" t="s">
        <v>271</v>
      </c>
      <c r="G37" t="b">
        <f t="shared" si="0"/>
        <v>1</v>
      </c>
    </row>
    <row r="38" spans="1:7" x14ac:dyDescent="0.35">
      <c r="A38" t="s">
        <v>78</v>
      </c>
      <c r="B38">
        <v>2021</v>
      </c>
      <c r="C38" t="s">
        <v>79</v>
      </c>
      <c r="D38" t="s">
        <v>80</v>
      </c>
      <c r="E38" s="5" t="s">
        <v>256</v>
      </c>
      <c r="F38" s="5" t="s">
        <v>257</v>
      </c>
      <c r="G38" t="b">
        <f t="shared" si="0"/>
        <v>0</v>
      </c>
    </row>
    <row r="39" spans="1:7" x14ac:dyDescent="0.35">
      <c r="A39" t="s">
        <v>121</v>
      </c>
      <c r="B39">
        <v>2021</v>
      </c>
      <c r="C39" t="s">
        <v>122</v>
      </c>
      <c r="D39" t="s">
        <v>123</v>
      </c>
      <c r="E39" s="5" t="s">
        <v>259</v>
      </c>
      <c r="F39" s="5" t="s">
        <v>272</v>
      </c>
      <c r="G39" t="b">
        <f t="shared" si="0"/>
        <v>1</v>
      </c>
    </row>
    <row r="40" spans="1:7" x14ac:dyDescent="0.35">
      <c r="A40" t="s">
        <v>124</v>
      </c>
      <c r="B40">
        <v>2021</v>
      </c>
      <c r="C40" t="s">
        <v>125</v>
      </c>
      <c r="D40" t="s">
        <v>171</v>
      </c>
      <c r="E40" s="5" t="s">
        <v>256</v>
      </c>
      <c r="F40" s="5" t="s">
        <v>257</v>
      </c>
      <c r="G40" t="b">
        <f t="shared" si="0"/>
        <v>0</v>
      </c>
    </row>
    <row r="41" spans="1:7" x14ac:dyDescent="0.35">
      <c r="A41" t="s">
        <v>126</v>
      </c>
      <c r="B41">
        <v>2025</v>
      </c>
      <c r="C41" t="s">
        <v>127</v>
      </c>
      <c r="D41" t="s">
        <v>128</v>
      </c>
      <c r="E41" s="5" t="s">
        <v>256</v>
      </c>
      <c r="F41" s="5" t="s">
        <v>257</v>
      </c>
      <c r="G41" t="b">
        <f t="shared" si="0"/>
        <v>0</v>
      </c>
    </row>
    <row r="42" spans="1:7" x14ac:dyDescent="0.35">
      <c r="A42" t="s">
        <v>129</v>
      </c>
      <c r="B42">
        <v>2025</v>
      </c>
      <c r="C42" t="s">
        <v>130</v>
      </c>
      <c r="D42" t="s">
        <v>131</v>
      </c>
      <c r="E42" s="5" t="s">
        <v>259</v>
      </c>
      <c r="F42" s="5" t="s">
        <v>273</v>
      </c>
      <c r="G42" t="b">
        <f t="shared" si="0"/>
        <v>1</v>
      </c>
    </row>
    <row r="43" spans="1:7" x14ac:dyDescent="0.35">
      <c r="A43" t="s">
        <v>132</v>
      </c>
      <c r="B43">
        <v>2025</v>
      </c>
      <c r="C43" t="s">
        <v>133</v>
      </c>
      <c r="D43" t="s">
        <v>172</v>
      </c>
      <c r="E43" s="5" t="s">
        <v>256</v>
      </c>
      <c r="F43" s="5" t="s">
        <v>257</v>
      </c>
      <c r="G43" t="b">
        <f t="shared" si="0"/>
        <v>0</v>
      </c>
    </row>
    <row r="44" spans="1:7" x14ac:dyDescent="0.35">
      <c r="A44" t="s">
        <v>81</v>
      </c>
      <c r="B44">
        <v>2025</v>
      </c>
      <c r="C44" t="s">
        <v>82</v>
      </c>
      <c r="D44" t="s">
        <v>83</v>
      </c>
      <c r="E44" s="5" t="s">
        <v>259</v>
      </c>
      <c r="F44" s="5" t="s">
        <v>274</v>
      </c>
      <c r="G44" t="b">
        <f t="shared" si="0"/>
        <v>1</v>
      </c>
    </row>
    <row r="45" spans="1:7" x14ac:dyDescent="0.35">
      <c r="A45" t="s">
        <v>84</v>
      </c>
      <c r="B45">
        <v>2025</v>
      </c>
      <c r="C45" t="s">
        <v>85</v>
      </c>
      <c r="D45" t="s">
        <v>86</v>
      </c>
      <c r="E45" s="5" t="s">
        <v>256</v>
      </c>
      <c r="F45" s="5" t="s">
        <v>257</v>
      </c>
      <c r="G45" t="b">
        <f t="shared" si="0"/>
        <v>0</v>
      </c>
    </row>
    <row r="46" spans="1:7" x14ac:dyDescent="0.35">
      <c r="A46" t="s">
        <v>134</v>
      </c>
      <c r="B46">
        <v>2025</v>
      </c>
      <c r="C46" t="s">
        <v>135</v>
      </c>
      <c r="D46" t="s">
        <v>173</v>
      </c>
      <c r="E46" s="5" t="s">
        <v>256</v>
      </c>
      <c r="F46" s="5" t="s">
        <v>257</v>
      </c>
      <c r="G46" t="b">
        <f t="shared" si="0"/>
        <v>0</v>
      </c>
    </row>
    <row r="47" spans="1:7" ht="409.5" x14ac:dyDescent="0.35">
      <c r="A47" t="s">
        <v>174</v>
      </c>
      <c r="B47">
        <v>2025</v>
      </c>
      <c r="C47" t="s">
        <v>175</v>
      </c>
      <c r="D47" s="1" t="s">
        <v>176</v>
      </c>
      <c r="E47" s="5" t="s">
        <v>256</v>
      </c>
      <c r="F47" s="5" t="s">
        <v>257</v>
      </c>
      <c r="G47" t="b">
        <f t="shared" si="0"/>
        <v>0</v>
      </c>
    </row>
    <row r="48" spans="1:7" x14ac:dyDescent="0.35">
      <c r="A48" t="s">
        <v>177</v>
      </c>
      <c r="B48">
        <v>2025</v>
      </c>
      <c r="C48" t="s">
        <v>178</v>
      </c>
      <c r="D48" t="s">
        <v>179</v>
      </c>
      <c r="E48" s="5" t="s">
        <v>256</v>
      </c>
      <c r="F48" s="5" t="s">
        <v>275</v>
      </c>
      <c r="G48" t="b">
        <f t="shared" si="0"/>
        <v>0</v>
      </c>
    </row>
    <row r="49" spans="1:7" x14ac:dyDescent="0.35">
      <c r="A49" t="s">
        <v>180</v>
      </c>
      <c r="B49">
        <v>2025</v>
      </c>
      <c r="C49" t="s">
        <v>181</v>
      </c>
      <c r="D49" t="s">
        <v>182</v>
      </c>
      <c r="E49" s="5" t="s">
        <v>256</v>
      </c>
      <c r="F49" s="5" t="s">
        <v>257</v>
      </c>
      <c r="G49" t="b">
        <f t="shared" si="0"/>
        <v>0</v>
      </c>
    </row>
    <row r="50" spans="1:7" x14ac:dyDescent="0.35">
      <c r="A50" t="s">
        <v>183</v>
      </c>
      <c r="B50">
        <v>2025</v>
      </c>
      <c r="C50" t="s">
        <v>184</v>
      </c>
      <c r="D50" t="s">
        <v>185</v>
      </c>
      <c r="E50" s="5" t="s">
        <v>259</v>
      </c>
      <c r="F50" s="5" t="s">
        <v>276</v>
      </c>
      <c r="G50" t="b">
        <f t="shared" si="0"/>
        <v>1</v>
      </c>
    </row>
    <row r="51" spans="1:7" x14ac:dyDescent="0.35">
      <c r="A51" t="s">
        <v>186</v>
      </c>
      <c r="B51">
        <v>2025</v>
      </c>
      <c r="C51" t="s">
        <v>187</v>
      </c>
      <c r="D51" t="s">
        <v>188</v>
      </c>
      <c r="E51" s="5" t="s">
        <v>256</v>
      </c>
      <c r="F51" s="5" t="s">
        <v>257</v>
      </c>
      <c r="G51" t="b">
        <f t="shared" si="0"/>
        <v>0</v>
      </c>
    </row>
    <row r="52" spans="1:7" x14ac:dyDescent="0.35">
      <c r="A52" t="s">
        <v>189</v>
      </c>
      <c r="B52">
        <v>2025</v>
      </c>
      <c r="C52" t="s">
        <v>190</v>
      </c>
      <c r="D52" t="s">
        <v>191</v>
      </c>
      <c r="E52" s="5" t="s">
        <v>256</v>
      </c>
      <c r="F52" s="5" t="s">
        <v>257</v>
      </c>
      <c r="G52" t="b">
        <f t="shared" si="0"/>
        <v>0</v>
      </c>
    </row>
    <row r="53" spans="1:7" x14ac:dyDescent="0.35">
      <c r="A53" t="s">
        <v>192</v>
      </c>
      <c r="B53">
        <v>2025</v>
      </c>
      <c r="C53" t="s">
        <v>193</v>
      </c>
      <c r="D53" t="s">
        <v>194</v>
      </c>
      <c r="E53" s="5" t="s">
        <v>256</v>
      </c>
      <c r="F53" s="5" t="s">
        <v>257</v>
      </c>
      <c r="G53" t="b">
        <f t="shared" si="0"/>
        <v>0</v>
      </c>
    </row>
    <row r="54" spans="1:7" x14ac:dyDescent="0.35">
      <c r="A54" t="s">
        <v>196</v>
      </c>
      <c r="B54">
        <v>2025</v>
      </c>
      <c r="C54" t="s">
        <v>197</v>
      </c>
      <c r="D54" t="s">
        <v>198</v>
      </c>
      <c r="E54" s="5" t="s">
        <v>259</v>
      </c>
      <c r="F54" s="5" t="s">
        <v>277</v>
      </c>
      <c r="G54" t="b">
        <f t="shared" si="0"/>
        <v>1</v>
      </c>
    </row>
    <row r="55" spans="1:7" x14ac:dyDescent="0.35">
      <c r="A55" t="s">
        <v>199</v>
      </c>
      <c r="B55">
        <v>2025</v>
      </c>
      <c r="C55" t="s">
        <v>200</v>
      </c>
      <c r="D55" t="s">
        <v>201</v>
      </c>
      <c r="E55" s="5" t="s">
        <v>256</v>
      </c>
      <c r="F55" s="5" t="s">
        <v>257</v>
      </c>
      <c r="G55" t="b">
        <f t="shared" si="0"/>
        <v>0</v>
      </c>
    </row>
    <row r="56" spans="1:7" ht="409.5" x14ac:dyDescent="0.35">
      <c r="A56" t="s">
        <v>202</v>
      </c>
      <c r="B56">
        <v>2025</v>
      </c>
      <c r="C56" t="s">
        <v>203</v>
      </c>
      <c r="D56" s="1" t="s">
        <v>204</v>
      </c>
      <c r="E56" s="5" t="s">
        <v>259</v>
      </c>
      <c r="F56" s="5" t="s">
        <v>278</v>
      </c>
      <c r="G56" t="b">
        <f t="shared" si="0"/>
        <v>1</v>
      </c>
    </row>
    <row r="57" spans="1:7" x14ac:dyDescent="0.35">
      <c r="A57" t="s">
        <v>205</v>
      </c>
      <c r="B57">
        <v>2025</v>
      </c>
      <c r="C57" t="s">
        <v>206</v>
      </c>
      <c r="D57" t="s">
        <v>207</v>
      </c>
      <c r="E57" s="5" t="s">
        <v>259</v>
      </c>
      <c r="F57" s="5" t="s">
        <v>279</v>
      </c>
      <c r="G57" t="b">
        <f t="shared" si="0"/>
        <v>1</v>
      </c>
    </row>
    <row r="58" spans="1:7" x14ac:dyDescent="0.35">
      <c r="A58" t="s">
        <v>208</v>
      </c>
      <c r="B58">
        <v>2025</v>
      </c>
      <c r="C58" t="s">
        <v>209</v>
      </c>
      <c r="D58" t="s">
        <v>210</v>
      </c>
      <c r="E58" s="5" t="s">
        <v>256</v>
      </c>
      <c r="F58" s="5" t="s">
        <v>257</v>
      </c>
      <c r="G58" t="b">
        <f t="shared" si="0"/>
        <v>0</v>
      </c>
    </row>
    <row r="59" spans="1:7" x14ac:dyDescent="0.35">
      <c r="A59" t="s">
        <v>211</v>
      </c>
      <c r="B59">
        <v>2025</v>
      </c>
      <c r="C59" t="s">
        <v>212</v>
      </c>
      <c r="D59" t="s">
        <v>213</v>
      </c>
      <c r="E59" s="5" t="s">
        <v>256</v>
      </c>
      <c r="F59" s="5" t="s">
        <v>257</v>
      </c>
      <c r="G59" t="b">
        <f t="shared" si="0"/>
        <v>0</v>
      </c>
    </row>
    <row r="60" spans="1:7" x14ac:dyDescent="0.35">
      <c r="A60" t="s">
        <v>214</v>
      </c>
      <c r="B60">
        <v>2025</v>
      </c>
      <c r="C60" t="s">
        <v>215</v>
      </c>
      <c r="D60" t="s">
        <v>216</v>
      </c>
      <c r="E60" s="5" t="s">
        <v>259</v>
      </c>
      <c r="F60" s="5" t="s">
        <v>280</v>
      </c>
      <c r="G60" t="b">
        <f t="shared" si="0"/>
        <v>1</v>
      </c>
    </row>
    <row r="61" spans="1:7" x14ac:dyDescent="0.35">
      <c r="A61" t="s">
        <v>217</v>
      </c>
      <c r="B61">
        <v>2020</v>
      </c>
      <c r="C61" t="s">
        <v>218</v>
      </c>
      <c r="D61" t="s">
        <v>219</v>
      </c>
      <c r="E61" s="5" t="s">
        <v>256</v>
      </c>
      <c r="F61" s="5" t="s">
        <v>257</v>
      </c>
      <c r="G61" t="b">
        <f t="shared" si="0"/>
        <v>0</v>
      </c>
    </row>
    <row r="62" spans="1:7" x14ac:dyDescent="0.35">
      <c r="A62" t="s">
        <v>220</v>
      </c>
      <c r="B62">
        <v>2020</v>
      </c>
      <c r="C62" t="s">
        <v>221</v>
      </c>
      <c r="D62" t="s">
        <v>222</v>
      </c>
      <c r="E62" s="5" t="s">
        <v>256</v>
      </c>
      <c r="F62" s="5" t="s">
        <v>257</v>
      </c>
      <c r="G62" t="b">
        <f t="shared" si="0"/>
        <v>0</v>
      </c>
    </row>
    <row r="63" spans="1:7" x14ac:dyDescent="0.35">
      <c r="A63" t="s">
        <v>223</v>
      </c>
      <c r="B63">
        <v>2020</v>
      </c>
      <c r="C63" t="s">
        <v>224</v>
      </c>
      <c r="D63" t="s">
        <v>225</v>
      </c>
      <c r="E63" s="5" t="s">
        <v>256</v>
      </c>
      <c r="F63" s="5" t="s">
        <v>257</v>
      </c>
      <c r="G63" t="b">
        <f t="shared" si="0"/>
        <v>0</v>
      </c>
    </row>
    <row r="64" spans="1:7" x14ac:dyDescent="0.35">
      <c r="A64" t="s">
        <v>226</v>
      </c>
      <c r="B64">
        <v>2020</v>
      </c>
      <c r="C64" t="s">
        <v>227</v>
      </c>
      <c r="D64" t="s">
        <v>228</v>
      </c>
      <c r="E64" s="5" t="s">
        <v>259</v>
      </c>
      <c r="F64" s="5" t="s">
        <v>281</v>
      </c>
      <c r="G64" t="b">
        <f t="shared" si="0"/>
        <v>1</v>
      </c>
    </row>
    <row r="65" spans="1:7" x14ac:dyDescent="0.35">
      <c r="A65" t="s">
        <v>229</v>
      </c>
      <c r="B65">
        <v>2020</v>
      </c>
      <c r="C65" t="s">
        <v>230</v>
      </c>
      <c r="D65" t="s">
        <v>231</v>
      </c>
      <c r="E65" s="5" t="s">
        <v>256</v>
      </c>
      <c r="F65" s="5" t="s">
        <v>257</v>
      </c>
      <c r="G65" t="b">
        <f t="shared" si="0"/>
        <v>0</v>
      </c>
    </row>
    <row r="66" spans="1:7" ht="409.5" x14ac:dyDescent="0.35">
      <c r="A66" t="s">
        <v>232</v>
      </c>
      <c r="B66">
        <v>2022</v>
      </c>
      <c r="C66" t="s">
        <v>233</v>
      </c>
      <c r="D66" s="1" t="s">
        <v>234</v>
      </c>
      <c r="E66" s="5" t="s">
        <v>256</v>
      </c>
      <c r="F66" s="5" t="s">
        <v>257</v>
      </c>
      <c r="G66" t="b">
        <f t="shared" si="0"/>
        <v>0</v>
      </c>
    </row>
    <row r="67" spans="1:7" x14ac:dyDescent="0.35">
      <c r="A67" t="s">
        <v>235</v>
      </c>
      <c r="B67">
        <v>2022</v>
      </c>
      <c r="C67" t="s">
        <v>236</v>
      </c>
      <c r="D67" t="s">
        <v>237</v>
      </c>
      <c r="E67" s="5" t="s">
        <v>259</v>
      </c>
      <c r="F67" s="5" t="s">
        <v>282</v>
      </c>
      <c r="G67" t="b">
        <f t="shared" ref="G67:G72" si="1">IF(E67="EXCLUDE",FALSE,TRUE)</f>
        <v>1</v>
      </c>
    </row>
    <row r="68" spans="1:7" x14ac:dyDescent="0.35">
      <c r="A68" t="s">
        <v>239</v>
      </c>
      <c r="B68">
        <v>2022</v>
      </c>
      <c r="C68" t="s">
        <v>240</v>
      </c>
      <c r="D68" t="s">
        <v>241</v>
      </c>
      <c r="E68" s="5" t="s">
        <v>256</v>
      </c>
      <c r="F68" s="5" t="s">
        <v>257</v>
      </c>
      <c r="G68" t="b">
        <f t="shared" si="1"/>
        <v>0</v>
      </c>
    </row>
    <row r="69" spans="1:7" x14ac:dyDescent="0.35">
      <c r="A69" t="s">
        <v>242</v>
      </c>
      <c r="B69">
        <v>2022</v>
      </c>
      <c r="C69" t="s">
        <v>243</v>
      </c>
      <c r="D69" t="s">
        <v>244</v>
      </c>
      <c r="E69" s="5" t="s">
        <v>259</v>
      </c>
      <c r="F69" s="5" t="s">
        <v>283</v>
      </c>
      <c r="G69" t="b">
        <f t="shared" si="1"/>
        <v>1</v>
      </c>
    </row>
    <row r="70" spans="1:7" x14ac:dyDescent="0.35">
      <c r="A70" t="s">
        <v>246</v>
      </c>
      <c r="B70">
        <v>2022</v>
      </c>
      <c r="C70" t="s">
        <v>247</v>
      </c>
      <c r="D70" t="s">
        <v>248</v>
      </c>
      <c r="E70" s="5" t="s">
        <v>256</v>
      </c>
      <c r="F70" s="5" t="s">
        <v>257</v>
      </c>
      <c r="G70" t="b">
        <f t="shared" si="1"/>
        <v>0</v>
      </c>
    </row>
    <row r="71" spans="1:7" x14ac:dyDescent="0.35">
      <c r="A71" t="s">
        <v>249</v>
      </c>
      <c r="B71">
        <v>2022</v>
      </c>
      <c r="C71" t="s">
        <v>250</v>
      </c>
      <c r="D71" t="s">
        <v>251</v>
      </c>
      <c r="E71" s="5" t="s">
        <v>256</v>
      </c>
      <c r="F71" s="5" t="s">
        <v>257</v>
      </c>
      <c r="G71" t="b">
        <f t="shared" si="1"/>
        <v>0</v>
      </c>
    </row>
    <row r="72" spans="1:7" x14ac:dyDescent="0.35">
      <c r="A72" t="s">
        <v>252</v>
      </c>
      <c r="B72">
        <v>2022</v>
      </c>
      <c r="C72" t="s">
        <v>253</v>
      </c>
      <c r="D72" t="s">
        <v>254</v>
      </c>
      <c r="E72" s="5" t="s">
        <v>256</v>
      </c>
      <c r="F72" s="5" t="s">
        <v>257</v>
      </c>
      <c r="G72" t="b">
        <f t="shared" si="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N72"/>
  <sheetViews>
    <sheetView workbookViewId="0">
      <selection activeCell="M1" sqref="M1"/>
    </sheetView>
  </sheetViews>
  <sheetFormatPr defaultRowHeight="14.5" x14ac:dyDescent="0.35"/>
  <sheetData>
    <row r="1" spans="1:14" x14ac:dyDescent="0.35">
      <c r="A1" t="s">
        <v>0</v>
      </c>
      <c r="B1" t="s">
        <v>1</v>
      </c>
      <c r="C1" t="s">
        <v>2</v>
      </c>
      <c r="D1" t="s">
        <v>3</v>
      </c>
      <c r="E1" t="s">
        <v>48</v>
      </c>
      <c r="F1" t="s">
        <v>49</v>
      </c>
      <c r="G1" t="s">
        <v>136</v>
      </c>
      <c r="H1" t="s">
        <v>50</v>
      </c>
      <c r="I1" t="s">
        <v>286</v>
      </c>
      <c r="J1" s="5" t="s">
        <v>255</v>
      </c>
      <c r="K1" t="s">
        <v>287</v>
      </c>
      <c r="L1" s="8" t="s">
        <v>317</v>
      </c>
      <c r="M1" s="8" t="s">
        <v>255</v>
      </c>
      <c r="N1" t="s">
        <v>287</v>
      </c>
    </row>
    <row r="2" spans="1:14" x14ac:dyDescent="0.35">
      <c r="A2" t="s">
        <v>4</v>
      </c>
      <c r="B2">
        <v>2019</v>
      </c>
      <c r="C2" t="s">
        <v>5</v>
      </c>
      <c r="D2" t="s">
        <v>137</v>
      </c>
      <c r="E2" t="b">
        <v>0</v>
      </c>
      <c r="F2" t="s">
        <v>288</v>
      </c>
      <c r="G2" t="s">
        <v>138</v>
      </c>
      <c r="H2">
        <v>0.95</v>
      </c>
      <c r="I2" s="5" t="s">
        <v>256</v>
      </c>
      <c r="J2" s="5" t="s">
        <v>257</v>
      </c>
      <c r="K2" t="b">
        <f>IF(I2="EXCLUDE",FALSE,TRUE)</f>
        <v>0</v>
      </c>
      <c r="L2" s="5" t="s">
        <v>318</v>
      </c>
      <c r="M2" s="5" t="s">
        <v>319</v>
      </c>
      <c r="N2" t="b">
        <f>IF(L2="EXCLUDE",FALSE,TRUE)</f>
        <v>0</v>
      </c>
    </row>
    <row r="3" spans="1:14" x14ac:dyDescent="0.35">
      <c r="A3" t="s">
        <v>6</v>
      </c>
      <c r="B3">
        <v>2019</v>
      </c>
      <c r="C3" t="s">
        <v>7</v>
      </c>
      <c r="D3" t="s">
        <v>51</v>
      </c>
      <c r="E3" t="b">
        <v>0</v>
      </c>
      <c r="F3" t="s">
        <v>139</v>
      </c>
      <c r="G3" t="s">
        <v>138</v>
      </c>
      <c r="H3">
        <v>0.9</v>
      </c>
      <c r="I3" s="5" t="s">
        <v>256</v>
      </c>
      <c r="J3" s="5" t="s">
        <v>258</v>
      </c>
      <c r="K3" t="b">
        <f t="shared" ref="K3:K66" si="0">IF(I3="EXCLUDE",FALSE,TRUE)</f>
        <v>0</v>
      </c>
      <c r="L3" s="5" t="s">
        <v>318</v>
      </c>
      <c r="M3" s="5" t="s">
        <v>319</v>
      </c>
      <c r="N3" t="b">
        <f t="shared" ref="N3:N66" si="1">IF(L3="EXCLUDE",FALSE,TRUE)</f>
        <v>0</v>
      </c>
    </row>
    <row r="4" spans="1:14" x14ac:dyDescent="0.35">
      <c r="A4" t="s">
        <v>8</v>
      </c>
      <c r="B4">
        <v>2019</v>
      </c>
      <c r="C4" t="s">
        <v>9</v>
      </c>
      <c r="D4" t="s">
        <v>140</v>
      </c>
      <c r="E4" t="b">
        <v>0</v>
      </c>
      <c r="F4" t="s">
        <v>141</v>
      </c>
      <c r="G4" t="s">
        <v>138</v>
      </c>
      <c r="H4">
        <v>0.95</v>
      </c>
      <c r="I4" s="5" t="s">
        <v>256</v>
      </c>
      <c r="J4" s="5" t="s">
        <v>257</v>
      </c>
      <c r="K4" t="b">
        <f t="shared" si="0"/>
        <v>0</v>
      </c>
      <c r="L4" s="5" t="s">
        <v>318</v>
      </c>
      <c r="M4" s="5" t="s">
        <v>319</v>
      </c>
      <c r="N4" t="b">
        <f t="shared" si="1"/>
        <v>0</v>
      </c>
    </row>
    <row r="5" spans="1:14" x14ac:dyDescent="0.35">
      <c r="A5" t="s">
        <v>10</v>
      </c>
      <c r="B5">
        <v>2019</v>
      </c>
      <c r="C5" t="s">
        <v>11</v>
      </c>
      <c r="D5" t="s">
        <v>142</v>
      </c>
      <c r="E5" t="b">
        <v>0</v>
      </c>
      <c r="F5" t="s">
        <v>289</v>
      </c>
      <c r="G5" t="s">
        <v>138</v>
      </c>
      <c r="H5">
        <v>0.9</v>
      </c>
      <c r="I5" s="5" t="s">
        <v>256</v>
      </c>
      <c r="J5" s="5" t="s">
        <v>257</v>
      </c>
      <c r="K5" t="b">
        <f t="shared" si="0"/>
        <v>0</v>
      </c>
      <c r="L5" s="5" t="s">
        <v>318</v>
      </c>
      <c r="M5" s="5" t="s">
        <v>319</v>
      </c>
      <c r="N5" t="b">
        <f t="shared" si="1"/>
        <v>0</v>
      </c>
    </row>
    <row r="6" spans="1:14" x14ac:dyDescent="0.35">
      <c r="A6" t="s">
        <v>12</v>
      </c>
      <c r="B6">
        <v>2019</v>
      </c>
      <c r="C6" t="s">
        <v>13</v>
      </c>
      <c r="D6" t="s">
        <v>143</v>
      </c>
      <c r="E6" t="b">
        <v>1</v>
      </c>
      <c r="F6" t="s">
        <v>144</v>
      </c>
      <c r="G6" t="s">
        <v>167</v>
      </c>
      <c r="H6">
        <v>0.9</v>
      </c>
      <c r="I6" s="5" t="s">
        <v>259</v>
      </c>
      <c r="J6" s="5" t="s">
        <v>260</v>
      </c>
      <c r="K6" t="b">
        <f t="shared" si="0"/>
        <v>1</v>
      </c>
      <c r="L6" s="5" t="s">
        <v>320</v>
      </c>
      <c r="M6" s="5" t="s">
        <v>321</v>
      </c>
      <c r="N6" t="b">
        <f t="shared" si="1"/>
        <v>1</v>
      </c>
    </row>
    <row r="7" spans="1:14" x14ac:dyDescent="0.35">
      <c r="A7" t="s">
        <v>14</v>
      </c>
      <c r="B7">
        <v>2019</v>
      </c>
      <c r="C7" t="s">
        <v>146</v>
      </c>
      <c r="D7" t="s">
        <v>147</v>
      </c>
      <c r="E7" t="b">
        <v>0</v>
      </c>
      <c r="F7" t="s">
        <v>139</v>
      </c>
      <c r="G7" t="s">
        <v>138</v>
      </c>
      <c r="H7">
        <v>0.9</v>
      </c>
      <c r="I7" s="5" t="s">
        <v>256</v>
      </c>
      <c r="J7" s="5" t="s">
        <v>257</v>
      </c>
      <c r="K7" t="b">
        <f t="shared" si="0"/>
        <v>0</v>
      </c>
      <c r="L7" s="5" t="s">
        <v>318</v>
      </c>
      <c r="M7" s="5" t="s">
        <v>319</v>
      </c>
      <c r="N7" t="b">
        <f t="shared" si="1"/>
        <v>0</v>
      </c>
    </row>
    <row r="8" spans="1:14" x14ac:dyDescent="0.35">
      <c r="A8" t="s">
        <v>15</v>
      </c>
      <c r="B8">
        <v>2019</v>
      </c>
      <c r="C8" t="s">
        <v>148</v>
      </c>
      <c r="D8" t="s">
        <v>149</v>
      </c>
      <c r="E8" t="b">
        <v>0</v>
      </c>
      <c r="F8" t="s">
        <v>290</v>
      </c>
      <c r="G8" t="s">
        <v>138</v>
      </c>
      <c r="H8">
        <v>0.9</v>
      </c>
      <c r="I8" s="5" t="s">
        <v>256</v>
      </c>
      <c r="J8" s="5" t="s">
        <v>257</v>
      </c>
      <c r="K8" t="b">
        <f t="shared" si="0"/>
        <v>0</v>
      </c>
      <c r="L8" s="5" t="s">
        <v>318</v>
      </c>
      <c r="M8" s="5" t="s">
        <v>319</v>
      </c>
      <c r="N8" t="b">
        <f t="shared" si="1"/>
        <v>0</v>
      </c>
    </row>
    <row r="9" spans="1:14" x14ac:dyDescent="0.35">
      <c r="A9" t="s">
        <v>16</v>
      </c>
      <c r="B9">
        <v>2019</v>
      </c>
      <c r="C9" t="s">
        <v>17</v>
      </c>
      <c r="D9" t="s">
        <v>52</v>
      </c>
      <c r="E9" t="b">
        <v>0</v>
      </c>
      <c r="F9" t="s">
        <v>291</v>
      </c>
      <c r="G9" t="s">
        <v>138</v>
      </c>
      <c r="H9">
        <v>0.9</v>
      </c>
      <c r="I9" s="5" t="s">
        <v>256</v>
      </c>
      <c r="J9" s="5" t="s">
        <v>257</v>
      </c>
      <c r="K9" t="b">
        <f t="shared" si="0"/>
        <v>0</v>
      </c>
      <c r="L9" s="5" t="s">
        <v>318</v>
      </c>
      <c r="M9" s="5" t="s">
        <v>319</v>
      </c>
      <c r="N9" t="b">
        <f t="shared" si="1"/>
        <v>0</v>
      </c>
    </row>
    <row r="10" spans="1:14" x14ac:dyDescent="0.35">
      <c r="A10" t="s">
        <v>18</v>
      </c>
      <c r="B10">
        <v>2019</v>
      </c>
      <c r="C10" t="s">
        <v>19</v>
      </c>
      <c r="D10" t="s">
        <v>150</v>
      </c>
      <c r="E10" t="b">
        <v>0</v>
      </c>
      <c r="F10" t="s">
        <v>292</v>
      </c>
      <c r="G10" t="s">
        <v>138</v>
      </c>
      <c r="H10">
        <v>1</v>
      </c>
      <c r="I10" s="5" t="s">
        <v>256</v>
      </c>
      <c r="J10" s="5" t="s">
        <v>257</v>
      </c>
      <c r="K10" t="b">
        <f t="shared" si="0"/>
        <v>0</v>
      </c>
      <c r="L10" s="5" t="s">
        <v>318</v>
      </c>
      <c r="M10" s="5" t="s">
        <v>322</v>
      </c>
      <c r="N10" t="b">
        <f t="shared" si="1"/>
        <v>0</v>
      </c>
    </row>
    <row r="11" spans="1:14" x14ac:dyDescent="0.35">
      <c r="A11" t="s">
        <v>20</v>
      </c>
      <c r="B11">
        <v>2019</v>
      </c>
      <c r="C11" t="s">
        <v>21</v>
      </c>
      <c r="D11" t="s">
        <v>22</v>
      </c>
      <c r="E11" t="b">
        <v>0</v>
      </c>
      <c r="F11" t="s">
        <v>293</v>
      </c>
      <c r="G11" t="s">
        <v>138</v>
      </c>
      <c r="H11">
        <v>0.9</v>
      </c>
      <c r="I11" s="5" t="s">
        <v>256</v>
      </c>
      <c r="J11" s="5" t="s">
        <v>257</v>
      </c>
      <c r="K11" t="b">
        <f t="shared" si="0"/>
        <v>0</v>
      </c>
      <c r="L11" s="5" t="s">
        <v>318</v>
      </c>
      <c r="M11" s="5" t="s">
        <v>319</v>
      </c>
      <c r="N11" t="b">
        <f t="shared" si="1"/>
        <v>0</v>
      </c>
    </row>
    <row r="12" spans="1:14" x14ac:dyDescent="0.35">
      <c r="A12" t="s">
        <v>23</v>
      </c>
      <c r="B12">
        <v>2019</v>
      </c>
      <c r="C12" t="s">
        <v>24</v>
      </c>
      <c r="D12" t="s">
        <v>25</v>
      </c>
      <c r="E12" t="b">
        <v>0</v>
      </c>
      <c r="F12" t="s">
        <v>294</v>
      </c>
      <c r="G12" t="s">
        <v>138</v>
      </c>
      <c r="H12">
        <v>0.9</v>
      </c>
      <c r="I12" s="5" t="s">
        <v>259</v>
      </c>
      <c r="J12" s="5" t="s">
        <v>261</v>
      </c>
      <c r="K12" t="b">
        <f t="shared" si="0"/>
        <v>1</v>
      </c>
      <c r="L12" s="5" t="s">
        <v>320</v>
      </c>
      <c r="M12" s="5" t="s">
        <v>323</v>
      </c>
      <c r="N12" t="b">
        <f t="shared" si="1"/>
        <v>1</v>
      </c>
    </row>
    <row r="13" spans="1:14" x14ac:dyDescent="0.35">
      <c r="A13" t="s">
        <v>26</v>
      </c>
      <c r="B13">
        <v>2019</v>
      </c>
      <c r="C13" t="s">
        <v>27</v>
      </c>
      <c r="D13" t="s">
        <v>28</v>
      </c>
      <c r="E13" t="b">
        <v>1</v>
      </c>
      <c r="F13" t="s">
        <v>295</v>
      </c>
      <c r="G13" t="s">
        <v>167</v>
      </c>
      <c r="H13">
        <v>0.9</v>
      </c>
      <c r="I13" s="5" t="s">
        <v>259</v>
      </c>
      <c r="J13" s="5" t="s">
        <v>262</v>
      </c>
      <c r="K13" t="b">
        <f t="shared" si="0"/>
        <v>1</v>
      </c>
      <c r="L13" s="5" t="s">
        <v>320</v>
      </c>
      <c r="M13" s="6" t="s">
        <v>324</v>
      </c>
      <c r="N13" t="b">
        <f t="shared" si="1"/>
        <v>1</v>
      </c>
    </row>
    <row r="14" spans="1:14" x14ac:dyDescent="0.35">
      <c r="A14" t="s">
        <v>29</v>
      </c>
      <c r="B14">
        <v>2019</v>
      </c>
      <c r="C14" t="s">
        <v>30</v>
      </c>
      <c r="D14" t="s">
        <v>31</v>
      </c>
      <c r="E14" t="b">
        <v>1</v>
      </c>
      <c r="F14" t="s">
        <v>151</v>
      </c>
      <c r="G14" t="s">
        <v>152</v>
      </c>
      <c r="H14">
        <v>0.9</v>
      </c>
      <c r="I14" s="5" t="s">
        <v>259</v>
      </c>
      <c r="J14" s="5" t="s">
        <v>263</v>
      </c>
      <c r="K14" t="b">
        <f t="shared" si="0"/>
        <v>1</v>
      </c>
      <c r="L14" s="5" t="s">
        <v>320</v>
      </c>
      <c r="M14" s="6" t="s">
        <v>325</v>
      </c>
      <c r="N14" t="b">
        <f t="shared" si="1"/>
        <v>1</v>
      </c>
    </row>
    <row r="15" spans="1:14" x14ac:dyDescent="0.35">
      <c r="A15" t="s">
        <v>87</v>
      </c>
      <c r="B15">
        <v>2019</v>
      </c>
      <c r="C15" t="s">
        <v>88</v>
      </c>
      <c r="D15" t="s">
        <v>89</v>
      </c>
      <c r="E15" t="b">
        <v>0</v>
      </c>
      <c r="F15" t="s">
        <v>296</v>
      </c>
      <c r="G15" t="s">
        <v>138</v>
      </c>
      <c r="H15">
        <v>0.9</v>
      </c>
      <c r="I15" s="5" t="s">
        <v>256</v>
      </c>
      <c r="J15" s="5" t="s">
        <v>264</v>
      </c>
      <c r="K15" t="b">
        <v>1</v>
      </c>
      <c r="L15" s="5" t="s">
        <v>320</v>
      </c>
      <c r="M15" s="6" t="s">
        <v>326</v>
      </c>
      <c r="N15" t="b">
        <f t="shared" si="1"/>
        <v>1</v>
      </c>
    </row>
    <row r="16" spans="1:14" x14ac:dyDescent="0.35">
      <c r="A16" t="s">
        <v>54</v>
      </c>
      <c r="B16">
        <v>2019</v>
      </c>
      <c r="C16" t="s">
        <v>55</v>
      </c>
      <c r="D16" t="s">
        <v>56</v>
      </c>
      <c r="E16" t="b">
        <v>0</v>
      </c>
      <c r="F16" t="s">
        <v>139</v>
      </c>
      <c r="G16" t="s">
        <v>138</v>
      </c>
      <c r="H16">
        <v>0.9</v>
      </c>
      <c r="I16" s="5" t="s">
        <v>256</v>
      </c>
      <c r="J16" s="5" t="s">
        <v>257</v>
      </c>
      <c r="K16" t="b">
        <f t="shared" si="0"/>
        <v>0</v>
      </c>
      <c r="L16" s="5" t="s">
        <v>318</v>
      </c>
      <c r="M16" s="5" t="s">
        <v>319</v>
      </c>
      <c r="N16" t="b">
        <f t="shared" si="1"/>
        <v>0</v>
      </c>
    </row>
    <row r="17" spans="1:14" x14ac:dyDescent="0.35">
      <c r="A17" t="s">
        <v>90</v>
      </c>
      <c r="B17">
        <v>2019</v>
      </c>
      <c r="C17" t="s">
        <v>91</v>
      </c>
      <c r="D17" t="s">
        <v>153</v>
      </c>
      <c r="E17" t="b">
        <v>0</v>
      </c>
      <c r="F17" t="s">
        <v>154</v>
      </c>
      <c r="G17" t="s">
        <v>138</v>
      </c>
      <c r="H17">
        <v>0.9</v>
      </c>
      <c r="I17" s="5" t="s">
        <v>256</v>
      </c>
      <c r="J17" s="5" t="s">
        <v>265</v>
      </c>
      <c r="K17" t="b">
        <f t="shared" si="0"/>
        <v>0</v>
      </c>
      <c r="L17" s="5" t="s">
        <v>318</v>
      </c>
      <c r="M17" s="5" t="s">
        <v>327</v>
      </c>
      <c r="N17" t="b">
        <f t="shared" si="1"/>
        <v>0</v>
      </c>
    </row>
    <row r="18" spans="1:14" x14ac:dyDescent="0.35">
      <c r="A18" t="s">
        <v>92</v>
      </c>
      <c r="B18">
        <v>2019</v>
      </c>
      <c r="C18" t="s">
        <v>93</v>
      </c>
      <c r="D18" t="s">
        <v>94</v>
      </c>
      <c r="E18" t="b">
        <v>1</v>
      </c>
      <c r="F18" t="s">
        <v>155</v>
      </c>
      <c r="G18" t="s">
        <v>152</v>
      </c>
      <c r="H18">
        <v>0.9</v>
      </c>
      <c r="I18" s="5" t="s">
        <v>259</v>
      </c>
      <c r="J18" s="5" t="s">
        <v>266</v>
      </c>
      <c r="K18" t="b">
        <f t="shared" si="0"/>
        <v>1</v>
      </c>
      <c r="L18" s="5" t="s">
        <v>320</v>
      </c>
      <c r="M18" s="6" t="s">
        <v>328</v>
      </c>
      <c r="N18" t="b">
        <f t="shared" si="1"/>
        <v>1</v>
      </c>
    </row>
    <row r="19" spans="1:14" x14ac:dyDescent="0.35">
      <c r="A19" t="s">
        <v>95</v>
      </c>
      <c r="B19">
        <v>2019</v>
      </c>
      <c r="C19" t="s">
        <v>96</v>
      </c>
      <c r="D19" t="s">
        <v>156</v>
      </c>
      <c r="E19" t="b">
        <v>0</v>
      </c>
      <c r="F19" t="s">
        <v>291</v>
      </c>
      <c r="G19" t="s">
        <v>138</v>
      </c>
      <c r="H19">
        <v>0.9</v>
      </c>
      <c r="I19" s="5" t="s">
        <v>256</v>
      </c>
      <c r="J19" s="5" t="s">
        <v>257</v>
      </c>
      <c r="K19" t="b">
        <f t="shared" si="0"/>
        <v>0</v>
      </c>
      <c r="L19" s="5" t="s">
        <v>318</v>
      </c>
      <c r="M19" s="5" t="s">
        <v>319</v>
      </c>
      <c r="N19" t="b">
        <f t="shared" si="1"/>
        <v>0</v>
      </c>
    </row>
    <row r="20" spans="1:14" x14ac:dyDescent="0.35">
      <c r="A20" t="s">
        <v>97</v>
      </c>
      <c r="B20">
        <v>2019</v>
      </c>
      <c r="C20" t="s">
        <v>98</v>
      </c>
      <c r="D20" t="s">
        <v>157</v>
      </c>
      <c r="E20" t="b">
        <v>0</v>
      </c>
      <c r="F20" t="s">
        <v>158</v>
      </c>
      <c r="G20" t="s">
        <v>138</v>
      </c>
      <c r="H20">
        <v>0.9</v>
      </c>
      <c r="I20" s="5" t="s">
        <v>256</v>
      </c>
      <c r="J20" s="5" t="s">
        <v>257</v>
      </c>
      <c r="K20" t="b">
        <f t="shared" si="0"/>
        <v>0</v>
      </c>
      <c r="L20" s="5" t="s">
        <v>318</v>
      </c>
      <c r="M20" s="5" t="s">
        <v>319</v>
      </c>
      <c r="N20" t="b">
        <f t="shared" si="1"/>
        <v>0</v>
      </c>
    </row>
    <row r="21" spans="1:14" ht="409.5" x14ac:dyDescent="0.35">
      <c r="A21" t="s">
        <v>57</v>
      </c>
      <c r="B21">
        <v>2019</v>
      </c>
      <c r="C21" t="s">
        <v>58</v>
      </c>
      <c r="D21" s="1" t="s">
        <v>59</v>
      </c>
      <c r="E21" t="b">
        <v>0</v>
      </c>
      <c r="F21" t="s">
        <v>297</v>
      </c>
      <c r="G21" t="s">
        <v>138</v>
      </c>
      <c r="H21">
        <v>0.9</v>
      </c>
      <c r="I21" s="5" t="s">
        <v>256</v>
      </c>
      <c r="J21" s="5" t="s">
        <v>257</v>
      </c>
      <c r="K21" t="b">
        <f t="shared" si="0"/>
        <v>0</v>
      </c>
      <c r="L21" s="5" t="s">
        <v>318</v>
      </c>
      <c r="M21" s="5" t="s">
        <v>319</v>
      </c>
      <c r="N21" t="b">
        <f t="shared" si="1"/>
        <v>0</v>
      </c>
    </row>
    <row r="22" spans="1:14" x14ac:dyDescent="0.35">
      <c r="A22" t="s">
        <v>60</v>
      </c>
      <c r="B22">
        <v>2019</v>
      </c>
      <c r="C22" t="s">
        <v>61</v>
      </c>
      <c r="D22" t="s">
        <v>62</v>
      </c>
      <c r="E22" t="b">
        <v>0</v>
      </c>
      <c r="F22" t="s">
        <v>296</v>
      </c>
      <c r="G22" t="s">
        <v>138</v>
      </c>
      <c r="H22">
        <v>0.9</v>
      </c>
      <c r="I22" s="5" t="s">
        <v>256</v>
      </c>
      <c r="J22" s="5" t="s">
        <v>257</v>
      </c>
      <c r="K22" t="b">
        <v>1</v>
      </c>
      <c r="L22" s="5" t="s">
        <v>320</v>
      </c>
      <c r="M22" s="6" t="s">
        <v>329</v>
      </c>
      <c r="N22" t="b">
        <f t="shared" si="1"/>
        <v>1</v>
      </c>
    </row>
    <row r="23" spans="1:14" x14ac:dyDescent="0.35">
      <c r="A23" t="s">
        <v>63</v>
      </c>
      <c r="B23">
        <v>2019</v>
      </c>
      <c r="C23" t="s">
        <v>64</v>
      </c>
      <c r="D23" t="s">
        <v>65</v>
      </c>
      <c r="E23" t="b">
        <v>0</v>
      </c>
      <c r="F23" t="s">
        <v>296</v>
      </c>
      <c r="G23" t="s">
        <v>138</v>
      </c>
      <c r="H23">
        <v>0.9</v>
      </c>
      <c r="I23" s="5" t="s">
        <v>256</v>
      </c>
      <c r="J23" s="5" t="s">
        <v>257</v>
      </c>
      <c r="K23" t="b">
        <v>1</v>
      </c>
      <c r="L23" s="5" t="s">
        <v>320</v>
      </c>
      <c r="M23" s="7" t="s">
        <v>330</v>
      </c>
      <c r="N23" t="b">
        <f t="shared" si="1"/>
        <v>1</v>
      </c>
    </row>
    <row r="24" spans="1:14" x14ac:dyDescent="0.35">
      <c r="A24" t="s">
        <v>66</v>
      </c>
      <c r="B24">
        <v>2019</v>
      </c>
      <c r="C24" t="s">
        <v>67</v>
      </c>
      <c r="D24" t="s">
        <v>68</v>
      </c>
      <c r="E24" t="b">
        <v>0</v>
      </c>
      <c r="F24" t="s">
        <v>290</v>
      </c>
      <c r="G24" t="s">
        <v>138</v>
      </c>
      <c r="H24">
        <v>0.9</v>
      </c>
      <c r="I24" s="5" t="s">
        <v>256</v>
      </c>
      <c r="J24" s="5" t="s">
        <v>257</v>
      </c>
      <c r="K24" t="b">
        <f t="shared" si="0"/>
        <v>0</v>
      </c>
      <c r="L24" s="5" t="s">
        <v>318</v>
      </c>
      <c r="M24" s="5" t="s">
        <v>319</v>
      </c>
      <c r="N24" t="b">
        <f t="shared" si="1"/>
        <v>0</v>
      </c>
    </row>
    <row r="25" spans="1:14" x14ac:dyDescent="0.35">
      <c r="A25" t="s">
        <v>99</v>
      </c>
      <c r="B25">
        <v>2019</v>
      </c>
      <c r="C25" t="s">
        <v>100</v>
      </c>
      <c r="D25" t="s">
        <v>159</v>
      </c>
      <c r="E25" t="b">
        <v>1</v>
      </c>
      <c r="F25" t="s">
        <v>298</v>
      </c>
      <c r="G25" t="s">
        <v>145</v>
      </c>
      <c r="H25">
        <v>0.9</v>
      </c>
      <c r="I25" s="5" t="s">
        <v>259</v>
      </c>
      <c r="J25" s="5" t="s">
        <v>267</v>
      </c>
      <c r="K25" t="b">
        <f t="shared" si="0"/>
        <v>1</v>
      </c>
      <c r="L25" s="5" t="s">
        <v>320</v>
      </c>
      <c r="M25" s="7" t="s">
        <v>331</v>
      </c>
      <c r="N25" t="b">
        <f t="shared" si="1"/>
        <v>1</v>
      </c>
    </row>
    <row r="26" spans="1:14" x14ac:dyDescent="0.35">
      <c r="A26" t="s">
        <v>69</v>
      </c>
      <c r="B26">
        <v>2021</v>
      </c>
      <c r="C26" t="s">
        <v>70</v>
      </c>
      <c r="D26" t="s">
        <v>71</v>
      </c>
      <c r="E26" t="b">
        <v>0</v>
      </c>
      <c r="F26" t="s">
        <v>139</v>
      </c>
      <c r="G26" t="s">
        <v>138</v>
      </c>
      <c r="H26">
        <v>0.9</v>
      </c>
      <c r="I26" s="5" t="s">
        <v>256</v>
      </c>
      <c r="J26" s="5" t="s">
        <v>257</v>
      </c>
      <c r="K26" t="b">
        <f t="shared" si="0"/>
        <v>0</v>
      </c>
      <c r="L26" s="5" t="s">
        <v>318</v>
      </c>
      <c r="M26" s="5" t="s">
        <v>319</v>
      </c>
      <c r="N26" t="b">
        <f t="shared" si="1"/>
        <v>0</v>
      </c>
    </row>
    <row r="27" spans="1:14" ht="409.5" x14ac:dyDescent="0.35">
      <c r="A27" t="s">
        <v>101</v>
      </c>
      <c r="B27">
        <v>2021</v>
      </c>
      <c r="C27" t="s">
        <v>102</v>
      </c>
      <c r="D27" s="1" t="s">
        <v>103</v>
      </c>
      <c r="E27" t="b">
        <v>0</v>
      </c>
      <c r="F27" t="s">
        <v>139</v>
      </c>
      <c r="G27" t="s">
        <v>138</v>
      </c>
      <c r="H27">
        <v>0.9</v>
      </c>
      <c r="I27" s="5" t="s">
        <v>256</v>
      </c>
      <c r="J27" s="5" t="s">
        <v>257</v>
      </c>
      <c r="K27" t="b">
        <f t="shared" si="0"/>
        <v>0</v>
      </c>
      <c r="L27" s="5" t="s">
        <v>318</v>
      </c>
      <c r="M27" s="5" t="s">
        <v>319</v>
      </c>
      <c r="N27" t="b">
        <f t="shared" si="1"/>
        <v>0</v>
      </c>
    </row>
    <row r="28" spans="1:14" x14ac:dyDescent="0.35">
      <c r="A28" t="s">
        <v>104</v>
      </c>
      <c r="B28">
        <v>2021</v>
      </c>
      <c r="C28" t="s">
        <v>105</v>
      </c>
      <c r="D28" t="s">
        <v>160</v>
      </c>
      <c r="E28" t="b">
        <v>0</v>
      </c>
      <c r="F28" t="s">
        <v>299</v>
      </c>
      <c r="G28" t="s">
        <v>138</v>
      </c>
      <c r="H28">
        <v>0.9</v>
      </c>
      <c r="I28" s="5" t="s">
        <v>256</v>
      </c>
      <c r="J28" s="5" t="s">
        <v>257</v>
      </c>
      <c r="K28" t="b">
        <f t="shared" si="0"/>
        <v>0</v>
      </c>
      <c r="L28" s="5" t="s">
        <v>318</v>
      </c>
      <c r="M28" s="5" t="s">
        <v>319</v>
      </c>
      <c r="N28" t="b">
        <f t="shared" si="1"/>
        <v>0</v>
      </c>
    </row>
    <row r="29" spans="1:14" x14ac:dyDescent="0.35">
      <c r="A29" t="s">
        <v>106</v>
      </c>
      <c r="B29">
        <v>2021</v>
      </c>
      <c r="C29" t="s">
        <v>107</v>
      </c>
      <c r="D29" t="s">
        <v>108</v>
      </c>
      <c r="E29" t="b">
        <v>1</v>
      </c>
      <c r="F29" t="s">
        <v>161</v>
      </c>
      <c r="G29" t="s">
        <v>167</v>
      </c>
      <c r="H29">
        <v>0.9</v>
      </c>
      <c r="I29" s="5" t="s">
        <v>259</v>
      </c>
      <c r="J29" s="5" t="s">
        <v>268</v>
      </c>
      <c r="K29" t="b">
        <f t="shared" si="0"/>
        <v>1</v>
      </c>
      <c r="L29" s="5" t="s">
        <v>320</v>
      </c>
      <c r="M29" s="6" t="s">
        <v>332</v>
      </c>
      <c r="N29" t="b">
        <f t="shared" si="1"/>
        <v>1</v>
      </c>
    </row>
    <row r="30" spans="1:14" x14ac:dyDescent="0.35">
      <c r="A30" t="s">
        <v>109</v>
      </c>
      <c r="B30">
        <v>2021</v>
      </c>
      <c r="C30" t="s">
        <v>162</v>
      </c>
      <c r="D30" t="s">
        <v>163</v>
      </c>
      <c r="E30" t="b">
        <v>0</v>
      </c>
      <c r="F30" t="s">
        <v>300</v>
      </c>
      <c r="G30" t="s">
        <v>138</v>
      </c>
      <c r="H30">
        <v>0.9</v>
      </c>
      <c r="I30" s="5" t="s">
        <v>256</v>
      </c>
      <c r="J30" s="5" t="s">
        <v>257</v>
      </c>
      <c r="K30" t="b">
        <f t="shared" si="0"/>
        <v>0</v>
      </c>
      <c r="L30" s="5" t="s">
        <v>318</v>
      </c>
      <c r="M30" s="5" t="s">
        <v>319</v>
      </c>
      <c r="N30" t="b">
        <f t="shared" si="1"/>
        <v>0</v>
      </c>
    </row>
    <row r="31" spans="1:14" x14ac:dyDescent="0.35">
      <c r="A31" t="s">
        <v>110</v>
      </c>
      <c r="B31">
        <v>2021</v>
      </c>
      <c r="C31" t="s">
        <v>164</v>
      </c>
      <c r="D31" t="s">
        <v>165</v>
      </c>
      <c r="E31" t="b">
        <v>0</v>
      </c>
      <c r="F31" t="s">
        <v>139</v>
      </c>
      <c r="G31" t="s">
        <v>138</v>
      </c>
      <c r="H31">
        <v>0.9</v>
      </c>
      <c r="I31" s="5" t="s">
        <v>256</v>
      </c>
      <c r="J31" s="5" t="s">
        <v>257</v>
      </c>
      <c r="K31" t="b">
        <f t="shared" si="0"/>
        <v>0</v>
      </c>
      <c r="L31" s="5" t="s">
        <v>318</v>
      </c>
      <c r="M31" s="5" t="s">
        <v>319</v>
      </c>
      <c r="N31" t="b">
        <f t="shared" si="1"/>
        <v>0</v>
      </c>
    </row>
    <row r="32" spans="1:14" x14ac:dyDescent="0.35">
      <c r="A32" t="s">
        <v>72</v>
      </c>
      <c r="B32">
        <v>2021</v>
      </c>
      <c r="C32" t="s">
        <v>73</v>
      </c>
      <c r="D32" t="s">
        <v>74</v>
      </c>
      <c r="E32" t="b">
        <v>0</v>
      </c>
      <c r="F32" t="s">
        <v>166</v>
      </c>
      <c r="G32" t="s">
        <v>138</v>
      </c>
      <c r="H32">
        <v>0.9</v>
      </c>
      <c r="I32" s="5" t="s">
        <v>259</v>
      </c>
      <c r="J32" s="5" t="s">
        <v>269</v>
      </c>
      <c r="K32" t="b">
        <f t="shared" si="0"/>
        <v>1</v>
      </c>
      <c r="L32" s="5" t="s">
        <v>320</v>
      </c>
      <c r="M32" s="5" t="s">
        <v>333</v>
      </c>
      <c r="N32" t="b">
        <f t="shared" si="1"/>
        <v>1</v>
      </c>
    </row>
    <row r="33" spans="1:14" x14ac:dyDescent="0.35">
      <c r="A33" t="s">
        <v>75</v>
      </c>
      <c r="B33">
        <v>2021</v>
      </c>
      <c r="C33" t="s">
        <v>76</v>
      </c>
      <c r="D33" t="s">
        <v>77</v>
      </c>
      <c r="E33" t="b">
        <v>0</v>
      </c>
      <c r="F33" t="s">
        <v>301</v>
      </c>
      <c r="G33" t="s">
        <v>138</v>
      </c>
      <c r="H33">
        <v>0.9</v>
      </c>
      <c r="I33" s="5" t="s">
        <v>256</v>
      </c>
      <c r="J33" s="5" t="s">
        <v>257</v>
      </c>
      <c r="K33" t="b">
        <f t="shared" si="0"/>
        <v>0</v>
      </c>
      <c r="L33" s="5" t="s">
        <v>318</v>
      </c>
      <c r="M33" s="5" t="s">
        <v>319</v>
      </c>
      <c r="N33" t="b">
        <f t="shared" si="1"/>
        <v>0</v>
      </c>
    </row>
    <row r="34" spans="1:14" x14ac:dyDescent="0.35">
      <c r="A34" t="s">
        <v>111</v>
      </c>
      <c r="B34">
        <v>2021</v>
      </c>
      <c r="C34" t="s">
        <v>112</v>
      </c>
      <c r="D34" t="s">
        <v>113</v>
      </c>
      <c r="E34" t="b">
        <v>0</v>
      </c>
      <c r="F34" t="s">
        <v>302</v>
      </c>
      <c r="G34" t="s">
        <v>138</v>
      </c>
      <c r="H34">
        <v>1</v>
      </c>
      <c r="I34" s="5" t="s">
        <v>256</v>
      </c>
      <c r="J34" s="5" t="s">
        <v>257</v>
      </c>
      <c r="K34" t="b">
        <f t="shared" si="0"/>
        <v>0</v>
      </c>
      <c r="L34" s="5" t="s">
        <v>318</v>
      </c>
      <c r="M34" s="5" t="s">
        <v>319</v>
      </c>
      <c r="N34" t="b">
        <f t="shared" si="1"/>
        <v>0</v>
      </c>
    </row>
    <row r="35" spans="1:14" x14ac:dyDescent="0.35">
      <c r="A35" t="s">
        <v>114</v>
      </c>
      <c r="B35">
        <v>2021</v>
      </c>
      <c r="C35" t="s">
        <v>115</v>
      </c>
      <c r="D35" t="s">
        <v>116</v>
      </c>
      <c r="E35" t="b">
        <v>1</v>
      </c>
      <c r="F35" t="s">
        <v>303</v>
      </c>
      <c r="G35" t="s">
        <v>167</v>
      </c>
      <c r="H35">
        <v>0.9</v>
      </c>
      <c r="I35" s="5" t="s">
        <v>259</v>
      </c>
      <c r="J35" s="5" t="s">
        <v>270</v>
      </c>
      <c r="K35" t="b">
        <f t="shared" si="0"/>
        <v>1</v>
      </c>
      <c r="L35" s="5" t="s">
        <v>320</v>
      </c>
      <c r="M35" s="6" t="s">
        <v>334</v>
      </c>
      <c r="N35" t="b">
        <f t="shared" si="1"/>
        <v>1</v>
      </c>
    </row>
    <row r="36" spans="1:14" x14ac:dyDescent="0.35">
      <c r="A36" t="s">
        <v>117</v>
      </c>
      <c r="B36">
        <v>2021</v>
      </c>
      <c r="C36" t="s">
        <v>168</v>
      </c>
      <c r="D36" t="s">
        <v>169</v>
      </c>
      <c r="E36" t="b">
        <v>0</v>
      </c>
      <c r="F36" t="s">
        <v>139</v>
      </c>
      <c r="G36" t="s">
        <v>138</v>
      </c>
      <c r="H36">
        <v>0.9</v>
      </c>
      <c r="I36" s="5" t="s">
        <v>256</v>
      </c>
      <c r="J36" s="5" t="s">
        <v>257</v>
      </c>
      <c r="K36" t="b">
        <f t="shared" si="0"/>
        <v>0</v>
      </c>
      <c r="L36" s="5" t="s">
        <v>318</v>
      </c>
      <c r="M36" s="5" t="s">
        <v>319</v>
      </c>
      <c r="N36" t="b">
        <f t="shared" si="1"/>
        <v>0</v>
      </c>
    </row>
    <row r="37" spans="1:14" x14ac:dyDescent="0.35">
      <c r="A37" t="s">
        <v>118</v>
      </c>
      <c r="B37">
        <v>2021</v>
      </c>
      <c r="C37" t="s">
        <v>119</v>
      </c>
      <c r="D37" t="s">
        <v>120</v>
      </c>
      <c r="E37" t="b">
        <v>1</v>
      </c>
      <c r="F37" t="s">
        <v>170</v>
      </c>
      <c r="G37" t="s">
        <v>152</v>
      </c>
      <c r="H37">
        <v>0.9</v>
      </c>
      <c r="I37" s="5" t="s">
        <v>259</v>
      </c>
      <c r="J37" s="5" t="s">
        <v>271</v>
      </c>
      <c r="K37" t="b">
        <f t="shared" si="0"/>
        <v>1</v>
      </c>
      <c r="L37" s="5" t="s">
        <v>320</v>
      </c>
      <c r="M37" s="6" t="s">
        <v>335</v>
      </c>
      <c r="N37" t="b">
        <f t="shared" si="1"/>
        <v>1</v>
      </c>
    </row>
    <row r="38" spans="1:14" x14ac:dyDescent="0.35">
      <c r="A38" t="s">
        <v>78</v>
      </c>
      <c r="B38">
        <v>2021</v>
      </c>
      <c r="C38" t="s">
        <v>79</v>
      </c>
      <c r="D38" t="s">
        <v>80</v>
      </c>
      <c r="E38" t="b">
        <v>0</v>
      </c>
      <c r="F38" t="s">
        <v>304</v>
      </c>
      <c r="G38" t="s">
        <v>138</v>
      </c>
      <c r="H38">
        <v>0.95</v>
      </c>
      <c r="I38" s="5" t="s">
        <v>256</v>
      </c>
      <c r="J38" s="5" t="s">
        <v>257</v>
      </c>
      <c r="K38" t="b">
        <f t="shared" si="0"/>
        <v>0</v>
      </c>
      <c r="L38" s="5" t="s">
        <v>318</v>
      </c>
      <c r="M38" s="5" t="s">
        <v>319</v>
      </c>
      <c r="N38" t="b">
        <f t="shared" si="1"/>
        <v>0</v>
      </c>
    </row>
    <row r="39" spans="1:14" x14ac:dyDescent="0.35">
      <c r="A39" t="s">
        <v>121</v>
      </c>
      <c r="B39">
        <v>2021</v>
      </c>
      <c r="C39" t="s">
        <v>122</v>
      </c>
      <c r="D39" t="s">
        <v>123</v>
      </c>
      <c r="E39" t="b">
        <v>1</v>
      </c>
      <c r="F39" t="s">
        <v>305</v>
      </c>
      <c r="G39" t="s">
        <v>152</v>
      </c>
      <c r="H39">
        <v>0.9</v>
      </c>
      <c r="I39" s="5" t="s">
        <v>259</v>
      </c>
      <c r="J39" s="5" t="s">
        <v>272</v>
      </c>
      <c r="K39" t="b">
        <v>0</v>
      </c>
      <c r="L39" s="5" t="s">
        <v>318</v>
      </c>
      <c r="M39" s="5" t="s">
        <v>319</v>
      </c>
      <c r="N39" t="b">
        <f t="shared" si="1"/>
        <v>0</v>
      </c>
    </row>
    <row r="40" spans="1:14" x14ac:dyDescent="0.35">
      <c r="A40" t="s">
        <v>124</v>
      </c>
      <c r="B40">
        <v>2021</v>
      </c>
      <c r="C40" t="s">
        <v>125</v>
      </c>
      <c r="D40" t="s">
        <v>171</v>
      </c>
      <c r="E40" t="b">
        <v>0</v>
      </c>
      <c r="F40" t="s">
        <v>292</v>
      </c>
      <c r="G40" t="s">
        <v>138</v>
      </c>
      <c r="H40">
        <v>0.95</v>
      </c>
      <c r="I40" s="5" t="s">
        <v>256</v>
      </c>
      <c r="J40" s="5" t="s">
        <v>257</v>
      </c>
      <c r="K40" t="b">
        <f t="shared" si="0"/>
        <v>0</v>
      </c>
      <c r="L40" s="5" t="s">
        <v>318</v>
      </c>
      <c r="M40" s="5" t="s">
        <v>319</v>
      </c>
      <c r="N40" t="b">
        <f t="shared" si="1"/>
        <v>0</v>
      </c>
    </row>
    <row r="41" spans="1:14" x14ac:dyDescent="0.35">
      <c r="A41" t="s">
        <v>126</v>
      </c>
      <c r="B41">
        <v>2025</v>
      </c>
      <c r="C41" t="s">
        <v>127</v>
      </c>
      <c r="D41" t="s">
        <v>128</v>
      </c>
      <c r="E41" t="b">
        <v>0</v>
      </c>
      <c r="F41" t="s">
        <v>139</v>
      </c>
      <c r="G41" t="s">
        <v>138</v>
      </c>
      <c r="H41">
        <v>1</v>
      </c>
      <c r="I41" s="5" t="s">
        <v>256</v>
      </c>
      <c r="J41" s="5" t="s">
        <v>257</v>
      </c>
      <c r="K41" t="b">
        <f t="shared" si="0"/>
        <v>0</v>
      </c>
      <c r="L41" s="5" t="s">
        <v>318</v>
      </c>
      <c r="M41" s="5" t="s">
        <v>319</v>
      </c>
      <c r="N41" t="b">
        <f t="shared" si="1"/>
        <v>0</v>
      </c>
    </row>
    <row r="42" spans="1:14" x14ac:dyDescent="0.35">
      <c r="A42" t="s">
        <v>129</v>
      </c>
      <c r="B42">
        <v>2025</v>
      </c>
      <c r="C42" t="s">
        <v>130</v>
      </c>
      <c r="D42" t="s">
        <v>131</v>
      </c>
      <c r="E42" t="b">
        <v>1</v>
      </c>
      <c r="F42" t="s">
        <v>306</v>
      </c>
      <c r="G42" t="s">
        <v>152</v>
      </c>
      <c r="H42">
        <v>0.9</v>
      </c>
      <c r="I42" s="5" t="s">
        <v>259</v>
      </c>
      <c r="J42" s="5" t="s">
        <v>273</v>
      </c>
      <c r="K42" t="b">
        <f t="shared" si="0"/>
        <v>1</v>
      </c>
      <c r="L42" s="5" t="s">
        <v>320</v>
      </c>
      <c r="M42" s="6" t="s">
        <v>336</v>
      </c>
      <c r="N42" t="b">
        <f t="shared" si="1"/>
        <v>1</v>
      </c>
    </row>
    <row r="43" spans="1:14" x14ac:dyDescent="0.35">
      <c r="A43" t="s">
        <v>132</v>
      </c>
      <c r="B43">
        <v>2025</v>
      </c>
      <c r="C43" t="s">
        <v>133</v>
      </c>
      <c r="D43" t="s">
        <v>172</v>
      </c>
      <c r="E43" t="b">
        <v>0</v>
      </c>
      <c r="F43" t="s">
        <v>139</v>
      </c>
      <c r="G43" t="s">
        <v>138</v>
      </c>
      <c r="H43">
        <v>0.95</v>
      </c>
      <c r="I43" s="5" t="s">
        <v>256</v>
      </c>
      <c r="J43" s="5" t="s">
        <v>257</v>
      </c>
      <c r="K43" t="b">
        <f t="shared" si="0"/>
        <v>0</v>
      </c>
      <c r="L43" s="5" t="s">
        <v>318</v>
      </c>
      <c r="M43" s="5" t="s">
        <v>319</v>
      </c>
      <c r="N43" t="b">
        <f t="shared" si="1"/>
        <v>0</v>
      </c>
    </row>
    <row r="44" spans="1:14" x14ac:dyDescent="0.35">
      <c r="A44" t="s">
        <v>81</v>
      </c>
      <c r="B44">
        <v>2025</v>
      </c>
      <c r="C44" t="s">
        <v>82</v>
      </c>
      <c r="D44" t="s">
        <v>83</v>
      </c>
      <c r="E44" t="b">
        <v>1</v>
      </c>
      <c r="F44" t="s">
        <v>307</v>
      </c>
      <c r="G44" t="s">
        <v>167</v>
      </c>
      <c r="H44">
        <v>0.9</v>
      </c>
      <c r="I44" s="5" t="s">
        <v>259</v>
      </c>
      <c r="J44" s="5" t="s">
        <v>274</v>
      </c>
      <c r="K44" t="b">
        <f t="shared" si="0"/>
        <v>1</v>
      </c>
      <c r="L44" s="5" t="s">
        <v>320</v>
      </c>
      <c r="M44" s="6" t="s">
        <v>337</v>
      </c>
      <c r="N44" t="b">
        <f t="shared" si="1"/>
        <v>1</v>
      </c>
    </row>
    <row r="45" spans="1:14" x14ac:dyDescent="0.35">
      <c r="A45" t="s">
        <v>84</v>
      </c>
      <c r="B45">
        <v>2025</v>
      </c>
      <c r="C45" t="s">
        <v>85</v>
      </c>
      <c r="D45" t="s">
        <v>86</v>
      </c>
      <c r="E45" t="b">
        <v>0</v>
      </c>
      <c r="F45" t="s">
        <v>139</v>
      </c>
      <c r="G45" t="s">
        <v>138</v>
      </c>
      <c r="H45">
        <v>0.9</v>
      </c>
      <c r="I45" s="5" t="s">
        <v>256</v>
      </c>
      <c r="J45" s="5" t="s">
        <v>257</v>
      </c>
      <c r="K45" t="b">
        <f t="shared" si="0"/>
        <v>0</v>
      </c>
      <c r="L45" s="5" t="s">
        <v>318</v>
      </c>
      <c r="M45" s="5" t="s">
        <v>319</v>
      </c>
      <c r="N45" t="b">
        <f t="shared" si="1"/>
        <v>0</v>
      </c>
    </row>
    <row r="46" spans="1:14" x14ac:dyDescent="0.35">
      <c r="A46" t="s">
        <v>134</v>
      </c>
      <c r="B46">
        <v>2025</v>
      </c>
      <c r="C46" t="s">
        <v>135</v>
      </c>
      <c r="D46" t="s">
        <v>173</v>
      </c>
      <c r="E46" t="b">
        <v>0</v>
      </c>
      <c r="F46" t="s">
        <v>139</v>
      </c>
      <c r="G46" t="s">
        <v>138</v>
      </c>
      <c r="H46">
        <v>0.9</v>
      </c>
      <c r="I46" s="5" t="s">
        <v>256</v>
      </c>
      <c r="J46" s="5" t="s">
        <v>257</v>
      </c>
      <c r="K46" t="b">
        <f t="shared" si="0"/>
        <v>0</v>
      </c>
      <c r="L46" s="5" t="s">
        <v>318</v>
      </c>
      <c r="M46" s="5" t="s">
        <v>319</v>
      </c>
      <c r="N46" t="b">
        <f t="shared" si="1"/>
        <v>0</v>
      </c>
    </row>
    <row r="47" spans="1:14" ht="409.5" x14ac:dyDescent="0.35">
      <c r="A47" t="s">
        <v>174</v>
      </c>
      <c r="B47">
        <v>2025</v>
      </c>
      <c r="C47" t="s">
        <v>175</v>
      </c>
      <c r="D47" s="1" t="s">
        <v>176</v>
      </c>
      <c r="E47" t="b">
        <v>0</v>
      </c>
      <c r="F47" t="s">
        <v>308</v>
      </c>
      <c r="G47" t="s">
        <v>138</v>
      </c>
      <c r="H47">
        <v>0.9</v>
      </c>
      <c r="I47" s="5" t="s">
        <v>256</v>
      </c>
      <c r="J47" s="5" t="s">
        <v>257</v>
      </c>
      <c r="K47" t="b">
        <f t="shared" si="0"/>
        <v>0</v>
      </c>
      <c r="L47" s="5" t="s">
        <v>318</v>
      </c>
      <c r="M47" s="5" t="s">
        <v>319</v>
      </c>
      <c r="N47" t="b">
        <f t="shared" si="1"/>
        <v>0</v>
      </c>
    </row>
    <row r="48" spans="1:14" x14ac:dyDescent="0.35">
      <c r="A48" t="s">
        <v>177</v>
      </c>
      <c r="B48">
        <v>2025</v>
      </c>
      <c r="C48" t="s">
        <v>178</v>
      </c>
      <c r="D48" t="s">
        <v>179</v>
      </c>
      <c r="E48" t="b">
        <v>0</v>
      </c>
      <c r="F48" t="s">
        <v>139</v>
      </c>
      <c r="G48" t="s">
        <v>138</v>
      </c>
      <c r="H48">
        <v>0.9</v>
      </c>
      <c r="I48" s="5" t="s">
        <v>256</v>
      </c>
      <c r="J48" s="5" t="s">
        <v>275</v>
      </c>
      <c r="K48" t="b">
        <f t="shared" si="0"/>
        <v>0</v>
      </c>
      <c r="L48" s="5" t="s">
        <v>318</v>
      </c>
      <c r="M48" s="5" t="s">
        <v>319</v>
      </c>
      <c r="N48" t="b">
        <f t="shared" si="1"/>
        <v>0</v>
      </c>
    </row>
    <row r="49" spans="1:14" x14ac:dyDescent="0.35">
      <c r="A49" t="s">
        <v>180</v>
      </c>
      <c r="B49">
        <v>2025</v>
      </c>
      <c r="C49" t="s">
        <v>181</v>
      </c>
      <c r="D49" t="s">
        <v>182</v>
      </c>
      <c r="E49" t="b">
        <v>0</v>
      </c>
      <c r="F49" t="s">
        <v>309</v>
      </c>
      <c r="G49" t="s">
        <v>138</v>
      </c>
      <c r="H49">
        <v>0.9</v>
      </c>
      <c r="I49" s="5" t="s">
        <v>256</v>
      </c>
      <c r="J49" s="5" t="s">
        <v>257</v>
      </c>
      <c r="K49" t="b">
        <f t="shared" si="0"/>
        <v>0</v>
      </c>
      <c r="L49" s="5" t="s">
        <v>318</v>
      </c>
      <c r="M49" s="5" t="s">
        <v>319</v>
      </c>
      <c r="N49" t="b">
        <f t="shared" si="1"/>
        <v>0</v>
      </c>
    </row>
    <row r="50" spans="1:14" x14ac:dyDescent="0.35">
      <c r="A50" t="s">
        <v>183</v>
      </c>
      <c r="B50">
        <v>2025</v>
      </c>
      <c r="C50" t="s">
        <v>184</v>
      </c>
      <c r="D50" t="s">
        <v>185</v>
      </c>
      <c r="E50" t="b">
        <v>0</v>
      </c>
      <c r="F50" t="s">
        <v>310</v>
      </c>
      <c r="G50" t="s">
        <v>138</v>
      </c>
      <c r="H50">
        <v>0.8</v>
      </c>
      <c r="I50" s="5" t="s">
        <v>259</v>
      </c>
      <c r="J50" s="5" t="s">
        <v>276</v>
      </c>
      <c r="K50" t="b">
        <v>0</v>
      </c>
      <c r="L50" s="5" t="s">
        <v>318</v>
      </c>
      <c r="M50" s="5" t="s">
        <v>319</v>
      </c>
      <c r="N50" t="b">
        <f t="shared" si="1"/>
        <v>0</v>
      </c>
    </row>
    <row r="51" spans="1:14" x14ac:dyDescent="0.35">
      <c r="A51" t="s">
        <v>186</v>
      </c>
      <c r="B51">
        <v>2025</v>
      </c>
      <c r="C51" t="s">
        <v>187</v>
      </c>
      <c r="D51" t="s">
        <v>188</v>
      </c>
      <c r="E51" t="b">
        <v>0</v>
      </c>
      <c r="F51" t="s">
        <v>139</v>
      </c>
      <c r="G51" t="s">
        <v>138</v>
      </c>
      <c r="H51">
        <v>0.9</v>
      </c>
      <c r="I51" s="5" t="s">
        <v>256</v>
      </c>
      <c r="J51" s="5" t="s">
        <v>257</v>
      </c>
      <c r="K51" t="b">
        <f t="shared" si="0"/>
        <v>0</v>
      </c>
      <c r="L51" s="5" t="s">
        <v>318</v>
      </c>
      <c r="M51" s="5" t="s">
        <v>319</v>
      </c>
      <c r="N51" t="b">
        <f t="shared" si="1"/>
        <v>0</v>
      </c>
    </row>
    <row r="52" spans="1:14" x14ac:dyDescent="0.35">
      <c r="A52" t="s">
        <v>189</v>
      </c>
      <c r="B52">
        <v>2025</v>
      </c>
      <c r="C52" t="s">
        <v>190</v>
      </c>
      <c r="D52" t="s">
        <v>191</v>
      </c>
      <c r="E52" t="b">
        <v>0</v>
      </c>
      <c r="F52" t="s">
        <v>139</v>
      </c>
      <c r="G52" t="s">
        <v>138</v>
      </c>
      <c r="H52">
        <v>0.9</v>
      </c>
      <c r="I52" s="5" t="s">
        <v>256</v>
      </c>
      <c r="J52" s="5" t="s">
        <v>257</v>
      </c>
      <c r="K52" t="b">
        <f t="shared" si="0"/>
        <v>0</v>
      </c>
      <c r="L52" s="5" t="s">
        <v>318</v>
      </c>
      <c r="M52" s="5" t="s">
        <v>319</v>
      </c>
      <c r="N52" t="b">
        <f t="shared" si="1"/>
        <v>0</v>
      </c>
    </row>
    <row r="53" spans="1:14" x14ac:dyDescent="0.35">
      <c r="A53" t="s">
        <v>192</v>
      </c>
      <c r="B53">
        <v>2025</v>
      </c>
      <c r="C53" t="s">
        <v>193</v>
      </c>
      <c r="D53" t="s">
        <v>194</v>
      </c>
      <c r="E53" t="b">
        <v>1</v>
      </c>
      <c r="F53" t="s">
        <v>195</v>
      </c>
      <c r="G53" t="s">
        <v>152</v>
      </c>
      <c r="H53">
        <v>0.8</v>
      </c>
      <c r="I53" s="5" t="s">
        <v>256</v>
      </c>
      <c r="J53" s="5" t="s">
        <v>257</v>
      </c>
      <c r="K53" t="b">
        <f t="shared" si="0"/>
        <v>0</v>
      </c>
      <c r="L53" s="5" t="s">
        <v>318</v>
      </c>
      <c r="M53" s="5" t="s">
        <v>319</v>
      </c>
      <c r="N53" t="b">
        <f t="shared" si="1"/>
        <v>0</v>
      </c>
    </row>
    <row r="54" spans="1:14" x14ac:dyDescent="0.35">
      <c r="A54" t="s">
        <v>196</v>
      </c>
      <c r="B54">
        <v>2025</v>
      </c>
      <c r="C54" t="s">
        <v>197</v>
      </c>
      <c r="D54" t="s">
        <v>198</v>
      </c>
      <c r="E54" t="b">
        <v>1</v>
      </c>
      <c r="F54" t="s">
        <v>311</v>
      </c>
      <c r="G54" t="s">
        <v>145</v>
      </c>
      <c r="H54">
        <v>0.9</v>
      </c>
      <c r="I54" s="5" t="s">
        <v>259</v>
      </c>
      <c r="J54" s="5" t="s">
        <v>277</v>
      </c>
      <c r="K54" t="b">
        <f t="shared" si="0"/>
        <v>1</v>
      </c>
      <c r="L54" s="5" t="s">
        <v>320</v>
      </c>
      <c r="M54" s="6" t="s">
        <v>338</v>
      </c>
      <c r="N54" t="b">
        <f t="shared" si="1"/>
        <v>1</v>
      </c>
    </row>
    <row r="55" spans="1:14" x14ac:dyDescent="0.35">
      <c r="A55" t="s">
        <v>199</v>
      </c>
      <c r="B55">
        <v>2025</v>
      </c>
      <c r="C55" t="s">
        <v>200</v>
      </c>
      <c r="D55" t="s">
        <v>201</v>
      </c>
      <c r="E55" t="b">
        <v>0</v>
      </c>
      <c r="F55" t="s">
        <v>139</v>
      </c>
      <c r="G55" t="s">
        <v>138</v>
      </c>
      <c r="H55">
        <v>0.9</v>
      </c>
      <c r="I55" s="5" t="s">
        <v>256</v>
      </c>
      <c r="J55" s="5" t="s">
        <v>257</v>
      </c>
      <c r="K55" t="b">
        <f t="shared" si="0"/>
        <v>0</v>
      </c>
      <c r="L55" s="5" t="s">
        <v>318</v>
      </c>
      <c r="M55" s="5" t="s">
        <v>319</v>
      </c>
      <c r="N55" t="b">
        <f t="shared" si="1"/>
        <v>0</v>
      </c>
    </row>
    <row r="56" spans="1:14" ht="409.5" x14ac:dyDescent="0.35">
      <c r="A56" t="s">
        <v>202</v>
      </c>
      <c r="B56">
        <v>2025</v>
      </c>
      <c r="C56" t="s">
        <v>203</v>
      </c>
      <c r="D56" s="1" t="s">
        <v>204</v>
      </c>
      <c r="E56" t="b">
        <v>0</v>
      </c>
      <c r="F56" t="s">
        <v>238</v>
      </c>
      <c r="G56" t="s">
        <v>138</v>
      </c>
      <c r="H56">
        <v>0.9</v>
      </c>
      <c r="I56" s="5" t="s">
        <v>259</v>
      </c>
      <c r="J56" s="5" t="s">
        <v>278</v>
      </c>
      <c r="K56" t="b">
        <f t="shared" si="0"/>
        <v>1</v>
      </c>
      <c r="L56" s="5" t="s">
        <v>320</v>
      </c>
      <c r="M56" s="5" t="s">
        <v>339</v>
      </c>
      <c r="N56" t="b">
        <f t="shared" si="1"/>
        <v>1</v>
      </c>
    </row>
    <row r="57" spans="1:14" x14ac:dyDescent="0.35">
      <c r="A57" t="s">
        <v>205</v>
      </c>
      <c r="B57">
        <v>2025</v>
      </c>
      <c r="C57" t="s">
        <v>206</v>
      </c>
      <c r="D57" t="s">
        <v>207</v>
      </c>
      <c r="E57" t="b">
        <v>1</v>
      </c>
      <c r="F57" t="s">
        <v>312</v>
      </c>
      <c r="G57" t="s">
        <v>313</v>
      </c>
      <c r="H57">
        <v>0.9</v>
      </c>
      <c r="I57" s="5" t="s">
        <v>259</v>
      </c>
      <c r="J57" s="5" t="s">
        <v>279</v>
      </c>
      <c r="K57" t="b">
        <f t="shared" si="0"/>
        <v>1</v>
      </c>
      <c r="L57" s="5" t="s">
        <v>320</v>
      </c>
      <c r="M57" s="6" t="s">
        <v>340</v>
      </c>
      <c r="N57" t="b">
        <f t="shared" si="1"/>
        <v>1</v>
      </c>
    </row>
    <row r="58" spans="1:14" x14ac:dyDescent="0.35">
      <c r="A58" t="s">
        <v>208</v>
      </c>
      <c r="B58">
        <v>2025</v>
      </c>
      <c r="C58" t="s">
        <v>209</v>
      </c>
      <c r="D58" t="s">
        <v>210</v>
      </c>
      <c r="E58" t="b">
        <v>0</v>
      </c>
      <c r="F58" t="s">
        <v>292</v>
      </c>
      <c r="G58" t="s">
        <v>138</v>
      </c>
      <c r="H58">
        <v>0.95</v>
      </c>
      <c r="I58" s="5" t="s">
        <v>256</v>
      </c>
      <c r="J58" s="5" t="s">
        <v>257</v>
      </c>
      <c r="K58" t="b">
        <v>1</v>
      </c>
      <c r="L58" s="5" t="s">
        <v>320</v>
      </c>
      <c r="M58" s="6" t="s">
        <v>341</v>
      </c>
      <c r="N58" t="b">
        <f t="shared" si="1"/>
        <v>1</v>
      </c>
    </row>
    <row r="59" spans="1:14" x14ac:dyDescent="0.35">
      <c r="A59" t="s">
        <v>211</v>
      </c>
      <c r="B59">
        <v>2025</v>
      </c>
      <c r="C59" t="s">
        <v>212</v>
      </c>
      <c r="D59" t="s">
        <v>213</v>
      </c>
      <c r="E59" t="b">
        <v>0</v>
      </c>
      <c r="F59" t="s">
        <v>296</v>
      </c>
      <c r="G59" t="s">
        <v>138</v>
      </c>
      <c r="H59">
        <v>0.9</v>
      </c>
      <c r="I59" s="5" t="s">
        <v>256</v>
      </c>
      <c r="J59" s="5" t="s">
        <v>257</v>
      </c>
      <c r="K59" t="b">
        <f t="shared" si="0"/>
        <v>0</v>
      </c>
      <c r="L59" s="5" t="s">
        <v>320</v>
      </c>
      <c r="M59" s="9" t="s">
        <v>342</v>
      </c>
      <c r="N59" t="b">
        <f t="shared" si="1"/>
        <v>1</v>
      </c>
    </row>
    <row r="60" spans="1:14" x14ac:dyDescent="0.35">
      <c r="A60" t="s">
        <v>214</v>
      </c>
      <c r="B60">
        <v>2025</v>
      </c>
      <c r="C60" t="s">
        <v>215</v>
      </c>
      <c r="D60" t="s">
        <v>216</v>
      </c>
      <c r="E60" t="b">
        <v>1</v>
      </c>
      <c r="F60" t="s">
        <v>314</v>
      </c>
      <c r="G60" t="s">
        <v>145</v>
      </c>
      <c r="H60">
        <v>0.9</v>
      </c>
      <c r="I60" s="5" t="s">
        <v>259</v>
      </c>
      <c r="J60" s="5" t="s">
        <v>280</v>
      </c>
      <c r="K60" t="b">
        <f t="shared" si="0"/>
        <v>1</v>
      </c>
      <c r="L60" s="5" t="s">
        <v>320</v>
      </c>
      <c r="M60" s="6" t="s">
        <v>343</v>
      </c>
      <c r="N60" t="b">
        <f t="shared" si="1"/>
        <v>1</v>
      </c>
    </row>
    <row r="61" spans="1:14" x14ac:dyDescent="0.35">
      <c r="A61" t="s">
        <v>217</v>
      </c>
      <c r="B61">
        <v>2020</v>
      </c>
      <c r="C61" t="s">
        <v>218</v>
      </c>
      <c r="D61" t="s">
        <v>219</v>
      </c>
      <c r="E61" t="b">
        <v>0</v>
      </c>
      <c r="F61" t="s">
        <v>296</v>
      </c>
      <c r="G61" t="s">
        <v>138</v>
      </c>
      <c r="H61">
        <v>0.95</v>
      </c>
      <c r="I61" s="5" t="s">
        <v>256</v>
      </c>
      <c r="J61" s="5" t="s">
        <v>257</v>
      </c>
      <c r="K61" t="b">
        <f t="shared" si="0"/>
        <v>0</v>
      </c>
      <c r="L61" s="5"/>
      <c r="M61" s="5"/>
      <c r="N61" t="b">
        <f t="shared" si="1"/>
        <v>1</v>
      </c>
    </row>
    <row r="62" spans="1:14" x14ac:dyDescent="0.35">
      <c r="A62" t="s">
        <v>220</v>
      </c>
      <c r="B62">
        <v>2020</v>
      </c>
      <c r="C62" t="s">
        <v>221</v>
      </c>
      <c r="D62" t="s">
        <v>222</v>
      </c>
      <c r="E62" t="b">
        <v>0</v>
      </c>
      <c r="F62" t="s">
        <v>139</v>
      </c>
      <c r="G62" t="s">
        <v>138</v>
      </c>
      <c r="H62">
        <v>0.9</v>
      </c>
      <c r="I62" s="5" t="s">
        <v>256</v>
      </c>
      <c r="J62" s="5" t="s">
        <v>257</v>
      </c>
      <c r="K62" t="b">
        <f t="shared" si="0"/>
        <v>0</v>
      </c>
      <c r="L62" s="5" t="s">
        <v>318</v>
      </c>
      <c r="M62" s="5" t="s">
        <v>319</v>
      </c>
      <c r="N62" t="b">
        <f t="shared" si="1"/>
        <v>0</v>
      </c>
    </row>
    <row r="63" spans="1:14" x14ac:dyDescent="0.35">
      <c r="A63" t="s">
        <v>223</v>
      </c>
      <c r="B63">
        <v>2020</v>
      </c>
      <c r="C63" t="s">
        <v>224</v>
      </c>
      <c r="D63" t="s">
        <v>225</v>
      </c>
      <c r="E63" t="b">
        <v>0</v>
      </c>
      <c r="F63" t="s">
        <v>139</v>
      </c>
      <c r="G63" t="s">
        <v>138</v>
      </c>
      <c r="H63">
        <v>0.9</v>
      </c>
      <c r="I63" s="5" t="s">
        <v>256</v>
      </c>
      <c r="J63" s="5" t="s">
        <v>257</v>
      </c>
      <c r="K63" t="b">
        <f t="shared" si="0"/>
        <v>0</v>
      </c>
      <c r="L63" s="5" t="s">
        <v>318</v>
      </c>
      <c r="M63" s="5" t="s">
        <v>319</v>
      </c>
      <c r="N63" t="b">
        <f t="shared" si="1"/>
        <v>0</v>
      </c>
    </row>
    <row r="64" spans="1:14" x14ac:dyDescent="0.35">
      <c r="A64" t="s">
        <v>226</v>
      </c>
      <c r="B64">
        <v>2020</v>
      </c>
      <c r="C64" t="s">
        <v>227</v>
      </c>
      <c r="D64" t="s">
        <v>228</v>
      </c>
      <c r="E64" t="b">
        <v>0</v>
      </c>
      <c r="F64" t="s">
        <v>315</v>
      </c>
      <c r="G64" t="s">
        <v>138</v>
      </c>
      <c r="H64">
        <v>0.9</v>
      </c>
      <c r="I64" s="5" t="s">
        <v>259</v>
      </c>
      <c r="J64" s="5" t="s">
        <v>281</v>
      </c>
      <c r="K64" t="b">
        <f t="shared" si="0"/>
        <v>1</v>
      </c>
      <c r="L64" s="5" t="s">
        <v>320</v>
      </c>
      <c r="M64" s="6" t="s">
        <v>344</v>
      </c>
      <c r="N64" t="b">
        <f t="shared" si="1"/>
        <v>1</v>
      </c>
    </row>
    <row r="65" spans="1:14" x14ac:dyDescent="0.35">
      <c r="A65" t="s">
        <v>229</v>
      </c>
      <c r="B65">
        <v>2020</v>
      </c>
      <c r="C65" t="s">
        <v>230</v>
      </c>
      <c r="D65" t="s">
        <v>231</v>
      </c>
      <c r="E65" t="b">
        <v>0</v>
      </c>
      <c r="F65" t="s">
        <v>139</v>
      </c>
      <c r="G65" t="s">
        <v>138</v>
      </c>
      <c r="H65">
        <v>0.9</v>
      </c>
      <c r="I65" s="5" t="s">
        <v>256</v>
      </c>
      <c r="J65" s="5" t="s">
        <v>257</v>
      </c>
      <c r="K65" t="b">
        <f t="shared" si="0"/>
        <v>0</v>
      </c>
      <c r="L65" s="5" t="s">
        <v>318</v>
      </c>
      <c r="M65" s="5" t="s">
        <v>319</v>
      </c>
      <c r="N65" t="b">
        <f t="shared" si="1"/>
        <v>0</v>
      </c>
    </row>
    <row r="66" spans="1:14" ht="409.5" x14ac:dyDescent="0.35">
      <c r="A66" t="s">
        <v>232</v>
      </c>
      <c r="B66">
        <v>2022</v>
      </c>
      <c r="C66" t="s">
        <v>233</v>
      </c>
      <c r="D66" s="1" t="s">
        <v>234</v>
      </c>
      <c r="E66" t="b">
        <v>0</v>
      </c>
      <c r="F66" t="s">
        <v>139</v>
      </c>
      <c r="G66" t="s">
        <v>138</v>
      </c>
      <c r="H66">
        <v>0.9</v>
      </c>
      <c r="I66" s="5" t="s">
        <v>256</v>
      </c>
      <c r="J66" s="5" t="s">
        <v>257</v>
      </c>
      <c r="K66" t="b">
        <f t="shared" si="0"/>
        <v>0</v>
      </c>
      <c r="L66" s="5" t="s">
        <v>320</v>
      </c>
      <c r="M66" s="6" t="s">
        <v>345</v>
      </c>
      <c r="N66" t="b">
        <f t="shared" si="1"/>
        <v>1</v>
      </c>
    </row>
    <row r="67" spans="1:14" x14ac:dyDescent="0.35">
      <c r="A67" t="s">
        <v>235</v>
      </c>
      <c r="B67">
        <v>2022</v>
      </c>
      <c r="C67" t="s">
        <v>236</v>
      </c>
      <c r="D67" t="s">
        <v>237</v>
      </c>
      <c r="E67" t="b">
        <v>0</v>
      </c>
      <c r="F67" t="s">
        <v>238</v>
      </c>
      <c r="G67" t="s">
        <v>138</v>
      </c>
      <c r="H67">
        <v>0.9</v>
      </c>
      <c r="I67" s="5" t="s">
        <v>259</v>
      </c>
      <c r="J67" s="5" t="s">
        <v>282</v>
      </c>
      <c r="K67" t="b">
        <f t="shared" ref="K67:K72" si="2">IF(I67="EXCLUDE",FALSE,TRUE)</f>
        <v>1</v>
      </c>
      <c r="L67" s="5" t="s">
        <v>320</v>
      </c>
      <c r="M67" s="6" t="s">
        <v>346</v>
      </c>
      <c r="N67" t="b">
        <f t="shared" ref="N67:N72" si="3">IF(L67="EXCLUDE",FALSE,TRUE)</f>
        <v>1</v>
      </c>
    </row>
    <row r="68" spans="1:14" x14ac:dyDescent="0.35">
      <c r="A68" t="s">
        <v>239</v>
      </c>
      <c r="B68">
        <v>2022</v>
      </c>
      <c r="C68" t="s">
        <v>240</v>
      </c>
      <c r="D68" t="s">
        <v>241</v>
      </c>
      <c r="E68" t="b">
        <v>0</v>
      </c>
      <c r="F68" t="s">
        <v>291</v>
      </c>
      <c r="G68" t="s">
        <v>138</v>
      </c>
      <c r="H68">
        <v>0.95</v>
      </c>
      <c r="I68" s="5" t="s">
        <v>256</v>
      </c>
      <c r="J68" s="5" t="s">
        <v>257</v>
      </c>
      <c r="K68" t="b">
        <f t="shared" si="2"/>
        <v>0</v>
      </c>
      <c r="L68" s="5" t="s">
        <v>318</v>
      </c>
      <c r="M68" s="5" t="s">
        <v>319</v>
      </c>
      <c r="N68" t="b">
        <f t="shared" si="3"/>
        <v>0</v>
      </c>
    </row>
    <row r="69" spans="1:14" x14ac:dyDescent="0.35">
      <c r="A69" t="s">
        <v>242</v>
      </c>
      <c r="B69">
        <v>2022</v>
      </c>
      <c r="C69" t="s">
        <v>243</v>
      </c>
      <c r="D69" t="s">
        <v>244</v>
      </c>
      <c r="E69" t="b">
        <v>1</v>
      </c>
      <c r="F69" t="s">
        <v>245</v>
      </c>
      <c r="G69" t="s">
        <v>167</v>
      </c>
      <c r="H69">
        <v>0.9</v>
      </c>
      <c r="I69" s="5" t="s">
        <v>259</v>
      </c>
      <c r="J69" s="5" t="s">
        <v>283</v>
      </c>
      <c r="K69" t="b">
        <f t="shared" si="2"/>
        <v>1</v>
      </c>
      <c r="L69" s="5" t="s">
        <v>320</v>
      </c>
      <c r="M69" s="5" t="s">
        <v>347</v>
      </c>
      <c r="N69" t="b">
        <f t="shared" si="3"/>
        <v>1</v>
      </c>
    </row>
    <row r="70" spans="1:14" x14ac:dyDescent="0.35">
      <c r="A70" t="s">
        <v>246</v>
      </c>
      <c r="B70">
        <v>2022</v>
      </c>
      <c r="C70" t="s">
        <v>247</v>
      </c>
      <c r="D70" t="s">
        <v>248</v>
      </c>
      <c r="E70" t="b">
        <v>0</v>
      </c>
      <c r="F70" t="s">
        <v>296</v>
      </c>
      <c r="G70" t="s">
        <v>138</v>
      </c>
      <c r="H70">
        <v>0.9</v>
      </c>
      <c r="I70" s="5" t="s">
        <v>256</v>
      </c>
      <c r="J70" s="5" t="s">
        <v>257</v>
      </c>
      <c r="K70" t="b">
        <f t="shared" si="2"/>
        <v>0</v>
      </c>
      <c r="L70" s="5" t="s">
        <v>318</v>
      </c>
      <c r="M70" s="5" t="s">
        <v>319</v>
      </c>
      <c r="N70" t="b">
        <f t="shared" si="3"/>
        <v>0</v>
      </c>
    </row>
    <row r="71" spans="1:14" x14ac:dyDescent="0.35">
      <c r="A71" t="s">
        <v>249</v>
      </c>
      <c r="B71">
        <v>2022</v>
      </c>
      <c r="C71" t="s">
        <v>250</v>
      </c>
      <c r="D71" t="s">
        <v>251</v>
      </c>
      <c r="E71" t="b">
        <v>0</v>
      </c>
      <c r="F71" t="s">
        <v>296</v>
      </c>
      <c r="G71" t="s">
        <v>138</v>
      </c>
      <c r="H71">
        <v>0.9</v>
      </c>
      <c r="I71" s="5" t="s">
        <v>256</v>
      </c>
      <c r="J71" s="5" t="s">
        <v>257</v>
      </c>
      <c r="K71" t="b">
        <f t="shared" si="2"/>
        <v>0</v>
      </c>
      <c r="L71" s="5" t="s">
        <v>318</v>
      </c>
      <c r="M71" s="5" t="s">
        <v>348</v>
      </c>
      <c r="N71" t="b">
        <f t="shared" si="3"/>
        <v>0</v>
      </c>
    </row>
    <row r="72" spans="1:14" x14ac:dyDescent="0.35">
      <c r="A72" t="s">
        <v>252</v>
      </c>
      <c r="B72">
        <v>2022</v>
      </c>
      <c r="C72" t="s">
        <v>253</v>
      </c>
      <c r="D72" t="s">
        <v>254</v>
      </c>
      <c r="E72" t="b">
        <v>0</v>
      </c>
      <c r="F72" t="s">
        <v>316</v>
      </c>
      <c r="G72" t="s">
        <v>138</v>
      </c>
      <c r="H72">
        <v>0.9</v>
      </c>
      <c r="I72" s="5" t="s">
        <v>256</v>
      </c>
      <c r="J72" s="5" t="s">
        <v>257</v>
      </c>
      <c r="K72" t="b">
        <f t="shared" si="2"/>
        <v>0</v>
      </c>
      <c r="L72" s="5" t="s">
        <v>318</v>
      </c>
      <c r="M72" s="5" t="s">
        <v>348</v>
      </c>
      <c r="N72" t="b">
        <f t="shared" si="3"/>
        <v>0</v>
      </c>
    </row>
  </sheetData>
  <conditionalFormatting sqref="M10">
    <cfRule type="containsText" dxfId="9" priority="8" operator="containsText" text="Exclude">
      <formula>NOT(ISERROR(SEARCH("Exclude",M10)))</formula>
    </cfRule>
    <cfRule type="containsText" dxfId="8" priority="9" operator="containsText" text="Include">
      <formula>NOT(ISERROR(SEARCH("Include",M10)))</formula>
    </cfRule>
  </conditionalFormatting>
  <conditionalFormatting sqref="M30:M31">
    <cfRule type="containsText" dxfId="7" priority="10" operator="containsText" text="Exclude">
      <formula>NOT(ISERROR(SEARCH("Exclude",M30)))</formula>
    </cfRule>
    <cfRule type="containsText" dxfId="6" priority="11" operator="containsText" text="Include">
      <formula>NOT(ISERROR(SEARCH("Include",M30)))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68"/>
  <sheetViews>
    <sheetView tabSelected="1" workbookViewId="0">
      <selection activeCell="D12" sqref="D12"/>
    </sheetView>
  </sheetViews>
  <sheetFormatPr defaultRowHeight="14.5" x14ac:dyDescent="0.35"/>
  <cols>
    <col min="1" max="1" width="16.26953125" bestFit="1" customWidth="1"/>
    <col min="2" max="2" width="11.1796875" customWidth="1"/>
  </cols>
  <sheetData>
    <row r="1" spans="1:11" x14ac:dyDescent="0.35">
      <c r="A1" t="s">
        <v>34</v>
      </c>
      <c r="E1" t="s">
        <v>34</v>
      </c>
      <c r="I1" t="s">
        <v>34</v>
      </c>
    </row>
    <row r="2" spans="1:11" x14ac:dyDescent="0.35">
      <c r="A2" s="2"/>
      <c r="B2" s="2" t="s">
        <v>284</v>
      </c>
      <c r="C2" s="2" t="s">
        <v>285</v>
      </c>
      <c r="F2" t="s">
        <v>349</v>
      </c>
      <c r="G2" t="s">
        <v>350</v>
      </c>
      <c r="J2" t="s">
        <v>349</v>
      </c>
      <c r="K2" t="s">
        <v>350</v>
      </c>
    </row>
    <row r="3" spans="1:11" x14ac:dyDescent="0.35">
      <c r="A3" s="2" t="s">
        <v>32</v>
      </c>
      <c r="B3" s="2">
        <f>COUNTIFS('Merged results table'!E:E,TRUE,'Merged results table'!K:K,TRUE)</f>
        <v>14</v>
      </c>
      <c r="C3" s="2">
        <f>COUNTIFS('Merged results table'!E:E,TRUE,'Merged results table'!K:K,FALSE)</f>
        <v>2</v>
      </c>
      <c r="E3" t="s">
        <v>32</v>
      </c>
      <c r="F3">
        <f>COUNTIFS('Merged results table'!E:E,TRUE,'Merged results table'!N:N,TRUE)</f>
        <v>14</v>
      </c>
      <c r="G3">
        <f>COUNTIFS('Merged results table'!E:E,TRUE,'Merged results table'!N:N,FALSE)</f>
        <v>2</v>
      </c>
      <c r="I3" t="s">
        <v>284</v>
      </c>
      <c r="J3">
        <f>COUNTIFS('Merged results table'!K:K,TRUE,'Merged results table'!N:N,TRUE)</f>
        <v>23</v>
      </c>
      <c r="K3">
        <f>COUNTIFS('Merged results table'!K:K,TRUE,'Merged results table'!N:N,FALSE)</f>
        <v>0</v>
      </c>
    </row>
    <row r="4" spans="1:11" x14ac:dyDescent="0.35">
      <c r="A4" s="2" t="s">
        <v>33</v>
      </c>
      <c r="B4" s="2">
        <f>COUNTIFS('Merged results table'!E:E,FALSE,'Merged results table'!K:K,TRUE)</f>
        <v>9</v>
      </c>
      <c r="C4" s="2">
        <f>COUNTIFS('Merged results table'!E:E,FALSE,'Merged results table'!K:K,FALSE)</f>
        <v>46</v>
      </c>
      <c r="E4" t="s">
        <v>33</v>
      </c>
      <c r="F4">
        <f>COUNTIFS('Merged results table'!E:E,FALSE,'Merged results table'!N:N,TRUE)</f>
        <v>12</v>
      </c>
      <c r="G4">
        <f>COUNTIFS('Merged results table'!E:E,FALSE,'Merged results table'!N:N,FALSE)</f>
        <v>43</v>
      </c>
      <c r="I4" t="s">
        <v>285</v>
      </c>
      <c r="J4">
        <f>COUNTIFS('Merged results table'!K:K,FALSE,'Merged results table'!N:N,TRUE)</f>
        <v>3</v>
      </c>
      <c r="K4">
        <f>COUNTIFS('Merged results table'!K:K,FALSE,'Merged results table'!N:N,FALSE)</f>
        <v>45</v>
      </c>
    </row>
    <row r="5" spans="1:11" x14ac:dyDescent="0.35">
      <c r="A5" s="2"/>
      <c r="B5" s="2"/>
      <c r="C5" s="2"/>
    </row>
    <row r="6" spans="1:11" x14ac:dyDescent="0.35">
      <c r="A6" s="2" t="s">
        <v>37</v>
      </c>
      <c r="B6" s="2">
        <f>B3</f>
        <v>14</v>
      </c>
      <c r="C6" s="2"/>
      <c r="E6" t="s">
        <v>37</v>
      </c>
      <c r="F6">
        <f>F3</f>
        <v>14</v>
      </c>
      <c r="I6" t="s">
        <v>37</v>
      </c>
      <c r="J6">
        <f>J3</f>
        <v>23</v>
      </c>
    </row>
    <row r="7" spans="1:11" x14ac:dyDescent="0.35">
      <c r="A7" s="2" t="s">
        <v>38</v>
      </c>
      <c r="B7" s="2">
        <f>C4</f>
        <v>46</v>
      </c>
      <c r="C7" s="2"/>
      <c r="E7" t="s">
        <v>38</v>
      </c>
      <c r="F7">
        <f>G4</f>
        <v>43</v>
      </c>
      <c r="I7" t="s">
        <v>38</v>
      </c>
      <c r="J7">
        <f>K4</f>
        <v>45</v>
      </c>
    </row>
    <row r="8" spans="1:11" x14ac:dyDescent="0.35">
      <c r="A8" s="2" t="s">
        <v>39</v>
      </c>
      <c r="B8" s="2">
        <f>C3</f>
        <v>2</v>
      </c>
      <c r="C8" s="2"/>
      <c r="E8" t="s">
        <v>39</v>
      </c>
      <c r="F8">
        <f>G3</f>
        <v>2</v>
      </c>
      <c r="I8" t="s">
        <v>39</v>
      </c>
      <c r="J8">
        <f>K3</f>
        <v>0</v>
      </c>
    </row>
    <row r="9" spans="1:11" x14ac:dyDescent="0.35">
      <c r="A9" s="2" t="s">
        <v>40</v>
      </c>
      <c r="B9" s="2">
        <f>B4</f>
        <v>9</v>
      </c>
      <c r="C9" s="2"/>
      <c r="E9" t="s">
        <v>40</v>
      </c>
      <c r="F9">
        <f>F4</f>
        <v>12</v>
      </c>
      <c r="I9" t="s">
        <v>40</v>
      </c>
      <c r="J9">
        <f>J4</f>
        <v>3</v>
      </c>
    </row>
    <row r="10" spans="1:11" x14ac:dyDescent="0.35">
      <c r="A10" s="2"/>
      <c r="B10" s="2"/>
      <c r="C10" s="2"/>
    </row>
    <row r="11" spans="1:11" x14ac:dyDescent="0.35">
      <c r="A11" s="2" t="s">
        <v>35</v>
      </c>
      <c r="B11" s="2">
        <f>(B3+C4)/(B3+B4+C3+C4)</f>
        <v>0.84507042253521125</v>
      </c>
      <c r="C11" s="2"/>
      <c r="E11" t="s">
        <v>35</v>
      </c>
      <c r="F11">
        <f>(F3+G4)/(F3+F4+G3+G4)</f>
        <v>0.80281690140845074</v>
      </c>
      <c r="I11" t="s">
        <v>35</v>
      </c>
      <c r="J11">
        <f>(J3+K4)/(J3+J4+K3+K4)</f>
        <v>0.95774647887323938</v>
      </c>
    </row>
    <row r="12" spans="1:11" x14ac:dyDescent="0.35">
      <c r="A12" s="2" t="s">
        <v>36</v>
      </c>
      <c r="B12" s="2">
        <f>B3/(B3+B4)</f>
        <v>0.60869565217391308</v>
      </c>
      <c r="C12" s="2"/>
      <c r="E12" t="s">
        <v>36</v>
      </c>
      <c r="F12">
        <f>F3/(F3+F4)</f>
        <v>0.53846153846153844</v>
      </c>
      <c r="I12" t="s">
        <v>36</v>
      </c>
      <c r="J12">
        <f>J3/(J3+J4)</f>
        <v>0.88461538461538458</v>
      </c>
    </row>
    <row r="14" spans="1:11" x14ac:dyDescent="0.35">
      <c r="A14" s="2" t="s">
        <v>41</v>
      </c>
    </row>
    <row r="15" spans="1:11" x14ac:dyDescent="0.35">
      <c r="A15" t="s">
        <v>53</v>
      </c>
    </row>
    <row r="28" spans="1:1" ht="17.5" x14ac:dyDescent="0.35">
      <c r="A28" s="3"/>
    </row>
    <row r="30" spans="1:1" x14ac:dyDescent="0.35">
      <c r="A30" s="2"/>
    </row>
    <row r="31" spans="1:1" x14ac:dyDescent="0.35">
      <c r="A31" s="4"/>
    </row>
    <row r="32" spans="1:1" x14ac:dyDescent="0.35">
      <c r="A32" s="4"/>
    </row>
    <row r="33" spans="1:1" x14ac:dyDescent="0.35">
      <c r="A33" s="4"/>
    </row>
    <row r="35" spans="1:1" x14ac:dyDescent="0.35">
      <c r="A35" s="2"/>
    </row>
    <row r="36" spans="1:1" x14ac:dyDescent="0.35">
      <c r="A36" s="4"/>
    </row>
    <row r="37" spans="1:1" x14ac:dyDescent="0.35">
      <c r="A37" s="4"/>
    </row>
    <row r="38" spans="1:1" x14ac:dyDescent="0.35">
      <c r="A38" s="4"/>
    </row>
    <row r="40" spans="1:1" x14ac:dyDescent="0.35">
      <c r="A40" s="2"/>
    </row>
    <row r="41" spans="1:1" x14ac:dyDescent="0.35">
      <c r="A41" s="4"/>
    </row>
    <row r="42" spans="1:1" x14ac:dyDescent="0.35">
      <c r="A42" s="4"/>
    </row>
    <row r="43" spans="1:1" x14ac:dyDescent="0.35">
      <c r="A43" s="4"/>
    </row>
    <row r="45" spans="1:1" x14ac:dyDescent="0.35">
      <c r="A45" s="2"/>
    </row>
    <row r="46" spans="1:1" x14ac:dyDescent="0.35">
      <c r="A46" s="4"/>
    </row>
    <row r="47" spans="1:1" x14ac:dyDescent="0.35">
      <c r="A47" s="4"/>
    </row>
    <row r="48" spans="1:1" x14ac:dyDescent="0.35">
      <c r="A48" s="4"/>
    </row>
    <row r="50" spans="1:1" x14ac:dyDescent="0.35">
      <c r="A50" s="2"/>
    </row>
    <row r="51" spans="1:1" x14ac:dyDescent="0.35">
      <c r="A51" s="4"/>
    </row>
    <row r="52" spans="1:1" x14ac:dyDescent="0.35">
      <c r="A52" s="4"/>
    </row>
    <row r="53" spans="1:1" x14ac:dyDescent="0.35">
      <c r="A53" s="4"/>
    </row>
    <row r="55" spans="1:1" x14ac:dyDescent="0.35">
      <c r="A55" s="2"/>
    </row>
    <row r="56" spans="1:1" x14ac:dyDescent="0.35">
      <c r="A56" s="4"/>
    </row>
    <row r="57" spans="1:1" x14ac:dyDescent="0.35">
      <c r="A57" s="4"/>
    </row>
    <row r="58" spans="1:1" x14ac:dyDescent="0.35">
      <c r="A58" s="4"/>
    </row>
    <row r="62" spans="1:1" ht="17.5" x14ac:dyDescent="0.35">
      <c r="A62" s="3" t="s">
        <v>42</v>
      </c>
    </row>
    <row r="64" spans="1:1" x14ac:dyDescent="0.35">
      <c r="A64" s="2" t="s">
        <v>43</v>
      </c>
    </row>
    <row r="65" spans="1:1" x14ac:dyDescent="0.35">
      <c r="A65" s="4" t="s">
        <v>44</v>
      </c>
    </row>
    <row r="66" spans="1:1" x14ac:dyDescent="0.35">
      <c r="A66" s="4" t="s">
        <v>45</v>
      </c>
    </row>
    <row r="67" spans="1:1" x14ac:dyDescent="0.35">
      <c r="A67" s="4" t="s">
        <v>46</v>
      </c>
    </row>
    <row r="68" spans="1:1" x14ac:dyDescent="0.35">
      <c r="A68" s="4" t="s">
        <v>47</v>
      </c>
    </row>
  </sheetData>
  <conditionalFormatting sqref="I18 J19:J22">
    <cfRule type="containsText" dxfId="5" priority="7" operator="containsText" text="Exclude">
      <formula>NOT(ISERROR(SEARCH("Exclude",I18)))</formula>
    </cfRule>
    <cfRule type="containsText" dxfId="4" priority="8" operator="containsText" text="Include">
      <formula>NOT(ISERROR(SEARCH("Include",I18)))</formula>
    </cfRule>
  </conditionalFormatting>
  <conditionalFormatting sqref="J26">
    <cfRule type="containsText" dxfId="3" priority="3" operator="containsText" text="Exclude">
      <formula>NOT(ISERROR(SEARCH("Exclude",J26)))</formula>
    </cfRule>
    <cfRule type="containsText" dxfId="2" priority="4" operator="containsText" text="Include">
      <formula>NOT(ISERROR(SEARCH("Include",J26)))</formula>
    </cfRule>
  </conditionalFormatting>
  <conditionalFormatting sqref="M20">
    <cfRule type="containsText" dxfId="1" priority="5" operator="containsText" text="Exclude">
      <formula>NOT(ISERROR(SEARCH("Exclude",M20)))</formula>
    </cfRule>
    <cfRule type="containsText" dxfId="0" priority="6" operator="containsText" text="Include">
      <formula>NOT(ISERROR(SEARCH("Include",M20)))</formula>
    </cfRule>
  </conditionalFormatting>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Stage_7_API</vt:lpstr>
      <vt:lpstr>ID_Lookup</vt:lpstr>
      <vt:lpstr>Stage_7_AA</vt:lpstr>
      <vt:lpstr>Stage_7_OC</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2025-09-12T10:03:11Z</dcterms:modified>
</cp:coreProperties>
</file>